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irFinanceOnizah\Desktop\NOIR 2024 &amp; 2025\"/>
    </mc:Choice>
  </mc:AlternateContent>
  <xr:revisionPtr revIDLastSave="0" documentId="8_{215CEB55-C22D-4106-B6DE-372287520F02}" xr6:coauthVersionLast="47" xr6:coauthVersionMax="47" xr10:uidLastSave="{00000000-0000-0000-0000-000000000000}"/>
  <bookViews>
    <workbookView xWindow="-120" yWindow="-120" windowWidth="29040" windowHeight="15720" firstSheet="21" activeTab="30" xr2:uid="{B6891790-A5E2-40BA-8682-67E106F7B0B0}"/>
  </bookViews>
  <sheets>
    <sheet name="31.05.2025" sheetId="34" r:id="rId1"/>
    <sheet name="01.06.2025" sheetId="35" r:id="rId2"/>
    <sheet name="02.06.2025" sheetId="37" r:id="rId3"/>
    <sheet name="03.06.2025" sheetId="36" r:id="rId4"/>
    <sheet name="04.06.2025" sheetId="38" r:id="rId5"/>
    <sheet name="05.06.2025" sheetId="39" r:id="rId6"/>
    <sheet name="06.06.2025" sheetId="40" r:id="rId7"/>
    <sheet name="07.06.2025" sheetId="41" r:id="rId8"/>
    <sheet name="08.06.2025" sheetId="42" r:id="rId9"/>
    <sheet name="09.06.2025" sheetId="43" r:id="rId10"/>
    <sheet name="10.06.2025" sheetId="44" r:id="rId11"/>
    <sheet name="11.06.2025" sheetId="45" r:id="rId12"/>
    <sheet name="12.06.2025" sheetId="46" r:id="rId13"/>
    <sheet name="13.06.2025" sheetId="47" r:id="rId14"/>
    <sheet name="14.06.2025" sheetId="50" r:id="rId15"/>
    <sheet name="15.06.2025" sheetId="51" r:id="rId16"/>
    <sheet name="16.06.2025" sheetId="52" r:id="rId17"/>
    <sheet name="17.06.2025" sheetId="53" r:id="rId18"/>
    <sheet name="18.06.2025" sheetId="54" r:id="rId19"/>
    <sheet name="19.06.2025" sheetId="55" r:id="rId20"/>
    <sheet name="20.06.2025" sheetId="56" r:id="rId21"/>
    <sheet name="21.06.2025" sheetId="58" r:id="rId22"/>
    <sheet name="22.06.2025" sheetId="57" r:id="rId23"/>
    <sheet name="23.06.2025" sheetId="59" r:id="rId24"/>
    <sheet name="24.06.2025" sheetId="60" r:id="rId25"/>
    <sheet name="25.06.2025" sheetId="61" r:id="rId26"/>
    <sheet name="26.06.2025" sheetId="62" r:id="rId27"/>
    <sheet name="27.06.2025" sheetId="63" r:id="rId28"/>
    <sheet name="28.06.2025" sheetId="64" r:id="rId29"/>
    <sheet name="29.06.2025" sheetId="65" r:id="rId30"/>
    <sheet name="30.06.2025" sheetId="66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66" l="1"/>
  <c r="C7" i="66"/>
  <c r="C9" i="66"/>
  <c r="C6" i="66"/>
  <c r="D20" i="66"/>
  <c r="D19" i="66"/>
  <c r="D18" i="66"/>
  <c r="D17" i="66"/>
  <c r="D16" i="66"/>
  <c r="D15" i="66"/>
  <c r="D14" i="66"/>
  <c r="D13" i="66"/>
  <c r="J10" i="66"/>
  <c r="I10" i="66"/>
  <c r="H10" i="66"/>
  <c r="G10" i="66"/>
  <c r="F10" i="66"/>
  <c r="E10" i="66"/>
  <c r="D10" i="66"/>
  <c r="B10" i="66"/>
  <c r="K9" i="66"/>
  <c r="K8" i="66"/>
  <c r="K7" i="66"/>
  <c r="K5" i="66"/>
  <c r="K4" i="66"/>
  <c r="D23" i="65"/>
  <c r="C7" i="65"/>
  <c r="C6" i="65"/>
  <c r="D20" i="65"/>
  <c r="D19" i="65"/>
  <c r="D18" i="65"/>
  <c r="D17" i="65"/>
  <c r="D16" i="65"/>
  <c r="D15" i="65"/>
  <c r="D14" i="65"/>
  <c r="D13" i="65"/>
  <c r="D21" i="65" s="1"/>
  <c r="J10" i="65"/>
  <c r="I10" i="65"/>
  <c r="H10" i="65"/>
  <c r="G10" i="65"/>
  <c r="F10" i="65"/>
  <c r="E10" i="65"/>
  <c r="D10" i="65"/>
  <c r="B10" i="65"/>
  <c r="K9" i="65"/>
  <c r="K8" i="65"/>
  <c r="K6" i="65"/>
  <c r="K5" i="65"/>
  <c r="K4" i="65"/>
  <c r="C9" i="64"/>
  <c r="C7" i="64"/>
  <c r="C6" i="64"/>
  <c r="D20" i="64"/>
  <c r="D19" i="64"/>
  <c r="D18" i="64"/>
  <c r="D17" i="64"/>
  <c r="D16" i="64"/>
  <c r="D15" i="64"/>
  <c r="D14" i="64"/>
  <c r="D13" i="64"/>
  <c r="D21" i="64" s="1"/>
  <c r="J10" i="64"/>
  <c r="I10" i="64"/>
  <c r="H10" i="64"/>
  <c r="G10" i="64"/>
  <c r="F10" i="64"/>
  <c r="E10" i="64"/>
  <c r="D10" i="64"/>
  <c r="C10" i="64"/>
  <c r="B10" i="64"/>
  <c r="K9" i="64"/>
  <c r="K8" i="64"/>
  <c r="K7" i="64"/>
  <c r="K6" i="64"/>
  <c r="K5" i="64"/>
  <c r="K4" i="64"/>
  <c r="N20" i="63"/>
  <c r="N19" i="63"/>
  <c r="N18" i="63"/>
  <c r="N17" i="63"/>
  <c r="N16" i="63"/>
  <c r="N15" i="63"/>
  <c r="N14" i="63"/>
  <c r="N13" i="63"/>
  <c r="N21" i="63" s="1"/>
  <c r="D23" i="63"/>
  <c r="C7" i="63"/>
  <c r="C9" i="63"/>
  <c r="C6" i="63"/>
  <c r="D20" i="63"/>
  <c r="D19" i="63"/>
  <c r="D18" i="63"/>
  <c r="D17" i="63"/>
  <c r="D16" i="63"/>
  <c r="D15" i="63"/>
  <c r="D14" i="63"/>
  <c r="D13" i="63"/>
  <c r="J10" i="63"/>
  <c r="I10" i="63"/>
  <c r="H10" i="63"/>
  <c r="G10" i="63"/>
  <c r="F10" i="63"/>
  <c r="E10" i="63"/>
  <c r="D10" i="63"/>
  <c r="C10" i="63"/>
  <c r="B10" i="63"/>
  <c r="K9" i="63"/>
  <c r="K8" i="63"/>
  <c r="K7" i="63"/>
  <c r="K6" i="63"/>
  <c r="K5" i="63"/>
  <c r="K4" i="63"/>
  <c r="D23" i="62"/>
  <c r="C6" i="62"/>
  <c r="C9" i="62"/>
  <c r="C7" i="62"/>
  <c r="D20" i="62"/>
  <c r="D19" i="62"/>
  <c r="D18" i="62"/>
  <c r="D17" i="62"/>
  <c r="D16" i="62"/>
  <c r="D15" i="62"/>
  <c r="D14" i="62"/>
  <c r="D13" i="62"/>
  <c r="J10" i="62"/>
  <c r="I10" i="62"/>
  <c r="H10" i="62"/>
  <c r="G10" i="62"/>
  <c r="F10" i="62"/>
  <c r="E10" i="62"/>
  <c r="D10" i="62"/>
  <c r="B10" i="62"/>
  <c r="K9" i="62"/>
  <c r="K8" i="62"/>
  <c r="K7" i="62"/>
  <c r="K5" i="62"/>
  <c r="K4" i="62"/>
  <c r="N22" i="61"/>
  <c r="N21" i="61"/>
  <c r="N20" i="61"/>
  <c r="N19" i="61"/>
  <c r="N18" i="61"/>
  <c r="N17" i="61"/>
  <c r="N16" i="61"/>
  <c r="N15" i="61"/>
  <c r="N23" i="61" s="1"/>
  <c r="D23" i="61"/>
  <c r="C6" i="61"/>
  <c r="C7" i="61"/>
  <c r="D20" i="61"/>
  <c r="D19" i="61"/>
  <c r="D18" i="61"/>
  <c r="D17" i="61"/>
  <c r="D16" i="61"/>
  <c r="D15" i="61"/>
  <c r="D14" i="61"/>
  <c r="D13" i="61"/>
  <c r="D21" i="61" s="1"/>
  <c r="J10" i="61"/>
  <c r="I10" i="61"/>
  <c r="H10" i="61"/>
  <c r="G10" i="61"/>
  <c r="F10" i="61"/>
  <c r="E10" i="61"/>
  <c r="D10" i="61"/>
  <c r="B10" i="61"/>
  <c r="K9" i="61"/>
  <c r="O8" i="61"/>
  <c r="K8" i="61"/>
  <c r="N8" i="61" s="1"/>
  <c r="K7" i="61"/>
  <c r="K5" i="61"/>
  <c r="K4" i="61"/>
  <c r="D23" i="60"/>
  <c r="C9" i="60"/>
  <c r="C6" i="60"/>
  <c r="C7" i="60"/>
  <c r="D20" i="60"/>
  <c r="D19" i="60"/>
  <c r="D18" i="60"/>
  <c r="D17" i="60"/>
  <c r="D16" i="60"/>
  <c r="D15" i="60"/>
  <c r="D14" i="60"/>
  <c r="D13" i="60"/>
  <c r="D21" i="60" s="1"/>
  <c r="J10" i="60"/>
  <c r="I10" i="60"/>
  <c r="H10" i="60"/>
  <c r="G10" i="60"/>
  <c r="F10" i="60"/>
  <c r="E10" i="60"/>
  <c r="D10" i="60"/>
  <c r="B10" i="60"/>
  <c r="K9" i="60"/>
  <c r="K8" i="60"/>
  <c r="K7" i="60"/>
  <c r="K5" i="60"/>
  <c r="K4" i="60"/>
  <c r="D23" i="59"/>
  <c r="C7" i="59"/>
  <c r="C6" i="59"/>
  <c r="D20" i="59"/>
  <c r="D19" i="59"/>
  <c r="D18" i="59"/>
  <c r="D17" i="59"/>
  <c r="D16" i="59"/>
  <c r="D15" i="59"/>
  <c r="D14" i="59"/>
  <c r="D13" i="59"/>
  <c r="J10" i="59"/>
  <c r="I10" i="59"/>
  <c r="H10" i="59"/>
  <c r="G10" i="59"/>
  <c r="F10" i="59"/>
  <c r="E10" i="59"/>
  <c r="D10" i="59"/>
  <c r="B10" i="59"/>
  <c r="K9" i="59"/>
  <c r="K8" i="59"/>
  <c r="K7" i="59"/>
  <c r="K5" i="59"/>
  <c r="K4" i="59"/>
  <c r="D20" i="58"/>
  <c r="D19" i="58"/>
  <c r="D18" i="58"/>
  <c r="D17" i="58"/>
  <c r="D16" i="58"/>
  <c r="D15" i="58"/>
  <c r="D14" i="58"/>
  <c r="D13" i="58"/>
  <c r="D21" i="58" s="1"/>
  <c r="J10" i="58"/>
  <c r="I10" i="58"/>
  <c r="H10" i="58"/>
  <c r="G10" i="58"/>
  <c r="F10" i="58"/>
  <c r="E10" i="58"/>
  <c r="D10" i="58"/>
  <c r="B10" i="58"/>
  <c r="K9" i="58"/>
  <c r="K8" i="58"/>
  <c r="C7" i="58"/>
  <c r="K7" i="58" s="1"/>
  <c r="C6" i="58"/>
  <c r="K5" i="58"/>
  <c r="K4" i="58"/>
  <c r="D23" i="57"/>
  <c r="C7" i="57"/>
  <c r="K7" i="57" s="1"/>
  <c r="C6" i="57"/>
  <c r="D20" i="57"/>
  <c r="D19" i="57"/>
  <c r="D18" i="57"/>
  <c r="D17" i="57"/>
  <c r="D16" i="57"/>
  <c r="D15" i="57"/>
  <c r="D14" i="57"/>
  <c r="D13" i="57"/>
  <c r="J10" i="57"/>
  <c r="I10" i="57"/>
  <c r="H10" i="57"/>
  <c r="G10" i="57"/>
  <c r="F10" i="57"/>
  <c r="E10" i="57"/>
  <c r="D10" i="57"/>
  <c r="B10" i="57"/>
  <c r="K9" i="57"/>
  <c r="K8" i="57"/>
  <c r="K5" i="57"/>
  <c r="K4" i="57"/>
  <c r="D23" i="56"/>
  <c r="C7" i="56"/>
  <c r="K7" i="56" s="1"/>
  <c r="C6" i="56"/>
  <c r="N21" i="56"/>
  <c r="N20" i="56"/>
  <c r="N19" i="56"/>
  <c r="N18" i="56"/>
  <c r="N17" i="56"/>
  <c r="N16" i="56"/>
  <c r="N15" i="56"/>
  <c r="N14" i="56"/>
  <c r="N22" i="56" s="1"/>
  <c r="D20" i="56"/>
  <c r="D19" i="56"/>
  <c r="D18" i="56"/>
  <c r="D17" i="56"/>
  <c r="D16" i="56"/>
  <c r="D15" i="56"/>
  <c r="D14" i="56"/>
  <c r="D13" i="56"/>
  <c r="D21" i="56" s="1"/>
  <c r="J10" i="56"/>
  <c r="I10" i="56"/>
  <c r="H10" i="56"/>
  <c r="G10" i="56"/>
  <c r="F10" i="56"/>
  <c r="E10" i="56"/>
  <c r="D10" i="56"/>
  <c r="B10" i="56"/>
  <c r="K9" i="56"/>
  <c r="K8" i="56"/>
  <c r="K5" i="56"/>
  <c r="K4" i="56"/>
  <c r="D23" i="55"/>
  <c r="C8" i="55"/>
  <c r="C7" i="55"/>
  <c r="C6" i="55"/>
  <c r="D20" i="55"/>
  <c r="D19" i="55"/>
  <c r="D18" i="55"/>
  <c r="D17" i="55"/>
  <c r="D16" i="55"/>
  <c r="D15" i="55"/>
  <c r="D14" i="55"/>
  <c r="D13" i="55"/>
  <c r="J10" i="55"/>
  <c r="I10" i="55"/>
  <c r="H10" i="55"/>
  <c r="G10" i="55"/>
  <c r="F10" i="55"/>
  <c r="E10" i="55"/>
  <c r="D10" i="55"/>
  <c r="C10" i="55"/>
  <c r="B10" i="55"/>
  <c r="K9" i="55"/>
  <c r="K8" i="55"/>
  <c r="K7" i="55"/>
  <c r="K6" i="55"/>
  <c r="K5" i="55"/>
  <c r="K4" i="55"/>
  <c r="D23" i="54"/>
  <c r="C6" i="54"/>
  <c r="D20" i="54"/>
  <c r="D19" i="54"/>
  <c r="D18" i="54"/>
  <c r="D17" i="54"/>
  <c r="D16" i="54"/>
  <c r="D15" i="54"/>
  <c r="D14" i="54"/>
  <c r="D13" i="54"/>
  <c r="D21" i="54" s="1"/>
  <c r="J10" i="54"/>
  <c r="I10" i="54"/>
  <c r="H10" i="54"/>
  <c r="G10" i="54"/>
  <c r="F10" i="54"/>
  <c r="E10" i="54"/>
  <c r="D10" i="54"/>
  <c r="B10" i="54"/>
  <c r="K9" i="54"/>
  <c r="K8" i="54"/>
  <c r="K7" i="54"/>
  <c r="K5" i="54"/>
  <c r="K4" i="54"/>
  <c r="D23" i="53"/>
  <c r="C6" i="53"/>
  <c r="C7" i="53"/>
  <c r="D20" i="53"/>
  <c r="D19" i="53"/>
  <c r="D18" i="53"/>
  <c r="D17" i="53"/>
  <c r="D16" i="53"/>
  <c r="D15" i="53"/>
  <c r="D14" i="53"/>
  <c r="D13" i="53"/>
  <c r="D21" i="53" s="1"/>
  <c r="J10" i="53"/>
  <c r="I10" i="53"/>
  <c r="H10" i="53"/>
  <c r="G10" i="53"/>
  <c r="F10" i="53"/>
  <c r="E10" i="53"/>
  <c r="D10" i="53"/>
  <c r="B10" i="53"/>
  <c r="K9" i="53"/>
  <c r="K8" i="53"/>
  <c r="K7" i="53"/>
  <c r="K5" i="53"/>
  <c r="K4" i="53"/>
  <c r="D23" i="52"/>
  <c r="C6" i="52"/>
  <c r="C7" i="52"/>
  <c r="K7" i="52" s="1"/>
  <c r="D20" i="52"/>
  <c r="D19" i="52"/>
  <c r="D18" i="52"/>
  <c r="D17" i="52"/>
  <c r="D16" i="52"/>
  <c r="D15" i="52"/>
  <c r="D14" i="52"/>
  <c r="D13" i="52"/>
  <c r="D21" i="52" s="1"/>
  <c r="J10" i="52"/>
  <c r="I10" i="52"/>
  <c r="H10" i="52"/>
  <c r="G10" i="52"/>
  <c r="F10" i="52"/>
  <c r="E10" i="52"/>
  <c r="D10" i="52"/>
  <c r="B10" i="52"/>
  <c r="K9" i="52"/>
  <c r="K8" i="52"/>
  <c r="K5" i="52"/>
  <c r="O4" i="52"/>
  <c r="N4" i="52"/>
  <c r="K4" i="52"/>
  <c r="D23" i="51"/>
  <c r="C7" i="51"/>
  <c r="C6" i="51"/>
  <c r="D20" i="51"/>
  <c r="D19" i="51"/>
  <c r="D18" i="51"/>
  <c r="D17" i="51"/>
  <c r="D16" i="51"/>
  <c r="D15" i="51"/>
  <c r="D14" i="51"/>
  <c r="D13" i="51"/>
  <c r="D21" i="51" s="1"/>
  <c r="J10" i="51"/>
  <c r="I10" i="51"/>
  <c r="H10" i="51"/>
  <c r="G10" i="51"/>
  <c r="F10" i="51"/>
  <c r="E10" i="51"/>
  <c r="D10" i="51"/>
  <c r="B10" i="51"/>
  <c r="K9" i="51"/>
  <c r="K8" i="51"/>
  <c r="K7" i="51"/>
  <c r="K5" i="51"/>
  <c r="K4" i="51"/>
  <c r="C6" i="50"/>
  <c r="C7" i="50"/>
  <c r="D20" i="50"/>
  <c r="D19" i="50"/>
  <c r="D18" i="50"/>
  <c r="D17" i="50"/>
  <c r="D16" i="50"/>
  <c r="D15" i="50"/>
  <c r="D14" i="50"/>
  <c r="D13" i="50"/>
  <c r="D21" i="50" s="1"/>
  <c r="J10" i="50"/>
  <c r="I10" i="50"/>
  <c r="H10" i="50"/>
  <c r="G10" i="50"/>
  <c r="F10" i="50"/>
  <c r="E10" i="50"/>
  <c r="D10" i="50"/>
  <c r="B10" i="50"/>
  <c r="K9" i="50"/>
  <c r="K8" i="50"/>
  <c r="K7" i="50"/>
  <c r="K5" i="50"/>
  <c r="K4" i="50"/>
  <c r="D23" i="47"/>
  <c r="N20" i="47"/>
  <c r="N19" i="47"/>
  <c r="N18" i="47"/>
  <c r="N17" i="47"/>
  <c r="N16" i="47"/>
  <c r="N15" i="47"/>
  <c r="N14" i="47"/>
  <c r="N13" i="47"/>
  <c r="C6" i="47"/>
  <c r="C9" i="47"/>
  <c r="K9" i="47" s="1"/>
  <c r="C7" i="47"/>
  <c r="D20" i="47"/>
  <c r="D19" i="47"/>
  <c r="D18" i="47"/>
  <c r="D17" i="47"/>
  <c r="D16" i="47"/>
  <c r="D15" i="47"/>
  <c r="D14" i="47"/>
  <c r="D13" i="47"/>
  <c r="D21" i="47" s="1"/>
  <c r="J10" i="47"/>
  <c r="I10" i="47"/>
  <c r="H10" i="47"/>
  <c r="G10" i="47"/>
  <c r="F10" i="47"/>
  <c r="E10" i="47"/>
  <c r="D10" i="47"/>
  <c r="B10" i="47"/>
  <c r="K8" i="47"/>
  <c r="K7" i="47"/>
  <c r="K5" i="47"/>
  <c r="K4" i="47"/>
  <c r="D23" i="46"/>
  <c r="C9" i="46"/>
  <c r="C7" i="46"/>
  <c r="I7" i="46"/>
  <c r="K7" i="46" s="1"/>
  <c r="C6" i="46"/>
  <c r="D20" i="46"/>
  <c r="D19" i="46"/>
  <c r="D18" i="46"/>
  <c r="D17" i="46"/>
  <c r="D16" i="46"/>
  <c r="D15" i="46"/>
  <c r="D14" i="46"/>
  <c r="D13" i="46"/>
  <c r="J10" i="46"/>
  <c r="I10" i="46"/>
  <c r="H10" i="46"/>
  <c r="G10" i="46"/>
  <c r="F10" i="46"/>
  <c r="E10" i="46"/>
  <c r="D10" i="46"/>
  <c r="B10" i="46"/>
  <c r="K9" i="46"/>
  <c r="K8" i="46"/>
  <c r="K5" i="46"/>
  <c r="K4" i="46"/>
  <c r="D23" i="45"/>
  <c r="C6" i="45"/>
  <c r="C7" i="45"/>
  <c r="D16" i="45"/>
  <c r="D20" i="45"/>
  <c r="D19" i="45"/>
  <c r="D18" i="45"/>
  <c r="D17" i="45"/>
  <c r="D15" i="45"/>
  <c r="D14" i="45"/>
  <c r="D13" i="45"/>
  <c r="D21" i="45" s="1"/>
  <c r="J10" i="45"/>
  <c r="I10" i="45"/>
  <c r="H10" i="45"/>
  <c r="G10" i="45"/>
  <c r="F10" i="45"/>
  <c r="E10" i="45"/>
  <c r="D10" i="45"/>
  <c r="B10" i="45"/>
  <c r="K9" i="45"/>
  <c r="K8" i="45"/>
  <c r="K7" i="45"/>
  <c r="K5" i="45"/>
  <c r="K4" i="45"/>
  <c r="C8" i="44"/>
  <c r="C6" i="44"/>
  <c r="C7" i="44"/>
  <c r="D20" i="44"/>
  <c r="D19" i="44"/>
  <c r="D18" i="44"/>
  <c r="D17" i="44"/>
  <c r="D16" i="44"/>
  <c r="D15" i="44"/>
  <c r="D14" i="44"/>
  <c r="D21" i="44" s="1"/>
  <c r="D13" i="44"/>
  <c r="J10" i="44"/>
  <c r="I10" i="44"/>
  <c r="H10" i="44"/>
  <c r="G10" i="44"/>
  <c r="F10" i="44"/>
  <c r="E10" i="44"/>
  <c r="D10" i="44"/>
  <c r="B10" i="44"/>
  <c r="K9" i="44"/>
  <c r="K8" i="44"/>
  <c r="K6" i="44"/>
  <c r="K5" i="44"/>
  <c r="K4" i="44"/>
  <c r="D23" i="43"/>
  <c r="N21" i="43"/>
  <c r="N20" i="43"/>
  <c r="N19" i="43"/>
  <c r="N18" i="43"/>
  <c r="N17" i="43"/>
  <c r="N16" i="43"/>
  <c r="N15" i="43"/>
  <c r="N14" i="43"/>
  <c r="C7" i="43"/>
  <c r="C8" i="43"/>
  <c r="C6" i="43"/>
  <c r="D20" i="43"/>
  <c r="D19" i="43"/>
  <c r="D18" i="43"/>
  <c r="D17" i="43"/>
  <c r="D16" i="43"/>
  <c r="D15" i="43"/>
  <c r="D14" i="43"/>
  <c r="D13" i="43"/>
  <c r="M10" i="43"/>
  <c r="J10" i="43"/>
  <c r="I10" i="43"/>
  <c r="H10" i="43"/>
  <c r="G10" i="43"/>
  <c r="F10" i="43"/>
  <c r="E10" i="43"/>
  <c r="D10" i="43"/>
  <c r="C10" i="43"/>
  <c r="B10" i="43"/>
  <c r="K9" i="43"/>
  <c r="K8" i="43"/>
  <c r="K7" i="43"/>
  <c r="K6" i="43"/>
  <c r="K5" i="43"/>
  <c r="K4" i="43"/>
  <c r="D23" i="42"/>
  <c r="C6" i="42"/>
  <c r="C7" i="42"/>
  <c r="C9" i="42"/>
  <c r="D20" i="42"/>
  <c r="D19" i="42"/>
  <c r="D18" i="42"/>
  <c r="D17" i="42"/>
  <c r="D16" i="42"/>
  <c r="D15" i="42"/>
  <c r="D14" i="42"/>
  <c r="D13" i="42"/>
  <c r="M10" i="42"/>
  <c r="J10" i="42"/>
  <c r="I10" i="42"/>
  <c r="H10" i="42"/>
  <c r="G10" i="42"/>
  <c r="F10" i="42"/>
  <c r="E10" i="42"/>
  <c r="D10" i="42"/>
  <c r="B10" i="42"/>
  <c r="K9" i="42"/>
  <c r="K8" i="42"/>
  <c r="K6" i="42"/>
  <c r="K5" i="42"/>
  <c r="K4" i="42"/>
  <c r="D23" i="41"/>
  <c r="C6" i="41"/>
  <c r="C9" i="41"/>
  <c r="K9" i="41" s="1"/>
  <c r="C7" i="41"/>
  <c r="K7" i="41" s="1"/>
  <c r="D20" i="41"/>
  <c r="D19" i="41"/>
  <c r="D18" i="41"/>
  <c r="D17" i="41"/>
  <c r="D16" i="41"/>
  <c r="D15" i="41"/>
  <c r="D14" i="41"/>
  <c r="D13" i="41"/>
  <c r="M10" i="41"/>
  <c r="J10" i="41"/>
  <c r="I10" i="41"/>
  <c r="H10" i="41"/>
  <c r="G10" i="41"/>
  <c r="F10" i="41"/>
  <c r="E10" i="41"/>
  <c r="D10" i="41"/>
  <c r="B10" i="41"/>
  <c r="K8" i="41"/>
  <c r="K6" i="41"/>
  <c r="K5" i="41"/>
  <c r="K4" i="41"/>
  <c r="D24" i="40"/>
  <c r="C7" i="40"/>
  <c r="C8" i="40"/>
  <c r="C6" i="40"/>
  <c r="K6" i="40" s="1"/>
  <c r="D21" i="40"/>
  <c r="D20" i="40"/>
  <c r="D19" i="40"/>
  <c r="D18" i="40"/>
  <c r="D17" i="40"/>
  <c r="D16" i="40"/>
  <c r="D15" i="40"/>
  <c r="D14" i="40"/>
  <c r="M11" i="40"/>
  <c r="J11" i="40"/>
  <c r="I11" i="40"/>
  <c r="H11" i="40"/>
  <c r="G11" i="40"/>
  <c r="F11" i="40"/>
  <c r="E11" i="40"/>
  <c r="D11" i="40"/>
  <c r="B11" i="40"/>
  <c r="K10" i="40"/>
  <c r="N9" i="40"/>
  <c r="K9" i="40"/>
  <c r="O9" i="40" s="1"/>
  <c r="K8" i="40"/>
  <c r="K7" i="40"/>
  <c r="C11" i="40"/>
  <c r="K5" i="40"/>
  <c r="K4" i="40"/>
  <c r="D24" i="39"/>
  <c r="C8" i="39"/>
  <c r="C6" i="39"/>
  <c r="C7" i="39"/>
  <c r="D21" i="39"/>
  <c r="D20" i="39"/>
  <c r="D19" i="39"/>
  <c r="D18" i="39"/>
  <c r="D17" i="39"/>
  <c r="D16" i="39"/>
  <c r="D15" i="39"/>
  <c r="D14" i="39"/>
  <c r="M11" i="39"/>
  <c r="J11" i="39"/>
  <c r="H11" i="39"/>
  <c r="G11" i="39"/>
  <c r="F11" i="39"/>
  <c r="E11" i="39"/>
  <c r="D11" i="39"/>
  <c r="B11" i="39"/>
  <c r="K10" i="39"/>
  <c r="K9" i="39"/>
  <c r="I11" i="39"/>
  <c r="K8" i="39"/>
  <c r="K7" i="39"/>
  <c r="K5" i="39"/>
  <c r="K4" i="39"/>
  <c r="N22" i="38"/>
  <c r="N21" i="38"/>
  <c r="N20" i="38"/>
  <c r="N19" i="38"/>
  <c r="N18" i="38"/>
  <c r="N17" i="38"/>
  <c r="N16" i="38"/>
  <c r="N15" i="38"/>
  <c r="D24" i="38"/>
  <c r="C6" i="38"/>
  <c r="C7" i="38"/>
  <c r="I8" i="38"/>
  <c r="C8" i="38"/>
  <c r="D21" i="38"/>
  <c r="D20" i="38"/>
  <c r="D19" i="38"/>
  <c r="D18" i="38"/>
  <c r="D17" i="38"/>
  <c r="D16" i="38"/>
  <c r="D15" i="38"/>
  <c r="D14" i="38"/>
  <c r="M11" i="38"/>
  <c r="J11" i="38"/>
  <c r="I11" i="38"/>
  <c r="H11" i="38"/>
  <c r="G11" i="38"/>
  <c r="F11" i="38"/>
  <c r="E11" i="38"/>
  <c r="D11" i="38"/>
  <c r="B11" i="38"/>
  <c r="K10" i="38"/>
  <c r="K9" i="38"/>
  <c r="K8" i="38"/>
  <c r="K6" i="38"/>
  <c r="K5" i="38"/>
  <c r="K4" i="38"/>
  <c r="D24" i="36"/>
  <c r="C8" i="36"/>
  <c r="C7" i="36"/>
  <c r="K7" i="36" s="1"/>
  <c r="D24" i="37"/>
  <c r="C7" i="37"/>
  <c r="K7" i="37" s="1"/>
  <c r="I7" i="37"/>
  <c r="C6" i="37"/>
  <c r="C8" i="37"/>
  <c r="D21" i="37"/>
  <c r="D20" i="37"/>
  <c r="D19" i="37"/>
  <c r="D18" i="37"/>
  <c r="D17" i="37"/>
  <c r="D16" i="37"/>
  <c r="D15" i="37"/>
  <c r="D14" i="37"/>
  <c r="M11" i="37"/>
  <c r="J11" i="37"/>
  <c r="I11" i="37"/>
  <c r="H11" i="37"/>
  <c r="G11" i="37"/>
  <c r="F11" i="37"/>
  <c r="E11" i="37"/>
  <c r="D11" i="37"/>
  <c r="B11" i="37"/>
  <c r="K10" i="37"/>
  <c r="K9" i="37"/>
  <c r="K8" i="37"/>
  <c r="K5" i="37"/>
  <c r="K4" i="37"/>
  <c r="D21" i="36"/>
  <c r="D20" i="36"/>
  <c r="D19" i="36"/>
  <c r="D18" i="36"/>
  <c r="D17" i="36"/>
  <c r="D16" i="36"/>
  <c r="D15" i="36"/>
  <c r="D14" i="36"/>
  <c r="M11" i="36"/>
  <c r="J11" i="36"/>
  <c r="I11" i="36"/>
  <c r="H11" i="36"/>
  <c r="G11" i="36"/>
  <c r="F11" i="36"/>
  <c r="E11" i="36"/>
  <c r="D11" i="36"/>
  <c r="B11" i="36"/>
  <c r="K10" i="36"/>
  <c r="K9" i="36"/>
  <c r="K8" i="36"/>
  <c r="K5" i="36"/>
  <c r="K4" i="36"/>
  <c r="D24" i="35"/>
  <c r="C7" i="35"/>
  <c r="C8" i="35"/>
  <c r="K8" i="35"/>
  <c r="C6" i="35"/>
  <c r="D21" i="35"/>
  <c r="D20" i="35"/>
  <c r="D19" i="35"/>
  <c r="D18" i="35"/>
  <c r="D17" i="35"/>
  <c r="D16" i="35"/>
  <c r="D15" i="35"/>
  <c r="D14" i="35"/>
  <c r="M11" i="35"/>
  <c r="J11" i="35"/>
  <c r="I11" i="35"/>
  <c r="H11" i="35"/>
  <c r="G11" i="35"/>
  <c r="F11" i="35"/>
  <c r="E11" i="35"/>
  <c r="D11" i="35"/>
  <c r="B11" i="35"/>
  <c r="K10" i="35"/>
  <c r="K9" i="35"/>
  <c r="K6" i="35"/>
  <c r="K5" i="35"/>
  <c r="K4" i="35"/>
  <c r="C6" i="34"/>
  <c r="C8" i="34"/>
  <c r="C7" i="34"/>
  <c r="D21" i="34"/>
  <c r="D20" i="34"/>
  <c r="D19" i="34"/>
  <c r="D18" i="34"/>
  <c r="D17" i="34"/>
  <c r="D16" i="34"/>
  <c r="D15" i="34"/>
  <c r="D14" i="34"/>
  <c r="D22" i="34" s="1"/>
  <c r="M11" i="34"/>
  <c r="J11" i="34"/>
  <c r="I11" i="34"/>
  <c r="H11" i="34"/>
  <c r="G11" i="34"/>
  <c r="F11" i="34"/>
  <c r="E11" i="34"/>
  <c r="D11" i="34"/>
  <c r="B11" i="34"/>
  <c r="K10" i="34"/>
  <c r="K9" i="34"/>
  <c r="K8" i="34"/>
  <c r="K7" i="34"/>
  <c r="K5" i="34"/>
  <c r="K4" i="34"/>
  <c r="D21" i="66" l="1"/>
  <c r="O9" i="66"/>
  <c r="N9" i="66"/>
  <c r="O8" i="66"/>
  <c r="N8" i="66"/>
  <c r="N7" i="66"/>
  <c r="O7" i="66"/>
  <c r="C10" i="66"/>
  <c r="K6" i="66"/>
  <c r="O5" i="66"/>
  <c r="N5" i="66"/>
  <c r="O4" i="66"/>
  <c r="N4" i="66"/>
  <c r="N9" i="65"/>
  <c r="O9" i="65"/>
  <c r="O8" i="65"/>
  <c r="N8" i="65"/>
  <c r="C10" i="65"/>
  <c r="K7" i="65"/>
  <c r="K10" i="65"/>
  <c r="O6" i="65"/>
  <c r="N6" i="65"/>
  <c r="O5" i="65"/>
  <c r="N5" i="65"/>
  <c r="O4" i="65"/>
  <c r="N4" i="65"/>
  <c r="N9" i="64"/>
  <c r="O9" i="64"/>
  <c r="O8" i="64"/>
  <c r="N8" i="64"/>
  <c r="N7" i="64"/>
  <c r="O7" i="64"/>
  <c r="N6" i="64"/>
  <c r="O6" i="64"/>
  <c r="K10" i="64"/>
  <c r="O5" i="64"/>
  <c r="N5" i="64"/>
  <c r="O4" i="64"/>
  <c r="N4" i="64"/>
  <c r="D21" i="63"/>
  <c r="O9" i="63"/>
  <c r="N9" i="63"/>
  <c r="O8" i="63"/>
  <c r="N8" i="63"/>
  <c r="N7" i="63"/>
  <c r="O7" i="63"/>
  <c r="N6" i="63"/>
  <c r="O6" i="63"/>
  <c r="K10" i="63"/>
  <c r="N5" i="63"/>
  <c r="O5" i="63"/>
  <c r="O4" i="63"/>
  <c r="N4" i="63"/>
  <c r="D21" i="62"/>
  <c r="O9" i="62"/>
  <c r="N9" i="62"/>
  <c r="N8" i="62"/>
  <c r="O8" i="62"/>
  <c r="O7" i="62"/>
  <c r="N7" i="62"/>
  <c r="C10" i="62"/>
  <c r="K6" i="62"/>
  <c r="K10" i="62" s="1"/>
  <c r="O5" i="62"/>
  <c r="N5" i="62"/>
  <c r="O4" i="62"/>
  <c r="N4" i="62"/>
  <c r="N9" i="61"/>
  <c r="O9" i="61"/>
  <c r="N7" i="61"/>
  <c r="O7" i="61"/>
  <c r="C10" i="61"/>
  <c r="K6" i="61"/>
  <c r="K10" i="61" s="1"/>
  <c r="O5" i="61"/>
  <c r="N5" i="61"/>
  <c r="O4" i="61"/>
  <c r="N4" i="61"/>
  <c r="O9" i="60"/>
  <c r="N9" i="60"/>
  <c r="O8" i="60"/>
  <c r="N8" i="60"/>
  <c r="N7" i="60"/>
  <c r="O7" i="60"/>
  <c r="C10" i="60"/>
  <c r="K6" i="60"/>
  <c r="K10" i="60" s="1"/>
  <c r="O5" i="60"/>
  <c r="N5" i="60"/>
  <c r="N4" i="60"/>
  <c r="O4" i="60"/>
  <c r="D21" i="59"/>
  <c r="O9" i="59"/>
  <c r="N9" i="59"/>
  <c r="O8" i="59"/>
  <c r="N8" i="59"/>
  <c r="N7" i="59"/>
  <c r="O7" i="59"/>
  <c r="K6" i="59"/>
  <c r="C10" i="59"/>
  <c r="N5" i="59"/>
  <c r="O5" i="59"/>
  <c r="O4" i="59"/>
  <c r="N4" i="59"/>
  <c r="K10" i="59"/>
  <c r="O9" i="58"/>
  <c r="N9" i="58"/>
  <c r="O8" i="58"/>
  <c r="N8" i="58"/>
  <c r="N7" i="58"/>
  <c r="O7" i="58"/>
  <c r="C10" i="58"/>
  <c r="K6" i="58"/>
  <c r="O5" i="58"/>
  <c r="N5" i="58"/>
  <c r="K10" i="58"/>
  <c r="O4" i="58"/>
  <c r="N4" i="58"/>
  <c r="D21" i="57"/>
  <c r="N9" i="57"/>
  <c r="O9" i="57"/>
  <c r="O8" i="57"/>
  <c r="N8" i="57"/>
  <c r="O7" i="57"/>
  <c r="N7" i="57"/>
  <c r="K6" i="57"/>
  <c r="C10" i="57"/>
  <c r="N5" i="57"/>
  <c r="O5" i="57"/>
  <c r="K10" i="57"/>
  <c r="N4" i="57"/>
  <c r="O4" i="57"/>
  <c r="O9" i="56"/>
  <c r="N9" i="56"/>
  <c r="N8" i="56"/>
  <c r="O8" i="56"/>
  <c r="O7" i="56"/>
  <c r="N7" i="56"/>
  <c r="K6" i="56"/>
  <c r="K10" i="56" s="1"/>
  <c r="C10" i="56"/>
  <c r="O5" i="56"/>
  <c r="N5" i="56"/>
  <c r="O4" i="56"/>
  <c r="N4" i="56"/>
  <c r="D21" i="55"/>
  <c r="N9" i="55"/>
  <c r="O9" i="55"/>
  <c r="O8" i="55"/>
  <c r="N8" i="55"/>
  <c r="O7" i="55"/>
  <c r="N7" i="55"/>
  <c r="O6" i="55"/>
  <c r="N6" i="55"/>
  <c r="O5" i="55"/>
  <c r="N5" i="55"/>
  <c r="O4" i="55"/>
  <c r="N4" i="55"/>
  <c r="K10" i="55"/>
  <c r="O9" i="54"/>
  <c r="N9" i="54"/>
  <c r="O8" i="54"/>
  <c r="N8" i="54"/>
  <c r="N7" i="54"/>
  <c r="O7" i="54"/>
  <c r="C10" i="54"/>
  <c r="K6" i="54"/>
  <c r="O5" i="54"/>
  <c r="N5" i="54"/>
  <c r="K10" i="54"/>
  <c r="N4" i="54"/>
  <c r="O4" i="54"/>
  <c r="O9" i="53"/>
  <c r="N9" i="53"/>
  <c r="N8" i="53"/>
  <c r="O8" i="53"/>
  <c r="O7" i="53"/>
  <c r="N7" i="53"/>
  <c r="K6" i="53"/>
  <c r="K10" i="53" s="1"/>
  <c r="C10" i="53"/>
  <c r="N5" i="53"/>
  <c r="O5" i="53"/>
  <c r="O4" i="53"/>
  <c r="N4" i="53"/>
  <c r="N9" i="52"/>
  <c r="O9" i="52"/>
  <c r="O8" i="52"/>
  <c r="N8" i="52"/>
  <c r="N7" i="52"/>
  <c r="O7" i="52"/>
  <c r="C10" i="52"/>
  <c r="K6" i="52"/>
  <c r="K10" i="52"/>
  <c r="O5" i="52"/>
  <c r="N5" i="52"/>
  <c r="O9" i="51"/>
  <c r="N9" i="51"/>
  <c r="O8" i="51"/>
  <c r="N8" i="51"/>
  <c r="N7" i="51"/>
  <c r="O7" i="51"/>
  <c r="C10" i="51"/>
  <c r="K6" i="51"/>
  <c r="K10" i="51" s="1"/>
  <c r="O5" i="51"/>
  <c r="N5" i="51"/>
  <c r="O4" i="51"/>
  <c r="N4" i="51"/>
  <c r="N9" i="50"/>
  <c r="O9" i="50"/>
  <c r="O8" i="50"/>
  <c r="N8" i="50"/>
  <c r="N7" i="50"/>
  <c r="O7" i="50"/>
  <c r="C10" i="50"/>
  <c r="K6" i="50"/>
  <c r="K10" i="50" s="1"/>
  <c r="O5" i="50"/>
  <c r="N5" i="50"/>
  <c r="O4" i="50"/>
  <c r="N4" i="50"/>
  <c r="N21" i="47"/>
  <c r="N9" i="47"/>
  <c r="O9" i="47"/>
  <c r="O8" i="47"/>
  <c r="N8" i="47"/>
  <c r="N7" i="47"/>
  <c r="O7" i="47"/>
  <c r="C10" i="47"/>
  <c r="K6" i="47"/>
  <c r="K10" i="47" s="1"/>
  <c r="O5" i="47"/>
  <c r="N5" i="47"/>
  <c r="O4" i="47"/>
  <c r="N4" i="47"/>
  <c r="K6" i="46"/>
  <c r="C10" i="46"/>
  <c r="D21" i="46"/>
  <c r="N9" i="46"/>
  <c r="O9" i="46"/>
  <c r="O8" i="46"/>
  <c r="N8" i="46"/>
  <c r="O7" i="46"/>
  <c r="N7" i="46"/>
  <c r="N6" i="46"/>
  <c r="O6" i="46"/>
  <c r="K10" i="46"/>
  <c r="O5" i="46"/>
  <c r="N5" i="46"/>
  <c r="O4" i="46"/>
  <c r="N4" i="46"/>
  <c r="N9" i="45"/>
  <c r="O9" i="45"/>
  <c r="N8" i="45"/>
  <c r="O8" i="45"/>
  <c r="N7" i="45"/>
  <c r="O7" i="45"/>
  <c r="K6" i="45"/>
  <c r="K10" i="45" s="1"/>
  <c r="C10" i="45"/>
  <c r="N5" i="45"/>
  <c r="O5" i="45"/>
  <c r="N4" i="45"/>
  <c r="O4" i="45"/>
  <c r="K7" i="44"/>
  <c r="C10" i="44"/>
  <c r="O9" i="44"/>
  <c r="N9" i="44"/>
  <c r="O8" i="44"/>
  <c r="N8" i="44"/>
  <c r="O6" i="44"/>
  <c r="N6" i="44"/>
  <c r="O5" i="44"/>
  <c r="N5" i="44"/>
  <c r="O4" i="44"/>
  <c r="N4" i="44"/>
  <c r="N22" i="43"/>
  <c r="D21" i="43"/>
  <c r="N9" i="43"/>
  <c r="O9" i="43"/>
  <c r="O8" i="43"/>
  <c r="N8" i="43"/>
  <c r="N7" i="43"/>
  <c r="O7" i="43"/>
  <c r="N6" i="43"/>
  <c r="O6" i="43"/>
  <c r="K10" i="43"/>
  <c r="O5" i="43"/>
  <c r="N5" i="43"/>
  <c r="O4" i="43"/>
  <c r="N4" i="43"/>
  <c r="D21" i="42"/>
  <c r="N9" i="42"/>
  <c r="O9" i="42"/>
  <c r="O8" i="42"/>
  <c r="N8" i="42"/>
  <c r="K7" i="42"/>
  <c r="K10" i="42" s="1"/>
  <c r="C10" i="42"/>
  <c r="N6" i="42"/>
  <c r="O6" i="42"/>
  <c r="O5" i="42"/>
  <c r="N5" i="42"/>
  <c r="O4" i="42"/>
  <c r="N4" i="42"/>
  <c r="D21" i="41"/>
  <c r="O9" i="41"/>
  <c r="N9" i="41"/>
  <c r="O8" i="41"/>
  <c r="N8" i="41"/>
  <c r="N7" i="41"/>
  <c r="O7" i="41"/>
  <c r="N6" i="41"/>
  <c r="O6" i="41"/>
  <c r="C10" i="41"/>
  <c r="O5" i="41"/>
  <c r="N5" i="41"/>
  <c r="O4" i="41"/>
  <c r="N4" i="41"/>
  <c r="D22" i="40"/>
  <c r="N10" i="40"/>
  <c r="O10" i="40"/>
  <c r="N8" i="40"/>
  <c r="O8" i="40"/>
  <c r="O7" i="40"/>
  <c r="N7" i="40"/>
  <c r="O6" i="40"/>
  <c r="N6" i="40"/>
  <c r="N5" i="40"/>
  <c r="O5" i="40"/>
  <c r="K11" i="40"/>
  <c r="N4" i="40"/>
  <c r="O4" i="40"/>
  <c r="D22" i="39"/>
  <c r="O10" i="39"/>
  <c r="N10" i="39"/>
  <c r="O9" i="39"/>
  <c r="N9" i="39"/>
  <c r="N8" i="39"/>
  <c r="O8" i="39"/>
  <c r="O7" i="39"/>
  <c r="N7" i="39"/>
  <c r="C11" i="39"/>
  <c r="K6" i="39"/>
  <c r="K11" i="39" s="1"/>
  <c r="O5" i="39"/>
  <c r="N5" i="39"/>
  <c r="O4" i="39"/>
  <c r="N4" i="39"/>
  <c r="N23" i="38"/>
  <c r="D22" i="38"/>
  <c r="O10" i="38"/>
  <c r="N10" i="38"/>
  <c r="O9" i="38"/>
  <c r="N9" i="38"/>
  <c r="O8" i="38"/>
  <c r="N8" i="38"/>
  <c r="K7" i="38"/>
  <c r="K11" i="38" s="1"/>
  <c r="C11" i="38"/>
  <c r="N6" i="38"/>
  <c r="O6" i="38"/>
  <c r="O5" i="38"/>
  <c r="N5" i="38"/>
  <c r="N4" i="38"/>
  <c r="O4" i="38"/>
  <c r="D22" i="36"/>
  <c r="D22" i="37"/>
  <c r="C11" i="37"/>
  <c r="K6" i="37"/>
  <c r="N10" i="37"/>
  <c r="O10" i="37"/>
  <c r="O9" i="37"/>
  <c r="N9" i="37"/>
  <c r="O8" i="37"/>
  <c r="N8" i="37"/>
  <c r="O7" i="37"/>
  <c r="N7" i="37"/>
  <c r="O5" i="37"/>
  <c r="N5" i="37"/>
  <c r="O4" i="37"/>
  <c r="N4" i="37"/>
  <c r="O10" i="36"/>
  <c r="N10" i="36"/>
  <c r="O9" i="36"/>
  <c r="N9" i="36"/>
  <c r="O8" i="36"/>
  <c r="N8" i="36"/>
  <c r="N7" i="36"/>
  <c r="O7" i="36"/>
  <c r="K6" i="36"/>
  <c r="K11" i="36" s="1"/>
  <c r="C11" i="36"/>
  <c r="O5" i="36"/>
  <c r="N5" i="36"/>
  <c r="N4" i="36"/>
  <c r="O4" i="36"/>
  <c r="D22" i="35"/>
  <c r="N10" i="35"/>
  <c r="O10" i="35"/>
  <c r="O9" i="35"/>
  <c r="N9" i="35"/>
  <c r="N8" i="35"/>
  <c r="O8" i="35"/>
  <c r="C11" i="35"/>
  <c r="K7" i="35"/>
  <c r="K11" i="35" s="1"/>
  <c r="O6" i="35"/>
  <c r="N6" i="35"/>
  <c r="O5" i="35"/>
  <c r="N5" i="35"/>
  <c r="O4" i="35"/>
  <c r="N4" i="35"/>
  <c r="N10" i="34"/>
  <c r="O10" i="34"/>
  <c r="O9" i="34"/>
  <c r="N9" i="34"/>
  <c r="N8" i="34"/>
  <c r="O8" i="34"/>
  <c r="N7" i="34"/>
  <c r="O7" i="34"/>
  <c r="C11" i="34"/>
  <c r="K6" i="34"/>
  <c r="O5" i="34"/>
  <c r="N5" i="34"/>
  <c r="K11" i="34"/>
  <c r="O4" i="34"/>
  <c r="N4" i="34"/>
  <c r="O6" i="66" l="1"/>
  <c r="O10" i="66" s="1"/>
  <c r="N6" i="66"/>
  <c r="N10" i="66" s="1"/>
  <c r="K10" i="66"/>
  <c r="N7" i="65"/>
  <c r="N10" i="65" s="1"/>
  <c r="O7" i="65"/>
  <c r="O10" i="65" s="1"/>
  <c r="N10" i="64"/>
  <c r="O10" i="64"/>
  <c r="N10" i="63"/>
  <c r="O10" i="63"/>
  <c r="N6" i="62"/>
  <c r="N10" i="62" s="1"/>
  <c r="O6" i="62"/>
  <c r="O10" i="62" s="1"/>
  <c r="N6" i="61"/>
  <c r="N10" i="61" s="1"/>
  <c r="O6" i="61"/>
  <c r="O10" i="61" s="1"/>
  <c r="N6" i="60"/>
  <c r="N10" i="60" s="1"/>
  <c r="O6" i="60"/>
  <c r="O10" i="60" s="1"/>
  <c r="N6" i="59"/>
  <c r="N10" i="59" s="1"/>
  <c r="O6" i="59"/>
  <c r="O10" i="59" s="1"/>
  <c r="N6" i="58"/>
  <c r="N10" i="58" s="1"/>
  <c r="O6" i="58"/>
  <c r="O10" i="58" s="1"/>
  <c r="N6" i="57"/>
  <c r="N10" i="57" s="1"/>
  <c r="O6" i="57"/>
  <c r="O10" i="57" s="1"/>
  <c r="O6" i="56"/>
  <c r="O10" i="56" s="1"/>
  <c r="N6" i="56"/>
  <c r="N10" i="56" s="1"/>
  <c r="N10" i="55"/>
  <c r="O10" i="55"/>
  <c r="O6" i="54"/>
  <c r="O10" i="54" s="1"/>
  <c r="N6" i="54"/>
  <c r="N10" i="54" s="1"/>
  <c r="O6" i="53"/>
  <c r="O10" i="53" s="1"/>
  <c r="N6" i="53"/>
  <c r="N10" i="53" s="1"/>
  <c r="N6" i="52"/>
  <c r="N10" i="52" s="1"/>
  <c r="O6" i="52"/>
  <c r="O10" i="52" s="1"/>
  <c r="N6" i="51"/>
  <c r="N10" i="51" s="1"/>
  <c r="O6" i="51"/>
  <c r="O10" i="51" s="1"/>
  <c r="N6" i="50"/>
  <c r="N10" i="50" s="1"/>
  <c r="O6" i="50"/>
  <c r="O10" i="50" s="1"/>
  <c r="N6" i="47"/>
  <c r="N10" i="47" s="1"/>
  <c r="O6" i="47"/>
  <c r="O10" i="47" s="1"/>
  <c r="O10" i="46"/>
  <c r="N10" i="46"/>
  <c r="N6" i="45"/>
  <c r="N10" i="45" s="1"/>
  <c r="O6" i="45"/>
  <c r="O10" i="45" s="1"/>
  <c r="N7" i="44"/>
  <c r="O7" i="44"/>
  <c r="O10" i="44" s="1"/>
  <c r="K10" i="44"/>
  <c r="N10" i="44"/>
  <c r="O10" i="43"/>
  <c r="N10" i="43"/>
  <c r="N7" i="42"/>
  <c r="N10" i="42" s="1"/>
  <c r="O7" i="42"/>
  <c r="O10" i="42" s="1"/>
  <c r="N10" i="41"/>
  <c r="O10" i="41"/>
  <c r="K10" i="41"/>
  <c r="O11" i="40"/>
  <c r="N11" i="40"/>
  <c r="N6" i="39"/>
  <c r="N11" i="39" s="1"/>
  <c r="O6" i="39"/>
  <c r="O11" i="39" s="1"/>
  <c r="O7" i="38"/>
  <c r="O11" i="38" s="1"/>
  <c r="N7" i="38"/>
  <c r="N11" i="38" s="1"/>
  <c r="K11" i="37"/>
  <c r="O6" i="37"/>
  <c r="O11" i="37" s="1"/>
  <c r="N6" i="37"/>
  <c r="N11" i="37" s="1"/>
  <c r="N6" i="36"/>
  <c r="N11" i="36" s="1"/>
  <c r="O6" i="36"/>
  <c r="O11" i="36" s="1"/>
  <c r="O7" i="35"/>
  <c r="O11" i="35" s="1"/>
  <c r="N7" i="35"/>
  <c r="N11" i="35" s="1"/>
  <c r="N6" i="34"/>
  <c r="N11" i="34" s="1"/>
  <c r="O6" i="34"/>
  <c r="O11" i="34" s="1"/>
</calcChain>
</file>

<file path=xl/sharedStrings.xml><?xml version="1.0" encoding="utf-8"?>
<sst xmlns="http://schemas.openxmlformats.org/spreadsheetml/2006/main" count="1122" uniqueCount="58">
  <si>
    <t xml:space="preserve">               </t>
  </si>
  <si>
    <t>NOIR CINEMA DCS BOX &amp; CONCESSION</t>
  </si>
  <si>
    <t>User</t>
  </si>
  <si>
    <t>Cash</t>
  </si>
  <si>
    <t>Credit Card</t>
  </si>
  <si>
    <t>Online</t>
  </si>
  <si>
    <t xml:space="preserve">pre-paid </t>
  </si>
  <si>
    <t>Influncer Voucher</t>
  </si>
  <si>
    <t xml:space="preserve">comp </t>
  </si>
  <si>
    <t>buy one
 get one Free offer</t>
  </si>
  <si>
    <t>Hunger Station</t>
  </si>
  <si>
    <t>Bogo Offer</t>
  </si>
  <si>
    <t>Total</t>
  </si>
  <si>
    <t>As per Report Revenue</t>
  </si>
  <si>
    <t>Excess</t>
  </si>
  <si>
    <t>Shortage</t>
  </si>
  <si>
    <t>UNPUNCH</t>
  </si>
  <si>
    <t>KIOSK (Online)</t>
  </si>
  <si>
    <t>X</t>
  </si>
  <si>
    <t>Coins</t>
  </si>
  <si>
    <t>Final Deposit Amount</t>
  </si>
  <si>
    <t xml:space="preserve">Cash Balance </t>
  </si>
  <si>
    <t>Ohoud Saeed Almutairi</t>
  </si>
  <si>
    <t>Abdullah Aldubyb</t>
  </si>
  <si>
    <t>31/5/2025</t>
  </si>
  <si>
    <t>Rakan Almutiri</t>
  </si>
  <si>
    <t>Olyan Alraqas</t>
  </si>
  <si>
    <t>Mohamed Alotaibi</t>
  </si>
  <si>
    <t>Nawaf Hamdi Alharbi</t>
  </si>
  <si>
    <t>4/6/2025-31/05/2025</t>
  </si>
  <si>
    <t xml:space="preserve"> </t>
  </si>
  <si>
    <t>Rayan Almozini</t>
  </si>
  <si>
    <t>Mohamed Fahad</t>
  </si>
  <si>
    <t>31/05/2025-09/06/2025</t>
  </si>
  <si>
    <t xml:space="preserve">deposit </t>
  </si>
  <si>
    <t>.</t>
  </si>
  <si>
    <t>13/6/2025</t>
  </si>
  <si>
    <t>10/06/2025 to 13/06/2025</t>
  </si>
  <si>
    <t>14/6/2025</t>
  </si>
  <si>
    <t>15/6/2025</t>
  </si>
  <si>
    <t>16/6/2025</t>
  </si>
  <si>
    <t xml:space="preserve">Mohamed Fahad alrouqayi </t>
  </si>
  <si>
    <t>17/6/2025</t>
  </si>
  <si>
    <t>18/6/2025</t>
  </si>
  <si>
    <t>19/6/2025</t>
  </si>
  <si>
    <t>20/6/2025</t>
  </si>
  <si>
    <t>13/06/2025-20/06/2025</t>
  </si>
  <si>
    <t>22/6/2025</t>
  </si>
  <si>
    <t>21/6/2025</t>
  </si>
  <si>
    <t>23/6/2025</t>
  </si>
  <si>
    <t>24/6/2025</t>
  </si>
  <si>
    <t>25/6/2025</t>
  </si>
  <si>
    <t>20/06/2025-25/6/2025</t>
  </si>
  <si>
    <t>26/6/2025</t>
  </si>
  <si>
    <t>27/6/2025</t>
  </si>
  <si>
    <t>28/6/2025</t>
  </si>
  <si>
    <t>29/6/2025</t>
  </si>
  <si>
    <t>30/6/2025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</si>
</sst>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.000&quot; &quot;;&quot; (&quot;#,##0.000&quot;)&quot;;&quot; -&quot;#.0&quot; &quot;;@&quot; &quot;"/>
    <numFmt numFmtId="166" formatCode="d\-mmm\-yy;@"/>
    <numFmt numFmtId="167" formatCode="[$-409]m\-d\-yyyy"/>
    <numFmt numFmtId="168" formatCode="d/mmm/yy;@"/>
  </numFmts>
  <fonts count="9"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Calibri2"/>
    </font>
    <font>
      <sz val="11"/>
      <color rgb="FF006100"/>
      <name val="Aptos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b/>
      <sz val="12"/>
      <color rgb="FF000000"/>
      <name val="Arial Narrow"/>
      <family val="2"/>
    </font>
    <font>
      <sz val="11"/>
      <color rgb="FFFF0000"/>
      <name val="Arial Narrow"/>
      <family val="2"/>
    </font>
    <font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948A54"/>
        <bgColor rgb="FF948A54"/>
      </patternFill>
    </fill>
    <fill>
      <patternFill patternType="solid">
        <fgColor rgb="FF83CCEB"/>
        <bgColor rgb="FF83CCEB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FCD5B5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1" fillId="0" borderId="0" applyNumberFormat="0" applyBorder="0" applyProtection="0"/>
    <xf numFmtId="168" fontId="2" fillId="0" borderId="0" applyBorder="0" applyProtection="0"/>
    <xf numFmtId="0" fontId="3" fillId="2" borderId="0" applyNumberFormat="0" applyBorder="0" applyAlignment="0" applyProtection="0"/>
    <xf numFmtId="0" fontId="8" fillId="0" borderId="0" applyNumberFormat="0" applyFont="0" applyBorder="0" applyProtection="0"/>
  </cellStyleXfs>
  <cellXfs count="38">
    <xf numFmtId="0" fontId="0" fillId="0" borderId="0" xfId="0"/>
    <xf numFmtId="14" fontId="4" fillId="0" borderId="0" xfId="1" applyNumberFormat="1" applyFont="1" applyAlignment="1">
      <alignment horizontal="center"/>
    </xf>
    <xf numFmtId="167" fontId="5" fillId="3" borderId="0" xfId="1" applyNumberFormat="1" applyFont="1" applyFill="1"/>
    <xf numFmtId="0" fontId="0" fillId="0" borderId="0" xfId="0" applyAlignment="1">
      <alignment horizontal="center"/>
    </xf>
    <xf numFmtId="0" fontId="5" fillId="0" borderId="0" xfId="1" applyFont="1"/>
    <xf numFmtId="164" fontId="4" fillId="5" borderId="2" xfId="1" applyNumberFormat="1" applyFont="1" applyFill="1" applyBorder="1" applyAlignment="1">
      <alignment horizontal="center" vertical="center" wrapText="1"/>
    </xf>
    <xf numFmtId="164" fontId="6" fillId="5" borderId="2" xfId="1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wrapText="1"/>
    </xf>
    <xf numFmtId="164" fontId="4" fillId="6" borderId="2" xfId="1" applyNumberFormat="1" applyFont="1" applyFill="1" applyBorder="1" applyAlignment="1">
      <alignment horizontal="center" vertical="center" wrapText="1"/>
    </xf>
    <xf numFmtId="164" fontId="7" fillId="3" borderId="2" xfId="2" applyNumberFormat="1" applyFont="1" applyFill="1" applyBorder="1"/>
    <xf numFmtId="164" fontId="5" fillId="0" borderId="2" xfId="2" applyNumberFormat="1" applyFont="1" applyBorder="1" applyAlignment="1">
      <alignment horizontal="right"/>
    </xf>
    <xf numFmtId="164" fontId="4" fillId="0" borderId="2" xfId="2" applyNumberFormat="1" applyFont="1" applyBorder="1"/>
    <xf numFmtId="164" fontId="4" fillId="7" borderId="2" xfId="2" applyNumberFormat="1" applyFont="1" applyFill="1" applyBorder="1"/>
    <xf numFmtId="164" fontId="4" fillId="6" borderId="2" xfId="2" applyNumberFormat="1" applyFont="1" applyFill="1" applyBorder="1" applyAlignment="1">
      <alignment horizontal="center" vertical="center"/>
    </xf>
    <xf numFmtId="0" fontId="5" fillId="0" borderId="1" xfId="1" applyFont="1" applyBorder="1"/>
    <xf numFmtId="0" fontId="5" fillId="0" borderId="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165" fontId="5" fillId="0" borderId="6" xfId="2" applyNumberFormat="1" applyFont="1" applyBorder="1"/>
    <xf numFmtId="0" fontId="5" fillId="0" borderId="7" xfId="1" applyFont="1" applyBorder="1"/>
    <xf numFmtId="0" fontId="5" fillId="0" borderId="7" xfId="1" applyFont="1" applyBorder="1" applyAlignment="1">
      <alignment horizontal="right"/>
    </xf>
    <xf numFmtId="0" fontId="5" fillId="0" borderId="2" xfId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" fontId="5" fillId="0" borderId="5" xfId="1" applyNumberFormat="1" applyFont="1" applyBorder="1" applyAlignment="1">
      <alignment horizontal="left" indent="3"/>
    </xf>
    <xf numFmtId="165" fontId="4" fillId="6" borderId="10" xfId="1" applyNumberFormat="1" applyFont="1" applyFill="1" applyBorder="1"/>
    <xf numFmtId="2" fontId="0" fillId="8" borderId="0" xfId="0" applyNumberFormat="1" applyFill="1"/>
    <xf numFmtId="164" fontId="7" fillId="3" borderId="9" xfId="2" applyNumberFormat="1" applyFont="1" applyFill="1" applyBorder="1"/>
    <xf numFmtId="164" fontId="4" fillId="5" borderId="12" xfId="1" applyNumberFormat="1" applyFont="1" applyFill="1" applyBorder="1" applyAlignment="1">
      <alignment horizontal="center" vertical="center" wrapText="1"/>
    </xf>
    <xf numFmtId="164" fontId="4" fillId="7" borderId="5" xfId="1" applyNumberFormat="1" applyFont="1" applyFill="1" applyBorder="1"/>
    <xf numFmtId="164" fontId="5" fillId="0" borderId="11" xfId="0" applyNumberFormat="1" applyFont="1" applyBorder="1" applyAlignment="1">
      <alignment vertical="center"/>
    </xf>
    <xf numFmtId="164" fontId="7" fillId="3" borderId="11" xfId="2" applyNumberFormat="1" applyFont="1" applyFill="1" applyBorder="1"/>
    <xf numFmtId="164" fontId="7" fillId="3" borderId="13" xfId="2" applyNumberFormat="1" applyFont="1" applyFill="1" applyBorder="1"/>
    <xf numFmtId="164" fontId="4" fillId="7" borderId="5" xfId="2" applyNumberFormat="1" applyFont="1" applyFill="1" applyBorder="1"/>
    <xf numFmtId="0" fontId="0" fillId="0" borderId="11" xfId="0" applyBorder="1"/>
    <xf numFmtId="0" fontId="0" fillId="9" borderId="0" xfId="0" applyFill="1"/>
    <xf numFmtId="166" fontId="4" fillId="4" borderId="1" xfId="1" applyNumberFormat="1" applyFont="1" applyFill="1" applyBorder="1" applyAlignment="1">
      <alignment horizontal="center"/>
    </xf>
    <xf numFmtId="14" fontId="4" fillId="0" borderId="3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</cellXfs>
  <cellStyles count="5">
    <cellStyle name="Excel Built-in Normal" xfId="1" xr:uid="{1493F034-706D-431D-982D-A2D7EE2D1E33}"/>
    <cellStyle name="Excel_BuiltIn_Comma" xfId="2" xr:uid="{A338CAC7-CCF1-433F-9C41-E463AB36A79A}"/>
    <cellStyle name="Good 2" xfId="3" xr:uid="{3A63B2A0-54DE-4D37-AAF3-C0027674E79A}"/>
    <cellStyle name="Normal" xfId="0" builtinId="0" customBuiltin="1"/>
    <cellStyle name="عادي 2" xfId="4" xr:uid="{3BB22090-BA99-4300-BE90-8A60444E88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E8E7-75B5-4E2F-9E21-451A814D2B7C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24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10" si="0">IF(K4&gt;M4,K4-M4,0)</f>
        <v>0</v>
      </c>
      <c r="O4" s="11">
        <f t="shared" ref="O4:O10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96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96</v>
      </c>
      <c r="L5" s="8"/>
      <c r="M5" s="9">
        <v>96</v>
      </c>
      <c r="N5" s="11">
        <f t="shared" si="0"/>
        <v>0</v>
      </c>
      <c r="O5" s="11">
        <f t="shared" si="1"/>
        <v>0</v>
      </c>
    </row>
    <row r="6" spans="1:15" ht="16.5">
      <c r="A6" t="s">
        <v>22</v>
      </c>
      <c r="B6" s="30">
        <v>67</v>
      </c>
      <c r="C6" s="26">
        <f>32+38+5+128+194+40+25+25+25+74+40+54+32+32+32+32+32+32+32+32+32+32+32+32+67+7+20+25+25+84+64+70</f>
        <v>1426</v>
      </c>
      <c r="D6" s="9">
        <v>288</v>
      </c>
      <c r="E6" s="9">
        <v>0</v>
      </c>
      <c r="F6" s="9">
        <v>0</v>
      </c>
      <c r="G6" s="9">
        <v>0</v>
      </c>
      <c r="H6" s="9">
        <v>352</v>
      </c>
      <c r="I6" s="9">
        <v>0</v>
      </c>
      <c r="J6" s="9">
        <v>0</v>
      </c>
      <c r="K6" s="10">
        <f>SUM(B6:I6)</f>
        <v>2133</v>
      </c>
      <c r="L6" s="8"/>
      <c r="M6" s="9">
        <v>2133</v>
      </c>
      <c r="N6" s="11">
        <f t="shared" si="0"/>
        <v>0</v>
      </c>
      <c r="O6" s="11">
        <f t="shared" si="1"/>
        <v>0</v>
      </c>
    </row>
    <row r="7" spans="1:15" ht="16.5">
      <c r="A7" t="s">
        <v>25</v>
      </c>
      <c r="B7" s="30">
        <v>171</v>
      </c>
      <c r="C7" s="26">
        <f>20+7+64+85+58+32+32+35+32+12+32+20+32+32+21+35+102+198+20+26+32+49+32</f>
        <v>1008</v>
      </c>
      <c r="D7" s="9">
        <v>0</v>
      </c>
      <c r="E7" s="9">
        <v>0</v>
      </c>
      <c r="F7" s="9">
        <v>0</v>
      </c>
      <c r="G7" s="9">
        <v>0</v>
      </c>
      <c r="H7" s="9">
        <v>192</v>
      </c>
      <c r="I7" s="9">
        <v>0</v>
      </c>
      <c r="J7" s="9">
        <v>0</v>
      </c>
      <c r="K7" s="10">
        <f>SUM(B7:J7)</f>
        <v>1371</v>
      </c>
      <c r="L7" s="8"/>
      <c r="M7" s="9">
        <v>1371</v>
      </c>
      <c r="N7" s="11">
        <f t="shared" si="0"/>
        <v>0</v>
      </c>
      <c r="O7" s="11">
        <f t="shared" si="1"/>
        <v>0</v>
      </c>
    </row>
    <row r="8" spans="1:15" ht="16.5">
      <c r="A8" t="s">
        <v>26</v>
      </c>
      <c r="B8" s="30">
        <v>270</v>
      </c>
      <c r="C8" s="26">
        <f>20+116+32+24+42+24+20+26+20+22+26+32+32+70+64+26+345+20+20+24+20+20+20+20+47+67+30+93+131+62+52+20+88+25+35+20</f>
        <v>1755</v>
      </c>
      <c r="D8" s="9">
        <v>0</v>
      </c>
      <c r="E8" s="9">
        <v>0</v>
      </c>
      <c r="F8" s="9">
        <v>0</v>
      </c>
      <c r="G8" s="9">
        <v>0</v>
      </c>
      <c r="H8" s="9">
        <v>96</v>
      </c>
      <c r="I8" s="9">
        <v>0</v>
      </c>
      <c r="J8" s="9">
        <v>0</v>
      </c>
      <c r="K8" s="10">
        <f>SUM(B8:J8)</f>
        <v>2121</v>
      </c>
      <c r="L8" s="8"/>
      <c r="M8" s="9">
        <v>2123</v>
      </c>
      <c r="N8" s="11">
        <f t="shared" si="0"/>
        <v>0</v>
      </c>
      <c r="O8" s="11">
        <f t="shared" si="1"/>
        <v>2</v>
      </c>
    </row>
    <row r="9" spans="1:15" ht="16.5" hidden="1">
      <c r="A9" t="s">
        <v>22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 hidden="1">
      <c r="A10" t="s">
        <v>23</v>
      </c>
      <c r="B10" s="30">
        <v>0</v>
      </c>
      <c r="C10" s="26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10">
        <f>SUM(B10:J10)</f>
        <v>0</v>
      </c>
      <c r="L10" s="8"/>
      <c r="M10" s="9">
        <v>0</v>
      </c>
      <c r="N10" s="11">
        <f t="shared" si="0"/>
        <v>0</v>
      </c>
      <c r="O10" s="11">
        <f t="shared" si="1"/>
        <v>0</v>
      </c>
    </row>
    <row r="11" spans="1:15" ht="16.5">
      <c r="A11" s="28"/>
      <c r="B11" s="32">
        <f t="shared" ref="B11:K11" si="2">SUM(B4:B10)</f>
        <v>508</v>
      </c>
      <c r="C11" s="12">
        <f t="shared" si="2"/>
        <v>4189</v>
      </c>
      <c r="D11" s="12">
        <f t="shared" si="2"/>
        <v>384</v>
      </c>
      <c r="E11" s="12">
        <f t="shared" si="2"/>
        <v>0</v>
      </c>
      <c r="F11" s="12">
        <f t="shared" si="2"/>
        <v>0</v>
      </c>
      <c r="G11" s="12">
        <f t="shared" si="2"/>
        <v>0</v>
      </c>
      <c r="H11" s="12">
        <f t="shared" si="2"/>
        <v>640</v>
      </c>
      <c r="I11" s="12">
        <f t="shared" si="2"/>
        <v>0</v>
      </c>
      <c r="J11" s="12">
        <f t="shared" si="2"/>
        <v>0</v>
      </c>
      <c r="K11" s="12">
        <f t="shared" si="2"/>
        <v>5721</v>
      </c>
      <c r="L11" s="13"/>
      <c r="M11" s="12">
        <f>SUM(M4:M10)</f>
        <v>5723</v>
      </c>
      <c r="N11" s="12">
        <f>SUM(N4:N10)</f>
        <v>0</v>
      </c>
      <c r="O11" s="12">
        <f>SUM(O4:O10)</f>
        <v>2</v>
      </c>
    </row>
    <row r="12" spans="1:15" ht="15.75" thickBot="1"/>
    <row r="13" spans="1:15" ht="17.25" thickBot="1">
      <c r="A13" s="37" t="s">
        <v>24</v>
      </c>
      <c r="B13" s="37"/>
      <c r="C13" s="37"/>
      <c r="D13" s="37"/>
    </row>
    <row r="14" spans="1:15" ht="16.5">
      <c r="A14" s="14">
        <v>500</v>
      </c>
      <c r="B14" s="15" t="s">
        <v>18</v>
      </c>
      <c r="C14" s="16">
        <v>0</v>
      </c>
      <c r="D14" s="17">
        <f t="shared" ref="D14:D19" si="3">A14*C14</f>
        <v>0</v>
      </c>
    </row>
    <row r="15" spans="1:15" ht="16.5">
      <c r="A15" s="18">
        <v>100</v>
      </c>
      <c r="B15" s="15" t="s">
        <v>18</v>
      </c>
      <c r="C15" s="16">
        <v>2</v>
      </c>
      <c r="D15" s="17">
        <f t="shared" si="3"/>
        <v>200</v>
      </c>
    </row>
    <row r="16" spans="1:15" ht="16.5">
      <c r="A16" s="18">
        <v>50</v>
      </c>
      <c r="B16" s="15" t="s">
        <v>18</v>
      </c>
      <c r="C16" s="16">
        <v>4</v>
      </c>
      <c r="D16" s="17">
        <f t="shared" si="3"/>
        <v>200</v>
      </c>
    </row>
    <row r="17" spans="1:4" ht="16.5">
      <c r="A17" s="18">
        <v>20</v>
      </c>
      <c r="B17" s="15" t="s">
        <v>18</v>
      </c>
      <c r="C17" s="16">
        <v>1</v>
      </c>
      <c r="D17" s="17">
        <f t="shared" si="3"/>
        <v>20</v>
      </c>
    </row>
    <row r="18" spans="1:4" ht="16.5">
      <c r="A18" s="18">
        <v>10</v>
      </c>
      <c r="B18" s="15" t="s">
        <v>18</v>
      </c>
      <c r="C18" s="16">
        <v>5</v>
      </c>
      <c r="D18" s="17">
        <f t="shared" si="3"/>
        <v>50</v>
      </c>
    </row>
    <row r="19" spans="1:4" ht="16.5">
      <c r="A19" s="18">
        <v>5</v>
      </c>
      <c r="B19" s="15" t="s">
        <v>18</v>
      </c>
      <c r="C19" s="16">
        <v>7</v>
      </c>
      <c r="D19" s="17">
        <f t="shared" si="3"/>
        <v>35</v>
      </c>
    </row>
    <row r="20" spans="1:4" ht="16.5">
      <c r="A20" s="19" t="s">
        <v>19</v>
      </c>
      <c r="B20" s="15" t="s">
        <v>18</v>
      </c>
      <c r="C20" s="16">
        <v>3</v>
      </c>
      <c r="D20" s="17">
        <f>+C20*1</f>
        <v>3</v>
      </c>
    </row>
    <row r="21" spans="1:4" ht="16.5">
      <c r="A21" s="19"/>
      <c r="B21" s="20"/>
      <c r="C21" s="16">
        <v>0</v>
      </c>
      <c r="D21" s="17">
        <f>+C21*0.025</f>
        <v>0</v>
      </c>
    </row>
    <row r="22" spans="1:4" ht="16.5">
      <c r="A22" s="21" t="s">
        <v>20</v>
      </c>
      <c r="B22" s="22"/>
      <c r="C22" s="23">
        <v>0</v>
      </c>
      <c r="D22" s="24">
        <f>SUM(D14:D21)</f>
        <v>508</v>
      </c>
    </row>
    <row r="24" spans="1:4">
      <c r="A24" t="s">
        <v>21</v>
      </c>
      <c r="D24" s="25">
        <v>508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CB4D-686E-4884-98D9-3D21EC5A55D7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45663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10" si="0">IF(K4&gt;M4,K4-M4,0)</f>
        <v>0</v>
      </c>
      <c r="O4" s="11">
        <f t="shared" ref="O4:O10" si="1">IF(M4&gt;K4,M4-K4,0)</f>
        <v>0</v>
      </c>
    </row>
    <row r="5" spans="1:15" ht="16.5">
      <c r="A5" s="29" t="s">
        <v>17</v>
      </c>
      <c r="B5" s="31">
        <v>0</v>
      </c>
      <c r="C5" s="9">
        <v>436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436</v>
      </c>
      <c r="L5" s="8"/>
      <c r="M5" s="9">
        <v>436</v>
      </c>
      <c r="N5" s="11">
        <f t="shared" si="0"/>
        <v>0</v>
      </c>
      <c r="O5" s="11">
        <f t="shared" si="1"/>
        <v>0</v>
      </c>
    </row>
    <row r="6" spans="1:15" ht="16.5">
      <c r="A6" s="33" t="s">
        <v>27</v>
      </c>
      <c r="B6" s="30">
        <v>35</v>
      </c>
      <c r="C6" s="26">
        <f>80+192+162+20+32+20+26+20+20+64+32+63+26+32+12</f>
        <v>801</v>
      </c>
      <c r="D6" s="9">
        <v>64</v>
      </c>
      <c r="E6" s="9">
        <v>0</v>
      </c>
      <c r="F6" s="9">
        <v>0</v>
      </c>
      <c r="G6" s="9">
        <v>0</v>
      </c>
      <c r="H6" s="9">
        <v>64</v>
      </c>
      <c r="I6" s="9">
        <v>0</v>
      </c>
      <c r="J6" s="9">
        <v>0</v>
      </c>
      <c r="K6" s="10">
        <f>SUM(B6:I6)</f>
        <v>964</v>
      </c>
      <c r="L6" s="8"/>
      <c r="M6" s="9">
        <v>964</v>
      </c>
      <c r="N6" s="11">
        <f t="shared" si="0"/>
        <v>0</v>
      </c>
      <c r="O6" s="11">
        <f t="shared" si="1"/>
        <v>0</v>
      </c>
    </row>
    <row r="7" spans="1:15" ht="16.5">
      <c r="A7" s="33" t="s">
        <v>23</v>
      </c>
      <c r="B7" s="30">
        <v>208</v>
      </c>
      <c r="C7" s="26">
        <f>20+20+70+119+27+25+26+32+26+32+32+32+7+42+20+42+95+96+64+32+25+50+20+20+64+14+27+121+64+32+39+116+32+26+26+32+10+32+26+25+98+7+40+75+20+44+213+59+24</f>
        <v>2240</v>
      </c>
      <c r="D7" s="9">
        <v>274</v>
      </c>
      <c r="E7" s="9">
        <v>0</v>
      </c>
      <c r="F7" s="9">
        <v>0</v>
      </c>
      <c r="G7" s="9">
        <v>0</v>
      </c>
      <c r="H7" s="9">
        <v>128</v>
      </c>
      <c r="I7" s="9">
        <v>24</v>
      </c>
      <c r="J7" s="9">
        <v>0</v>
      </c>
      <c r="K7" s="10">
        <f>SUM(B7:J7)</f>
        <v>2874</v>
      </c>
      <c r="L7" s="8"/>
      <c r="M7" s="9">
        <v>2874</v>
      </c>
      <c r="N7" s="11">
        <f t="shared" si="0"/>
        <v>0</v>
      </c>
      <c r="O7" s="11">
        <f t="shared" si="1"/>
        <v>0</v>
      </c>
    </row>
    <row r="8" spans="1:15" ht="16.5">
      <c r="A8" s="33" t="s">
        <v>26</v>
      </c>
      <c r="B8" s="30">
        <v>143</v>
      </c>
      <c r="C8" s="26">
        <f>20+72+7+40+32+20+39+20+24+198+36+32+26+24+20+20+26+40+26+15+40+20+165+20+32+32+128+7+64+33+64+20</f>
        <v>1362</v>
      </c>
      <c r="D8" s="9">
        <v>0</v>
      </c>
      <c r="E8" s="9">
        <v>0</v>
      </c>
      <c r="F8" s="9">
        <v>0</v>
      </c>
      <c r="G8" s="9">
        <v>0</v>
      </c>
      <c r="H8" s="9">
        <v>256</v>
      </c>
      <c r="I8" s="9">
        <v>0</v>
      </c>
      <c r="J8" s="9">
        <v>0</v>
      </c>
      <c r="K8" s="10">
        <f>SUM(B8:J8)</f>
        <v>1761</v>
      </c>
      <c r="L8" s="8"/>
      <c r="M8" s="9">
        <v>1761</v>
      </c>
      <c r="N8" s="11">
        <f t="shared" si="0"/>
        <v>0</v>
      </c>
      <c r="O8" s="11">
        <f t="shared" si="1"/>
        <v>0</v>
      </c>
    </row>
    <row r="9" spans="1:15" ht="16.5" hidden="1">
      <c r="A9" t="s">
        <v>22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 hidden="1">
      <c r="A10" t="s">
        <v>23</v>
      </c>
      <c r="B10" s="30">
        <v>0</v>
      </c>
      <c r="C10" s="26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10">
        <f>SUM(B10:J10)</f>
        <v>0</v>
      </c>
      <c r="L10" s="8"/>
      <c r="M10" s="9">
        <v>0</v>
      </c>
      <c r="N10" s="11">
        <f t="shared" si="0"/>
        <v>0</v>
      </c>
      <c r="O10" s="11">
        <f t="shared" si="1"/>
        <v>0</v>
      </c>
    </row>
    <row r="11" spans="1:15" ht="16.5">
      <c r="A11" s="28"/>
      <c r="B11" s="32">
        <f t="shared" ref="B11:K11" si="2">SUM(B4:B10)</f>
        <v>386</v>
      </c>
      <c r="C11" s="12">
        <f t="shared" si="2"/>
        <v>4839</v>
      </c>
      <c r="D11" s="12">
        <f t="shared" si="2"/>
        <v>338</v>
      </c>
      <c r="E11" s="12">
        <f t="shared" si="2"/>
        <v>0</v>
      </c>
      <c r="F11" s="12">
        <f t="shared" si="2"/>
        <v>0</v>
      </c>
      <c r="G11" s="12">
        <f t="shared" si="2"/>
        <v>0</v>
      </c>
      <c r="H11" s="12">
        <f t="shared" si="2"/>
        <v>448</v>
      </c>
      <c r="I11" s="12">
        <f t="shared" si="2"/>
        <v>24</v>
      </c>
      <c r="J11" s="12">
        <f t="shared" si="2"/>
        <v>0</v>
      </c>
      <c r="K11" s="12">
        <f t="shared" si="2"/>
        <v>6035</v>
      </c>
      <c r="L11" s="13"/>
      <c r="M11" s="12">
        <f>SUM(M4:M10)</f>
        <v>6035</v>
      </c>
      <c r="N11" s="12">
        <f>SUM(N4:N10)</f>
        <v>0</v>
      </c>
      <c r="O11" s="12">
        <f>SUM(O4:O10)</f>
        <v>0</v>
      </c>
    </row>
    <row r="12" spans="1:15" ht="15.75" thickBot="1"/>
    <row r="13" spans="1:15" ht="17.25" thickBot="1">
      <c r="A13" s="36">
        <v>45663</v>
      </c>
      <c r="B13" s="37"/>
      <c r="C13" s="37"/>
      <c r="D13" s="37"/>
    </row>
    <row r="14" spans="1:15" ht="16.5">
      <c r="A14" s="14">
        <v>500</v>
      </c>
      <c r="B14" s="15" t="s">
        <v>18</v>
      </c>
      <c r="C14" s="16">
        <v>0</v>
      </c>
      <c r="D14" s="17">
        <f t="shared" ref="D14:D19" si="3">A14*C14</f>
        <v>0</v>
      </c>
    </row>
    <row r="15" spans="1:15" ht="16.5">
      <c r="A15" s="18">
        <v>100</v>
      </c>
      <c r="B15" s="15" t="s">
        <v>18</v>
      </c>
      <c r="C15" s="16">
        <v>2</v>
      </c>
      <c r="D15" s="17">
        <f t="shared" si="3"/>
        <v>200</v>
      </c>
    </row>
    <row r="16" spans="1:15" ht="16.5">
      <c r="A16" s="18">
        <v>50</v>
      </c>
      <c r="B16" s="15" t="s">
        <v>18</v>
      </c>
      <c r="C16" s="16">
        <v>1</v>
      </c>
      <c r="D16" s="17">
        <f t="shared" si="3"/>
        <v>50</v>
      </c>
    </row>
    <row r="17" spans="1:4" ht="16.5">
      <c r="A17" s="18">
        <v>20</v>
      </c>
      <c r="B17" s="15" t="s">
        <v>18</v>
      </c>
      <c r="C17" s="16">
        <v>3</v>
      </c>
      <c r="D17" s="17">
        <f t="shared" si="3"/>
        <v>60</v>
      </c>
    </row>
    <row r="18" spans="1:4" ht="16.5">
      <c r="A18" s="18">
        <v>10</v>
      </c>
      <c r="B18" s="15" t="s">
        <v>18</v>
      </c>
      <c r="C18" s="16">
        <v>1</v>
      </c>
      <c r="D18" s="17">
        <f t="shared" si="3"/>
        <v>10</v>
      </c>
    </row>
    <row r="19" spans="1:4" ht="16.5">
      <c r="A19" s="18">
        <v>5</v>
      </c>
      <c r="B19" s="15" t="s">
        <v>18</v>
      </c>
      <c r="C19" s="16">
        <v>12</v>
      </c>
      <c r="D19" s="17">
        <f t="shared" si="3"/>
        <v>60</v>
      </c>
    </row>
    <row r="20" spans="1:4" ht="16.5">
      <c r="A20" s="19" t="s">
        <v>19</v>
      </c>
      <c r="B20" s="15" t="s">
        <v>18</v>
      </c>
      <c r="C20" s="16">
        <v>6</v>
      </c>
      <c r="D20" s="17">
        <f>+C20*1</f>
        <v>6</v>
      </c>
    </row>
    <row r="21" spans="1:4" ht="16.5">
      <c r="A21" s="19"/>
      <c r="B21" s="20"/>
      <c r="C21" s="16">
        <v>0</v>
      </c>
      <c r="D21" s="17">
        <f>+C21*0.025</f>
        <v>0</v>
      </c>
    </row>
    <row r="22" spans="1:4" ht="16.5">
      <c r="A22" s="21" t="s">
        <v>20</v>
      </c>
      <c r="B22" s="22"/>
      <c r="C22" s="23">
        <v>0</v>
      </c>
      <c r="D22" s="24">
        <f>SUM(D14:D21)</f>
        <v>386</v>
      </c>
    </row>
    <row r="24" spans="1:4">
      <c r="A24" t="s">
        <v>21</v>
      </c>
      <c r="D24" s="25">
        <f>508+386</f>
        <v>894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4E66-E372-4A00-B841-4C5CB4E00A14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45694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10" si="0">IF(K4&gt;M4,K4-M4,0)</f>
        <v>0</v>
      </c>
      <c r="O4" s="11">
        <f t="shared" ref="O4:O10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202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202</v>
      </c>
      <c r="L5" s="8"/>
      <c r="M5" s="9">
        <v>202</v>
      </c>
      <c r="N5" s="11">
        <f t="shared" si="0"/>
        <v>0</v>
      </c>
      <c r="O5" s="11">
        <f t="shared" si="1"/>
        <v>0</v>
      </c>
    </row>
    <row r="6" spans="1:15" ht="16.5">
      <c r="A6" t="s">
        <v>28</v>
      </c>
      <c r="B6" s="30">
        <v>25</v>
      </c>
      <c r="C6" s="26">
        <f>20+7+12+67+32+20+33+33+40+10+42+20+35+67+32+32+33</f>
        <v>535</v>
      </c>
      <c r="D6" s="9">
        <v>32</v>
      </c>
      <c r="E6" s="9">
        <v>0</v>
      </c>
      <c r="F6" s="9">
        <v>0</v>
      </c>
      <c r="G6" s="9">
        <v>0</v>
      </c>
      <c r="H6" s="9">
        <v>160</v>
      </c>
      <c r="I6" s="9">
        <v>0</v>
      </c>
      <c r="J6" s="9">
        <v>0</v>
      </c>
      <c r="K6" s="10">
        <f>SUM(B6:I6)</f>
        <v>752</v>
      </c>
      <c r="L6" s="8"/>
      <c r="M6" s="9">
        <v>752</v>
      </c>
      <c r="N6" s="11">
        <f t="shared" si="0"/>
        <v>0</v>
      </c>
      <c r="O6" s="11">
        <f t="shared" si="1"/>
        <v>0</v>
      </c>
    </row>
    <row r="7" spans="1:15" ht="16.5">
      <c r="A7" t="s">
        <v>22</v>
      </c>
      <c r="B7" s="30">
        <v>637</v>
      </c>
      <c r="C7" s="26">
        <f>40+98+25+64+24+24+67+25+20+39+39+59+83+126+38+7+20+20+84+7+32+55+32+64+32+52+64+20+129+175+35+96+57+52+32+40+7+66+52+7+38+64+24+32+20+104+20+71+70+64+70+64</f>
        <v>2649</v>
      </c>
      <c r="D7" s="9">
        <v>500</v>
      </c>
      <c r="E7" s="9">
        <v>0</v>
      </c>
      <c r="F7" s="9">
        <v>0</v>
      </c>
      <c r="G7" s="9">
        <v>0</v>
      </c>
      <c r="H7" s="9">
        <v>352</v>
      </c>
      <c r="I7" s="9">
        <f>62+26</f>
        <v>88</v>
      </c>
      <c r="J7" s="9">
        <v>0</v>
      </c>
      <c r="K7" s="10">
        <f>SUM(B7:J7)</f>
        <v>4226</v>
      </c>
      <c r="L7" s="8"/>
      <c r="M7" s="9">
        <v>4220</v>
      </c>
      <c r="N7" s="11">
        <f t="shared" si="0"/>
        <v>6</v>
      </c>
      <c r="O7" s="11">
        <f t="shared" si="1"/>
        <v>0</v>
      </c>
    </row>
    <row r="8" spans="1:15" ht="16.5">
      <c r="A8" t="s">
        <v>25</v>
      </c>
      <c r="B8" s="30">
        <v>115</v>
      </c>
      <c r="C8" s="26">
        <f>64+20+20+20+32+20+82+164+32+32+20+20+74+32+7+20+20+20+82+40+20+32+20</f>
        <v>893</v>
      </c>
      <c r="D8" s="9">
        <v>294</v>
      </c>
      <c r="E8" s="9">
        <v>0</v>
      </c>
      <c r="F8" s="9">
        <v>0</v>
      </c>
      <c r="G8" s="9">
        <v>0</v>
      </c>
      <c r="H8" s="9">
        <v>64</v>
      </c>
      <c r="I8" s="9">
        <v>0</v>
      </c>
      <c r="J8" s="9">
        <v>0</v>
      </c>
      <c r="K8" s="10">
        <f>SUM(B8:J8)</f>
        <v>1366</v>
      </c>
      <c r="L8" s="8"/>
      <c r="M8" s="9">
        <v>1366</v>
      </c>
      <c r="N8" s="11">
        <f t="shared" si="0"/>
        <v>0</v>
      </c>
      <c r="O8" s="11">
        <f t="shared" si="1"/>
        <v>0</v>
      </c>
    </row>
    <row r="9" spans="1:15" ht="16.5" hidden="1">
      <c r="A9" t="s">
        <v>22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 hidden="1">
      <c r="A10" t="s">
        <v>23</v>
      </c>
      <c r="B10" s="30">
        <v>0</v>
      </c>
      <c r="C10" s="26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10">
        <f>SUM(B10:J10)</f>
        <v>0</v>
      </c>
      <c r="L10" s="8"/>
      <c r="M10" s="9">
        <v>0</v>
      </c>
      <c r="N10" s="11">
        <f t="shared" si="0"/>
        <v>0</v>
      </c>
      <c r="O10" s="11">
        <f t="shared" si="1"/>
        <v>0</v>
      </c>
    </row>
    <row r="11" spans="1:15" ht="16.5">
      <c r="A11" s="28"/>
      <c r="B11" s="32">
        <f t="shared" ref="B11:K11" si="2">SUM(B4:B10)</f>
        <v>777</v>
      </c>
      <c r="C11" s="12">
        <f t="shared" si="2"/>
        <v>4077</v>
      </c>
      <c r="D11" s="12">
        <f t="shared" si="2"/>
        <v>1028</v>
      </c>
      <c r="E11" s="12">
        <f t="shared" si="2"/>
        <v>0</v>
      </c>
      <c r="F11" s="12">
        <f t="shared" si="2"/>
        <v>0</v>
      </c>
      <c r="G11" s="12">
        <f t="shared" si="2"/>
        <v>0</v>
      </c>
      <c r="H11" s="12">
        <f t="shared" si="2"/>
        <v>576</v>
      </c>
      <c r="I11" s="12">
        <f t="shared" si="2"/>
        <v>88</v>
      </c>
      <c r="J11" s="12">
        <f t="shared" si="2"/>
        <v>0</v>
      </c>
      <c r="K11" s="12">
        <f t="shared" si="2"/>
        <v>6546</v>
      </c>
      <c r="L11" s="13"/>
      <c r="M11" s="12">
        <f>SUM(M4:M10)</f>
        <v>6540</v>
      </c>
      <c r="N11" s="12">
        <f>SUM(N4:N10)</f>
        <v>6</v>
      </c>
      <c r="O11" s="12">
        <f>SUM(O4:O10)</f>
        <v>0</v>
      </c>
    </row>
    <row r="12" spans="1:15" ht="15.75" thickBot="1"/>
    <row r="13" spans="1:15" ht="17.25" thickBot="1">
      <c r="A13" s="36">
        <v>45694</v>
      </c>
      <c r="B13" s="37"/>
      <c r="C13" s="37"/>
      <c r="D13" s="37"/>
    </row>
    <row r="14" spans="1:15" ht="16.5">
      <c r="A14" s="14">
        <v>500</v>
      </c>
      <c r="B14" s="15" t="s">
        <v>18</v>
      </c>
      <c r="C14" s="16">
        <v>0</v>
      </c>
      <c r="D14" s="17">
        <f t="shared" ref="D14:D19" si="3">A14*C14</f>
        <v>0</v>
      </c>
    </row>
    <row r="15" spans="1:15" ht="16.5">
      <c r="A15" s="18">
        <v>100</v>
      </c>
      <c r="B15" s="15" t="s">
        <v>18</v>
      </c>
      <c r="C15" s="16">
        <v>4</v>
      </c>
      <c r="D15" s="17">
        <f t="shared" si="3"/>
        <v>400</v>
      </c>
    </row>
    <row r="16" spans="1:15" ht="16.5">
      <c r="A16" s="18">
        <v>50</v>
      </c>
      <c r="B16" s="15" t="s">
        <v>18</v>
      </c>
      <c r="C16" s="16">
        <v>5</v>
      </c>
      <c r="D16" s="17">
        <f t="shared" si="3"/>
        <v>250</v>
      </c>
    </row>
    <row r="17" spans="1:4" ht="16.5">
      <c r="A17" s="18">
        <v>20</v>
      </c>
      <c r="B17" s="15" t="s">
        <v>18</v>
      </c>
      <c r="C17" s="16">
        <v>1</v>
      </c>
      <c r="D17" s="17">
        <f t="shared" si="3"/>
        <v>20</v>
      </c>
    </row>
    <row r="18" spans="1:4" ht="16.5">
      <c r="A18" s="18">
        <v>10</v>
      </c>
      <c r="B18" s="15" t="s">
        <v>18</v>
      </c>
      <c r="C18" s="16">
        <v>9</v>
      </c>
      <c r="D18" s="17">
        <f t="shared" si="3"/>
        <v>90</v>
      </c>
    </row>
    <row r="19" spans="1:4" ht="16.5">
      <c r="A19" s="18">
        <v>5</v>
      </c>
      <c r="B19" s="15" t="s">
        <v>18</v>
      </c>
      <c r="C19" s="16">
        <v>3</v>
      </c>
      <c r="D19" s="17">
        <f t="shared" si="3"/>
        <v>15</v>
      </c>
    </row>
    <row r="20" spans="1:4" ht="16.5">
      <c r="A20" s="19" t="s">
        <v>19</v>
      </c>
      <c r="B20" s="15" t="s">
        <v>18</v>
      </c>
      <c r="C20" s="16">
        <v>2</v>
      </c>
      <c r="D20" s="17">
        <f>+C20*1</f>
        <v>2</v>
      </c>
    </row>
    <row r="21" spans="1:4" ht="16.5">
      <c r="A21" s="19"/>
      <c r="B21" s="20"/>
      <c r="C21" s="16">
        <v>0</v>
      </c>
      <c r="D21" s="17">
        <f>+C21*0.025</f>
        <v>0</v>
      </c>
    </row>
    <row r="22" spans="1:4" ht="16.5">
      <c r="A22" s="21" t="s">
        <v>20</v>
      </c>
      <c r="B22" s="22"/>
      <c r="C22" s="23">
        <v>0</v>
      </c>
      <c r="D22" s="24">
        <f>SUM(D14:D21)</f>
        <v>777</v>
      </c>
    </row>
    <row r="24" spans="1:4">
      <c r="A24" t="s">
        <v>21</v>
      </c>
      <c r="D24" s="25">
        <f>894+777</f>
        <v>1671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3923-9833-4377-9738-2508293625A4}">
  <dimension ref="A1:O24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45722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10" si="0">IF(K4&gt;M4,K4-M4,0)</f>
        <v>0</v>
      </c>
      <c r="O4" s="11">
        <f t="shared" ref="O4:O10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0</v>
      </c>
      <c r="L5" s="8"/>
      <c r="M5" s="9">
        <v>0</v>
      </c>
      <c r="N5" s="11">
        <f t="shared" si="0"/>
        <v>0</v>
      </c>
      <c r="O5" s="11">
        <f t="shared" si="1"/>
        <v>0</v>
      </c>
    </row>
    <row r="6" spans="1:15" ht="16.5">
      <c r="A6" t="s">
        <v>27</v>
      </c>
      <c r="B6" s="30">
        <v>0</v>
      </c>
      <c r="C6" s="26">
        <v>292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10">
        <f>SUM(B6:I6)</f>
        <v>292</v>
      </c>
      <c r="L6" s="8"/>
      <c r="M6" s="9">
        <v>292</v>
      </c>
      <c r="N6" s="11">
        <f t="shared" si="0"/>
        <v>0</v>
      </c>
      <c r="O6" s="11">
        <f t="shared" si="1"/>
        <v>0</v>
      </c>
    </row>
    <row r="7" spans="1:15" ht="16.5">
      <c r="A7" t="s">
        <v>23</v>
      </c>
      <c r="B7" s="30">
        <v>234</v>
      </c>
      <c r="C7" s="26">
        <f>72+32+40+24+84+20+20+26+64+25+32+40+20+57.5+32+14+62+69+15+32+20+12+25+24+20+40+44+20+38+24+20+20+50+26+20+128+168+280+42+27+20+20+96+67+63+32+40+10+64+24+5+15+12+20</f>
        <v>2316.5</v>
      </c>
      <c r="D7" s="9">
        <v>128</v>
      </c>
      <c r="E7" s="9">
        <v>0</v>
      </c>
      <c r="F7" s="9">
        <v>0</v>
      </c>
      <c r="G7" s="9">
        <v>0</v>
      </c>
      <c r="H7" s="9">
        <v>256</v>
      </c>
      <c r="I7" s="9">
        <v>38</v>
      </c>
      <c r="J7" s="9">
        <v>0</v>
      </c>
      <c r="K7" s="10">
        <f>SUM(B7:J7)</f>
        <v>2972.5</v>
      </c>
      <c r="L7" s="8"/>
      <c r="M7" s="9">
        <v>2972</v>
      </c>
      <c r="N7" s="11">
        <f t="shared" si="0"/>
        <v>0.5</v>
      </c>
      <c r="O7" s="11">
        <f t="shared" si="1"/>
        <v>0</v>
      </c>
    </row>
    <row r="8" spans="1:15" ht="16.5">
      <c r="A8" t="s">
        <v>26</v>
      </c>
      <c r="B8" s="30">
        <v>170</v>
      </c>
      <c r="C8" s="26">
        <f>48+44+20+7+26+48+52+22+45+77+25+64+51+20+44+16+24+20+20+20+20+25+20+32+20</f>
        <v>810</v>
      </c>
      <c r="D8" s="9">
        <v>0</v>
      </c>
      <c r="E8" s="9">
        <v>0</v>
      </c>
      <c r="F8" s="9">
        <v>0</v>
      </c>
      <c r="G8" s="9">
        <v>0</v>
      </c>
      <c r="H8" s="9">
        <v>32</v>
      </c>
      <c r="I8" s="9">
        <v>0</v>
      </c>
      <c r="J8" s="9">
        <v>0</v>
      </c>
      <c r="K8" s="10">
        <f>SUM(B8:J8)</f>
        <v>1012</v>
      </c>
      <c r="L8" s="8"/>
      <c r="M8" s="9">
        <v>1001</v>
      </c>
      <c r="N8" s="11">
        <f t="shared" si="0"/>
        <v>11</v>
      </c>
      <c r="O8" s="11">
        <f t="shared" si="1"/>
        <v>0</v>
      </c>
    </row>
    <row r="9" spans="1:15" ht="16.5" hidden="1">
      <c r="A9" t="s">
        <v>22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 hidden="1">
      <c r="A10" t="s">
        <v>23</v>
      </c>
      <c r="B10" s="30">
        <v>0</v>
      </c>
      <c r="C10" s="26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10">
        <f>SUM(B10:J10)</f>
        <v>0</v>
      </c>
      <c r="L10" s="8"/>
      <c r="M10" s="9">
        <v>0</v>
      </c>
      <c r="N10" s="11">
        <f t="shared" si="0"/>
        <v>0</v>
      </c>
      <c r="O10" s="11">
        <f t="shared" si="1"/>
        <v>0</v>
      </c>
    </row>
    <row r="11" spans="1:15" ht="16.5">
      <c r="A11" s="28"/>
      <c r="B11" s="32">
        <f t="shared" ref="B11:K11" si="2">SUM(B4:B10)</f>
        <v>404</v>
      </c>
      <c r="C11" s="12">
        <f t="shared" si="2"/>
        <v>3418.5</v>
      </c>
      <c r="D11" s="12">
        <f t="shared" si="2"/>
        <v>128</v>
      </c>
      <c r="E11" s="12">
        <f t="shared" si="2"/>
        <v>0</v>
      </c>
      <c r="F11" s="12">
        <f t="shared" si="2"/>
        <v>0</v>
      </c>
      <c r="G11" s="12">
        <f t="shared" si="2"/>
        <v>0</v>
      </c>
      <c r="H11" s="12">
        <f t="shared" si="2"/>
        <v>288</v>
      </c>
      <c r="I11" s="12">
        <f t="shared" si="2"/>
        <v>38</v>
      </c>
      <c r="J11" s="12">
        <f t="shared" si="2"/>
        <v>0</v>
      </c>
      <c r="K11" s="12">
        <f t="shared" si="2"/>
        <v>4276.5</v>
      </c>
      <c r="L11" s="13"/>
      <c r="M11" s="12">
        <f>SUM(M4:M10)</f>
        <v>4265</v>
      </c>
      <c r="N11" s="12">
        <f>SUM(N4:N10)</f>
        <v>11.5</v>
      </c>
      <c r="O11" s="12">
        <f>SUM(O4:O10)</f>
        <v>0</v>
      </c>
    </row>
    <row r="12" spans="1:15" ht="15.75" thickBot="1"/>
    <row r="13" spans="1:15" ht="17.25" thickBot="1">
      <c r="A13" s="36">
        <v>45722</v>
      </c>
      <c r="B13" s="37"/>
      <c r="C13" s="37"/>
      <c r="D13" s="37"/>
    </row>
    <row r="14" spans="1:15" ht="16.5">
      <c r="A14" s="14">
        <v>500</v>
      </c>
      <c r="B14" s="15" t="s">
        <v>18</v>
      </c>
      <c r="C14" s="16">
        <v>0</v>
      </c>
      <c r="D14" s="17">
        <f t="shared" ref="D14:D19" si="3">A14*C14</f>
        <v>0</v>
      </c>
    </row>
    <row r="15" spans="1:15" ht="16.5">
      <c r="A15" s="18">
        <v>100</v>
      </c>
      <c r="B15" s="15" t="s">
        <v>18</v>
      </c>
      <c r="C15" s="16">
        <v>1</v>
      </c>
      <c r="D15" s="17">
        <f t="shared" si="3"/>
        <v>100</v>
      </c>
    </row>
    <row r="16" spans="1:15" ht="16.5">
      <c r="A16" s="18">
        <v>50</v>
      </c>
      <c r="B16" s="15" t="s">
        <v>18</v>
      </c>
      <c r="C16" s="16">
        <v>3</v>
      </c>
      <c r="D16" s="17">
        <f t="shared" si="3"/>
        <v>150</v>
      </c>
    </row>
    <row r="17" spans="1:4" ht="16.5">
      <c r="A17" s="18">
        <v>20</v>
      </c>
      <c r="B17" s="15" t="s">
        <v>18</v>
      </c>
      <c r="C17" s="16">
        <v>1</v>
      </c>
      <c r="D17" s="17">
        <f t="shared" si="3"/>
        <v>20</v>
      </c>
    </row>
    <row r="18" spans="1:4" ht="16.5">
      <c r="A18" s="18">
        <v>10</v>
      </c>
      <c r="B18" s="15" t="s">
        <v>18</v>
      </c>
      <c r="C18" s="16">
        <v>11</v>
      </c>
      <c r="D18" s="17">
        <f t="shared" si="3"/>
        <v>110</v>
      </c>
    </row>
    <row r="19" spans="1:4" ht="16.5">
      <c r="A19" s="18">
        <v>5</v>
      </c>
      <c r="B19" s="15" t="s">
        <v>18</v>
      </c>
      <c r="C19" s="16">
        <v>4</v>
      </c>
      <c r="D19" s="17">
        <f t="shared" si="3"/>
        <v>20</v>
      </c>
    </row>
    <row r="20" spans="1:4" ht="16.5">
      <c r="A20" s="19" t="s">
        <v>19</v>
      </c>
      <c r="B20" s="15" t="s">
        <v>18</v>
      </c>
      <c r="C20" s="16">
        <v>4</v>
      </c>
      <c r="D20" s="17">
        <f>+C20*1</f>
        <v>4</v>
      </c>
    </row>
    <row r="21" spans="1:4" ht="16.5">
      <c r="A21" s="19"/>
      <c r="B21" s="20"/>
      <c r="C21" s="16">
        <v>0</v>
      </c>
      <c r="D21" s="17">
        <f>+C21*0.025</f>
        <v>0</v>
      </c>
    </row>
    <row r="22" spans="1:4" ht="16.5">
      <c r="A22" s="21" t="s">
        <v>20</v>
      </c>
      <c r="B22" s="22"/>
      <c r="C22" s="23">
        <v>0</v>
      </c>
      <c r="D22" s="24">
        <f>SUM(D14:D21)</f>
        <v>404</v>
      </c>
    </row>
    <row r="24" spans="1:4">
      <c r="A24" t="s">
        <v>21</v>
      </c>
      <c r="D24" s="25">
        <f>1671+404</f>
        <v>2075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B33E-3A55-4783-A381-A82319206763}">
  <dimension ref="A1:O26"/>
  <sheetViews>
    <sheetView workbookViewId="0">
      <selection activeCell="D24" sqref="D24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45753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10" si="0">IF(K4&gt;M4,K4-M4,0)</f>
        <v>0</v>
      </c>
      <c r="O4" s="11">
        <f t="shared" ref="O4:O10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0</v>
      </c>
      <c r="L5" s="8"/>
      <c r="M5" s="9">
        <v>0</v>
      </c>
      <c r="N5" s="11">
        <f t="shared" si="0"/>
        <v>0</v>
      </c>
      <c r="O5" s="11">
        <f t="shared" si="1"/>
        <v>0</v>
      </c>
    </row>
    <row r="6" spans="1:15" ht="16.5">
      <c r="A6" t="s">
        <v>23</v>
      </c>
      <c r="B6" s="30">
        <v>145</v>
      </c>
      <c r="C6" s="26">
        <f>25+131+84+26+25+96+27+48+68+99+25+496+25+25+26+25+96+64+25+24+24+40+26+47+40+35+14+24+32+35</f>
        <v>1777</v>
      </c>
      <c r="D6" s="9">
        <v>32</v>
      </c>
      <c r="E6" s="9">
        <v>0</v>
      </c>
      <c r="F6" s="9">
        <v>0</v>
      </c>
      <c r="G6" s="9">
        <v>0</v>
      </c>
      <c r="H6" s="9">
        <v>96</v>
      </c>
      <c r="I6" s="9">
        <v>0</v>
      </c>
      <c r="J6" s="9">
        <v>0</v>
      </c>
      <c r="K6" s="10">
        <f>SUM(B6:I6)</f>
        <v>2050</v>
      </c>
      <c r="L6" s="8"/>
      <c r="M6" s="9">
        <v>2050</v>
      </c>
      <c r="N6" s="11">
        <f t="shared" si="0"/>
        <v>0</v>
      </c>
      <c r="O6" s="11">
        <f t="shared" si="1"/>
        <v>0</v>
      </c>
    </row>
    <row r="7" spans="1:15" ht="16.5">
      <c r="A7" t="s">
        <v>25</v>
      </c>
      <c r="B7" s="30">
        <v>5</v>
      </c>
      <c r="C7" s="26">
        <f>22+2+20+24+20+64+20+175+24+20+20+20+32</f>
        <v>463</v>
      </c>
      <c r="D7" s="9">
        <v>84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10">
        <f>SUM(B7:J7)</f>
        <v>552</v>
      </c>
      <c r="L7" s="8"/>
      <c r="M7" s="9">
        <v>552</v>
      </c>
      <c r="N7" s="11">
        <f t="shared" si="0"/>
        <v>0</v>
      </c>
      <c r="O7" s="11">
        <f t="shared" si="1"/>
        <v>0</v>
      </c>
    </row>
    <row r="8" spans="1:15" ht="16.5">
      <c r="A8" t="s">
        <v>26</v>
      </c>
      <c r="B8" s="30">
        <v>64</v>
      </c>
      <c r="C8" s="26">
        <f>32+38+20+24+20+26+20+25+25+20+25+75+75+25+20+20+30+32+20+20+32+15+91+20+20+96+25+20+24+20+5+35+32+32+20+40+20+25</f>
        <v>1164</v>
      </c>
      <c r="D8" s="9">
        <v>64</v>
      </c>
      <c r="E8" s="9">
        <v>0</v>
      </c>
      <c r="F8" s="9">
        <v>0</v>
      </c>
      <c r="G8" s="9">
        <v>0</v>
      </c>
      <c r="H8" s="9">
        <v>64</v>
      </c>
      <c r="I8" s="9">
        <f>26+26</f>
        <v>52</v>
      </c>
      <c r="J8" s="9">
        <v>0</v>
      </c>
      <c r="K8" s="10">
        <f>SUM(B8:J8)</f>
        <v>1408</v>
      </c>
      <c r="L8" s="8"/>
      <c r="M8" s="9">
        <v>1382</v>
      </c>
      <c r="N8" s="11">
        <f t="shared" si="0"/>
        <v>26</v>
      </c>
      <c r="O8" s="11">
        <f t="shared" si="1"/>
        <v>0</v>
      </c>
    </row>
    <row r="9" spans="1:15" ht="16.5" hidden="1">
      <c r="A9" t="s">
        <v>22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 hidden="1">
      <c r="A10" t="s">
        <v>23</v>
      </c>
      <c r="B10" s="30">
        <v>0</v>
      </c>
      <c r="C10" s="26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10">
        <f>SUM(B10:J10)</f>
        <v>0</v>
      </c>
      <c r="L10" s="8"/>
      <c r="M10" s="9">
        <v>0</v>
      </c>
      <c r="N10" s="11">
        <f t="shared" si="0"/>
        <v>0</v>
      </c>
      <c r="O10" s="11">
        <f t="shared" si="1"/>
        <v>0</v>
      </c>
    </row>
    <row r="11" spans="1:15" ht="16.5">
      <c r="A11" s="28"/>
      <c r="B11" s="32">
        <f t="shared" ref="B11:K11" si="2">SUM(B4:B10)</f>
        <v>214</v>
      </c>
      <c r="C11" s="12">
        <f t="shared" si="2"/>
        <v>3404</v>
      </c>
      <c r="D11" s="12">
        <f t="shared" si="2"/>
        <v>180</v>
      </c>
      <c r="E11" s="12">
        <f t="shared" si="2"/>
        <v>0</v>
      </c>
      <c r="F11" s="12">
        <f t="shared" si="2"/>
        <v>0</v>
      </c>
      <c r="G11" s="12">
        <f t="shared" si="2"/>
        <v>0</v>
      </c>
      <c r="H11" s="12">
        <f t="shared" si="2"/>
        <v>160</v>
      </c>
      <c r="I11" s="12">
        <f t="shared" si="2"/>
        <v>52</v>
      </c>
      <c r="J11" s="12">
        <f t="shared" si="2"/>
        <v>0</v>
      </c>
      <c r="K11" s="12">
        <f t="shared" si="2"/>
        <v>4010</v>
      </c>
      <c r="L11" s="13"/>
      <c r="M11" s="12">
        <f>SUM(M4:M10)</f>
        <v>3984</v>
      </c>
      <c r="N11" s="12">
        <f>SUM(N4:N10)</f>
        <v>26</v>
      </c>
      <c r="O11" s="12">
        <f>SUM(O4:O10)</f>
        <v>0</v>
      </c>
    </row>
    <row r="12" spans="1:15" ht="15.75" thickBot="1"/>
    <row r="13" spans="1:15" ht="17.25" thickBot="1">
      <c r="A13" s="36">
        <v>45753</v>
      </c>
      <c r="B13" s="37"/>
      <c r="C13" s="37"/>
      <c r="D13" s="37"/>
    </row>
    <row r="14" spans="1:15" ht="17.25" thickBot="1">
      <c r="A14" s="14">
        <v>500</v>
      </c>
      <c r="B14" s="15" t="s">
        <v>18</v>
      </c>
      <c r="C14" s="16">
        <v>0</v>
      </c>
      <c r="D14" s="17">
        <f t="shared" ref="D14:D19" si="3">A14*C14</f>
        <v>0</v>
      </c>
      <c r="K14" s="36" t="s">
        <v>29</v>
      </c>
      <c r="L14" s="37"/>
      <c r="M14" s="37"/>
      <c r="N14" s="37"/>
    </row>
    <row r="15" spans="1:15" ht="16.5">
      <c r="A15" s="18">
        <v>100</v>
      </c>
      <c r="B15" s="15" t="s">
        <v>18</v>
      </c>
      <c r="C15" s="16">
        <v>1</v>
      </c>
      <c r="D15" s="17">
        <f t="shared" si="3"/>
        <v>100</v>
      </c>
      <c r="K15" s="14">
        <v>500</v>
      </c>
      <c r="L15" s="15" t="s">
        <v>18</v>
      </c>
      <c r="M15" s="16">
        <v>0</v>
      </c>
      <c r="N15" s="17">
        <f t="shared" ref="N15:N20" si="4">K15*M15</f>
        <v>0</v>
      </c>
    </row>
    <row r="16" spans="1:15" ht="16.5">
      <c r="A16" s="18">
        <v>50</v>
      </c>
      <c r="B16" s="15" t="s">
        <v>18</v>
      </c>
      <c r="C16" s="16">
        <v>0</v>
      </c>
      <c r="D16" s="17">
        <f t="shared" si="3"/>
        <v>0</v>
      </c>
      <c r="K16" s="18">
        <v>100</v>
      </c>
      <c r="L16" s="15" t="s">
        <v>18</v>
      </c>
      <c r="M16" s="16">
        <v>16</v>
      </c>
      <c r="N16" s="17">
        <f t="shared" si="4"/>
        <v>1600</v>
      </c>
    </row>
    <row r="17" spans="1:14" ht="16.5">
      <c r="A17" s="18">
        <v>20</v>
      </c>
      <c r="B17" s="15" t="s">
        <v>18</v>
      </c>
      <c r="C17" s="16">
        <v>0</v>
      </c>
      <c r="D17" s="17">
        <f t="shared" si="3"/>
        <v>0</v>
      </c>
      <c r="K17" s="18">
        <v>50</v>
      </c>
      <c r="L17" s="15" t="s">
        <v>18</v>
      </c>
      <c r="M17" s="16">
        <v>13</v>
      </c>
      <c r="N17" s="17">
        <f t="shared" si="4"/>
        <v>650</v>
      </c>
    </row>
    <row r="18" spans="1:14" ht="16.5">
      <c r="A18" s="18">
        <v>10</v>
      </c>
      <c r="B18" s="15" t="s">
        <v>18</v>
      </c>
      <c r="C18" s="16">
        <v>6</v>
      </c>
      <c r="D18" s="17">
        <f t="shared" si="3"/>
        <v>60</v>
      </c>
      <c r="K18" s="18">
        <v>20</v>
      </c>
      <c r="L18" s="15" t="s">
        <v>18</v>
      </c>
      <c r="M18" s="16">
        <v>1</v>
      </c>
      <c r="N18" s="17">
        <f t="shared" si="4"/>
        <v>20</v>
      </c>
    </row>
    <row r="19" spans="1:14" ht="16.5">
      <c r="A19" s="18">
        <v>5</v>
      </c>
      <c r="B19" s="15" t="s">
        <v>18</v>
      </c>
      <c r="C19" s="16">
        <v>10</v>
      </c>
      <c r="D19" s="17">
        <f t="shared" si="3"/>
        <v>50</v>
      </c>
      <c r="K19" s="18">
        <v>10</v>
      </c>
      <c r="L19" s="15" t="s">
        <v>18</v>
      </c>
      <c r="M19" s="16">
        <v>0</v>
      </c>
      <c r="N19" s="17">
        <f t="shared" si="4"/>
        <v>0</v>
      </c>
    </row>
    <row r="20" spans="1:14" ht="16.5">
      <c r="A20" s="19" t="s">
        <v>19</v>
      </c>
      <c r="B20" s="15" t="s">
        <v>18</v>
      </c>
      <c r="C20" s="16">
        <v>4</v>
      </c>
      <c r="D20" s="17">
        <f>+C20*1</f>
        <v>4</v>
      </c>
      <c r="K20" s="18">
        <v>5</v>
      </c>
      <c r="L20" s="15" t="s">
        <v>18</v>
      </c>
      <c r="M20" s="16">
        <v>3</v>
      </c>
      <c r="N20" s="17">
        <f t="shared" si="4"/>
        <v>15</v>
      </c>
    </row>
    <row r="21" spans="1:14" ht="16.5">
      <c r="A21" s="19"/>
      <c r="B21" s="20"/>
      <c r="C21" s="16">
        <v>0</v>
      </c>
      <c r="D21" s="17">
        <f>+C21*0.025</f>
        <v>0</v>
      </c>
      <c r="K21" s="19" t="s">
        <v>19</v>
      </c>
      <c r="L21" s="15" t="s">
        <v>18</v>
      </c>
      <c r="M21" s="16">
        <v>4</v>
      </c>
      <c r="N21" s="17">
        <f>+M21*1</f>
        <v>4</v>
      </c>
    </row>
    <row r="22" spans="1:14" ht="16.5">
      <c r="A22" s="21" t="s">
        <v>20</v>
      </c>
      <c r="B22" s="22"/>
      <c r="C22" s="23">
        <v>0</v>
      </c>
      <c r="D22" s="24">
        <f>SUM(D14:D21)</f>
        <v>214</v>
      </c>
      <c r="K22" s="19"/>
      <c r="L22" s="20"/>
      <c r="M22" s="16">
        <v>0</v>
      </c>
      <c r="N22" s="17">
        <f>+M22*0.025</f>
        <v>0</v>
      </c>
    </row>
    <row r="23" spans="1:14" ht="16.5">
      <c r="K23" s="21" t="s">
        <v>20</v>
      </c>
      <c r="L23" s="22"/>
      <c r="M23" s="23">
        <v>0</v>
      </c>
      <c r="N23" s="24">
        <f>SUM(N15:N22)</f>
        <v>2289</v>
      </c>
    </row>
    <row r="24" spans="1:14">
      <c r="A24" t="s">
        <v>21</v>
      </c>
      <c r="D24" s="25">
        <f>2075+214</f>
        <v>2289</v>
      </c>
    </row>
    <row r="26" spans="1:14">
      <c r="K26" t="s">
        <v>30</v>
      </c>
    </row>
  </sheetData>
  <mergeCells count="3">
    <mergeCell ref="A2:O2"/>
    <mergeCell ref="A13:D13"/>
    <mergeCell ref="K14:N1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8C39-6B78-4F1B-B4D8-56CB069B8127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45783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284</v>
      </c>
      <c r="N4" s="11">
        <f t="shared" ref="N4:N10" si="0">IF(K4&gt;M4,K4-M4,0)</f>
        <v>0</v>
      </c>
      <c r="O4" s="11">
        <f t="shared" ref="O4:O10" si="1">IF(M4&gt;K4,M4-K4,0)</f>
        <v>284</v>
      </c>
    </row>
    <row r="5" spans="1:15" ht="16.5">
      <c r="A5" s="29" t="s">
        <v>17</v>
      </c>
      <c r="B5" s="31">
        <v>0</v>
      </c>
      <c r="C5" s="9">
        <v>0</v>
      </c>
      <c r="D5" s="9">
        <v>168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168</v>
      </c>
      <c r="L5" s="8"/>
      <c r="M5" s="9">
        <v>168</v>
      </c>
      <c r="N5" s="11">
        <f t="shared" si="0"/>
        <v>0</v>
      </c>
      <c r="O5" s="11">
        <f t="shared" si="1"/>
        <v>0</v>
      </c>
    </row>
    <row r="6" spans="1:15" ht="16.5">
      <c r="A6" t="s">
        <v>27</v>
      </c>
      <c r="B6" s="30">
        <v>103</v>
      </c>
      <c r="C6" s="26">
        <f>20+26+26+42+20+50+20</f>
        <v>204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10">
        <f>SUM(B6:I6)</f>
        <v>307</v>
      </c>
      <c r="L6" s="8"/>
      <c r="M6" s="9">
        <v>307</v>
      </c>
      <c r="N6" s="11">
        <f t="shared" si="0"/>
        <v>0</v>
      </c>
      <c r="O6" s="11">
        <f t="shared" si="1"/>
        <v>0</v>
      </c>
    </row>
    <row r="7" spans="1:15" ht="16.5">
      <c r="A7" t="s">
        <v>25</v>
      </c>
      <c r="B7" s="30">
        <v>26</v>
      </c>
      <c r="C7" s="26">
        <f>26+58+24+51+20+32+40+32+26+62</f>
        <v>371</v>
      </c>
      <c r="D7" s="9">
        <v>128</v>
      </c>
      <c r="E7" s="9">
        <v>0</v>
      </c>
      <c r="F7" s="9">
        <v>0</v>
      </c>
      <c r="G7" s="9">
        <v>0</v>
      </c>
      <c r="H7" s="9">
        <v>32</v>
      </c>
      <c r="I7" s="9">
        <v>42</v>
      </c>
      <c r="J7" s="9">
        <v>0</v>
      </c>
      <c r="K7" s="10">
        <f>SUM(B7:J7)</f>
        <v>599</v>
      </c>
      <c r="L7" s="8"/>
      <c r="M7" s="9">
        <v>599</v>
      </c>
      <c r="N7" s="11">
        <f t="shared" si="0"/>
        <v>0</v>
      </c>
      <c r="O7" s="11">
        <f t="shared" si="1"/>
        <v>0</v>
      </c>
    </row>
    <row r="8" spans="1:15" ht="16.5">
      <c r="A8" t="s">
        <v>23</v>
      </c>
      <c r="B8" s="30">
        <v>61</v>
      </c>
      <c r="C8" s="26">
        <f>84+24+145+24</f>
        <v>277</v>
      </c>
      <c r="D8" s="9">
        <v>618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956</v>
      </c>
      <c r="L8" s="8"/>
      <c r="M8" s="9">
        <v>955</v>
      </c>
      <c r="N8" s="11">
        <f t="shared" si="0"/>
        <v>1</v>
      </c>
      <c r="O8" s="11">
        <f t="shared" si="1"/>
        <v>0</v>
      </c>
    </row>
    <row r="9" spans="1:15" ht="16.5" hidden="1">
      <c r="A9" t="s">
        <v>22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 hidden="1">
      <c r="A10" t="s">
        <v>23</v>
      </c>
      <c r="B10" s="30">
        <v>0</v>
      </c>
      <c r="C10" s="26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10">
        <f>SUM(B10:J10)</f>
        <v>0</v>
      </c>
      <c r="L10" s="8"/>
      <c r="M10" s="9">
        <v>0</v>
      </c>
      <c r="N10" s="11">
        <f t="shared" si="0"/>
        <v>0</v>
      </c>
      <c r="O10" s="11">
        <f t="shared" si="1"/>
        <v>0</v>
      </c>
    </row>
    <row r="11" spans="1:15" ht="16.5">
      <c r="A11" s="28"/>
      <c r="B11" s="32">
        <f t="shared" ref="B11:K11" si="2">SUM(B4:B10)</f>
        <v>190</v>
      </c>
      <c r="C11" s="12">
        <f t="shared" si="2"/>
        <v>852</v>
      </c>
      <c r="D11" s="12">
        <f t="shared" si="2"/>
        <v>914</v>
      </c>
      <c r="E11" s="12">
        <f t="shared" si="2"/>
        <v>0</v>
      </c>
      <c r="F11" s="12">
        <f t="shared" si="2"/>
        <v>0</v>
      </c>
      <c r="G11" s="12">
        <f t="shared" si="2"/>
        <v>0</v>
      </c>
      <c r="H11" s="12">
        <f t="shared" si="2"/>
        <v>32</v>
      </c>
      <c r="I11" s="12">
        <f t="shared" si="2"/>
        <v>42</v>
      </c>
      <c r="J11" s="12">
        <f t="shared" si="2"/>
        <v>0</v>
      </c>
      <c r="K11" s="12">
        <f t="shared" si="2"/>
        <v>2030</v>
      </c>
      <c r="L11" s="13"/>
      <c r="M11" s="12">
        <f>SUM(M4:M10)</f>
        <v>2313</v>
      </c>
      <c r="N11" s="12">
        <f>SUM(N4:N10)</f>
        <v>1</v>
      </c>
      <c r="O11" s="12">
        <f>SUM(O4:O10)</f>
        <v>284</v>
      </c>
    </row>
    <row r="12" spans="1:15" ht="15.75" thickBot="1"/>
    <row r="13" spans="1:15" ht="17.25" thickBot="1">
      <c r="A13" s="36">
        <v>45783</v>
      </c>
      <c r="B13" s="37"/>
      <c r="C13" s="37"/>
      <c r="D13" s="37"/>
    </row>
    <row r="14" spans="1:15" ht="16.5">
      <c r="A14" s="14">
        <v>500</v>
      </c>
      <c r="B14" s="15" t="s">
        <v>18</v>
      </c>
      <c r="C14" s="16">
        <v>0</v>
      </c>
      <c r="D14" s="17">
        <f t="shared" ref="D14:D19" si="3">A14*C14</f>
        <v>0</v>
      </c>
    </row>
    <row r="15" spans="1:15" ht="16.5">
      <c r="A15" s="18">
        <v>100</v>
      </c>
      <c r="B15" s="15" t="s">
        <v>18</v>
      </c>
      <c r="C15" s="16">
        <v>0</v>
      </c>
      <c r="D15" s="17">
        <f t="shared" si="3"/>
        <v>0</v>
      </c>
    </row>
    <row r="16" spans="1:15" ht="16.5">
      <c r="A16" s="18">
        <v>50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20</v>
      </c>
      <c r="B17" s="15" t="s">
        <v>18</v>
      </c>
      <c r="C17" s="16">
        <v>0</v>
      </c>
      <c r="D17" s="17">
        <f t="shared" si="3"/>
        <v>0</v>
      </c>
    </row>
    <row r="18" spans="1:4" ht="16.5">
      <c r="A18" s="18">
        <v>10</v>
      </c>
      <c r="B18" s="15" t="s">
        <v>18</v>
      </c>
      <c r="C18" s="16">
        <v>8</v>
      </c>
      <c r="D18" s="17">
        <f t="shared" si="3"/>
        <v>80</v>
      </c>
    </row>
    <row r="19" spans="1:4" ht="16.5">
      <c r="A19" s="18">
        <v>5</v>
      </c>
      <c r="B19" s="15" t="s">
        <v>18</v>
      </c>
      <c r="C19" s="16">
        <v>22</v>
      </c>
      <c r="D19" s="17">
        <f t="shared" si="3"/>
        <v>110</v>
      </c>
    </row>
    <row r="20" spans="1:4" ht="16.5">
      <c r="A20" s="19" t="s">
        <v>19</v>
      </c>
      <c r="B20" s="15" t="s">
        <v>18</v>
      </c>
      <c r="C20" s="16">
        <v>0</v>
      </c>
      <c r="D20" s="17">
        <f>+C20*1</f>
        <v>0</v>
      </c>
    </row>
    <row r="21" spans="1:4" ht="16.5">
      <c r="A21" s="19"/>
      <c r="B21" s="20"/>
      <c r="C21" s="16">
        <v>0</v>
      </c>
      <c r="D21" s="17">
        <f>+C21*0.025</f>
        <v>0</v>
      </c>
    </row>
    <row r="22" spans="1:4" ht="16.5">
      <c r="A22" s="21" t="s">
        <v>20</v>
      </c>
      <c r="B22" s="22"/>
      <c r="C22" s="23">
        <v>0</v>
      </c>
      <c r="D22" s="24">
        <f>SUM(D14:D21)</f>
        <v>190</v>
      </c>
    </row>
    <row r="24" spans="1:4">
      <c r="A24" t="s">
        <v>21</v>
      </c>
      <c r="D24" s="25">
        <f>2298+190</f>
        <v>2488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DB2C-42AE-4775-8B6B-1501BAB6B2FE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45814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10" si="0">IF(K4&gt;M4,K4-M4,0)</f>
        <v>0</v>
      </c>
      <c r="O4" s="11">
        <f t="shared" ref="O4:O10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412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412</v>
      </c>
      <c r="L5" s="8"/>
      <c r="M5" s="9">
        <v>412</v>
      </c>
      <c r="N5" s="11">
        <f t="shared" si="0"/>
        <v>0</v>
      </c>
      <c r="O5" s="11">
        <f t="shared" si="1"/>
        <v>0</v>
      </c>
    </row>
    <row r="6" spans="1:15" ht="16.5">
      <c r="A6" t="s">
        <v>27</v>
      </c>
      <c r="B6" s="30">
        <v>520</v>
      </c>
      <c r="C6" s="26">
        <f>112+77+160+32+91+70+92+62</f>
        <v>696</v>
      </c>
      <c r="D6" s="9">
        <v>722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10">
        <f>SUM(B6:I6)</f>
        <v>1938</v>
      </c>
      <c r="L6" s="8"/>
      <c r="M6" s="9">
        <v>1936</v>
      </c>
      <c r="N6" s="11">
        <f t="shared" si="0"/>
        <v>2</v>
      </c>
      <c r="O6" s="11">
        <f t="shared" si="1"/>
        <v>0</v>
      </c>
    </row>
    <row r="7" spans="1:15" ht="16.5">
      <c r="A7" t="s">
        <v>31</v>
      </c>
      <c r="B7" s="30">
        <v>717</v>
      </c>
      <c r="C7" s="26">
        <f>168+40+40+64+84+32+89+30+121+68+7+89+73+35+26+224+64+25+96+45+7+42+64</f>
        <v>1533</v>
      </c>
      <c r="D7" s="9">
        <v>1418</v>
      </c>
      <c r="E7" s="9" t="s">
        <v>30</v>
      </c>
      <c r="F7" s="9">
        <v>0</v>
      </c>
      <c r="G7" s="9">
        <v>0</v>
      </c>
      <c r="H7" s="9">
        <v>96</v>
      </c>
      <c r="I7" s="9">
        <v>0</v>
      </c>
      <c r="J7" s="9">
        <v>0</v>
      </c>
      <c r="K7" s="10">
        <f>SUM(B7:J7)</f>
        <v>3764</v>
      </c>
      <c r="L7" s="8"/>
      <c r="M7" s="9">
        <v>3760</v>
      </c>
      <c r="N7" s="11">
        <f t="shared" si="0"/>
        <v>4</v>
      </c>
      <c r="O7" s="11">
        <f t="shared" si="1"/>
        <v>0</v>
      </c>
    </row>
    <row r="8" spans="1:15" ht="16.5">
      <c r="A8" t="s">
        <v>26</v>
      </c>
      <c r="B8" s="30">
        <v>10</v>
      </c>
      <c r="C8" s="26">
        <f>48+86+32+72+64+173+67+64+45+15+67</f>
        <v>733</v>
      </c>
      <c r="D8" s="9">
        <v>0</v>
      </c>
      <c r="E8" s="9">
        <v>0</v>
      </c>
      <c r="F8" s="9">
        <v>0</v>
      </c>
      <c r="G8" s="9">
        <v>0</v>
      </c>
      <c r="H8" s="9">
        <v>32</v>
      </c>
      <c r="I8" s="9">
        <v>0</v>
      </c>
      <c r="J8" s="9">
        <v>0</v>
      </c>
      <c r="K8" s="10">
        <f>SUM(B8:J8)</f>
        <v>775</v>
      </c>
      <c r="L8" s="8"/>
      <c r="M8" s="9">
        <v>775</v>
      </c>
      <c r="N8" s="11">
        <f t="shared" si="0"/>
        <v>0</v>
      </c>
      <c r="O8" s="11">
        <f t="shared" si="1"/>
        <v>0</v>
      </c>
    </row>
    <row r="9" spans="1:15" ht="16.5" hidden="1">
      <c r="A9" t="s">
        <v>22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 hidden="1">
      <c r="A10" t="s">
        <v>23</v>
      </c>
      <c r="B10" s="30">
        <v>0</v>
      </c>
      <c r="C10" s="26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10">
        <f>SUM(B10:J10)</f>
        <v>0</v>
      </c>
      <c r="L10" s="8"/>
      <c r="M10" s="9">
        <v>0</v>
      </c>
      <c r="N10" s="11">
        <f t="shared" si="0"/>
        <v>0</v>
      </c>
      <c r="O10" s="11">
        <f t="shared" si="1"/>
        <v>0</v>
      </c>
    </row>
    <row r="11" spans="1:15" ht="16.5">
      <c r="A11" s="28"/>
      <c r="B11" s="32">
        <f t="shared" ref="B11:K11" si="2">SUM(B4:B10)</f>
        <v>1247</v>
      </c>
      <c r="C11" s="12">
        <f t="shared" si="2"/>
        <v>2962</v>
      </c>
      <c r="D11" s="12">
        <f t="shared" si="2"/>
        <v>2552</v>
      </c>
      <c r="E11" s="12">
        <f t="shared" si="2"/>
        <v>0</v>
      </c>
      <c r="F11" s="12">
        <f t="shared" si="2"/>
        <v>0</v>
      </c>
      <c r="G11" s="12">
        <f t="shared" si="2"/>
        <v>0</v>
      </c>
      <c r="H11" s="12">
        <f t="shared" si="2"/>
        <v>128</v>
      </c>
      <c r="I11" s="12">
        <f t="shared" si="2"/>
        <v>0</v>
      </c>
      <c r="J11" s="12">
        <f t="shared" si="2"/>
        <v>0</v>
      </c>
      <c r="K11" s="12">
        <f t="shared" si="2"/>
        <v>6889</v>
      </c>
      <c r="L11" s="13"/>
      <c r="M11" s="12">
        <f>SUM(M4:M10)</f>
        <v>6883</v>
      </c>
      <c r="N11" s="12">
        <f>SUM(N4:N10)</f>
        <v>6</v>
      </c>
      <c r="O11" s="12">
        <f>SUM(O4:O10)</f>
        <v>0</v>
      </c>
    </row>
    <row r="12" spans="1:15" ht="15.75" thickBot="1"/>
    <row r="13" spans="1:15" ht="17.25" thickBot="1">
      <c r="A13" s="36">
        <v>45814</v>
      </c>
      <c r="B13" s="37"/>
      <c r="C13" s="37"/>
      <c r="D13" s="37"/>
    </row>
    <row r="14" spans="1:15" ht="16.5">
      <c r="A14" s="14">
        <v>500</v>
      </c>
      <c r="B14" s="15" t="s">
        <v>18</v>
      </c>
      <c r="C14" s="16">
        <v>0</v>
      </c>
      <c r="D14" s="17">
        <f t="shared" ref="D14:D19" si="3">A14*C14</f>
        <v>0</v>
      </c>
    </row>
    <row r="15" spans="1:15" ht="16.5">
      <c r="A15" s="18">
        <v>100</v>
      </c>
      <c r="B15" s="15" t="s">
        <v>18</v>
      </c>
      <c r="C15" s="16">
        <v>9</v>
      </c>
      <c r="D15" s="17">
        <f t="shared" si="3"/>
        <v>900</v>
      </c>
    </row>
    <row r="16" spans="1:15" ht="16.5">
      <c r="A16" s="18">
        <v>50</v>
      </c>
      <c r="B16" s="15" t="s">
        <v>18</v>
      </c>
      <c r="C16" s="16">
        <v>5</v>
      </c>
      <c r="D16" s="17">
        <f t="shared" si="3"/>
        <v>250</v>
      </c>
    </row>
    <row r="17" spans="1:4" ht="16.5">
      <c r="A17" s="18">
        <v>20</v>
      </c>
      <c r="B17" s="15" t="s">
        <v>18</v>
      </c>
      <c r="C17" s="16">
        <v>0</v>
      </c>
      <c r="D17" s="17">
        <f t="shared" si="3"/>
        <v>0</v>
      </c>
    </row>
    <row r="18" spans="1:4" ht="16.5">
      <c r="A18" s="18">
        <v>10</v>
      </c>
      <c r="B18" s="15" t="s">
        <v>18</v>
      </c>
      <c r="C18" s="16">
        <v>4</v>
      </c>
      <c r="D18" s="17">
        <f t="shared" si="3"/>
        <v>40</v>
      </c>
    </row>
    <row r="19" spans="1:4" ht="16.5">
      <c r="A19" s="18">
        <v>5</v>
      </c>
      <c r="B19" s="15" t="s">
        <v>18</v>
      </c>
      <c r="C19" s="16">
        <v>11</v>
      </c>
      <c r="D19" s="17">
        <f t="shared" si="3"/>
        <v>55</v>
      </c>
    </row>
    <row r="20" spans="1:4" ht="16.5">
      <c r="A20" s="19" t="s">
        <v>19</v>
      </c>
      <c r="B20" s="15" t="s">
        <v>18</v>
      </c>
      <c r="C20" s="16">
        <v>2</v>
      </c>
      <c r="D20" s="17">
        <f>+C20*1</f>
        <v>2</v>
      </c>
    </row>
    <row r="21" spans="1:4" ht="16.5">
      <c r="A21" s="19"/>
      <c r="B21" s="20"/>
      <c r="C21" s="16">
        <v>0</v>
      </c>
      <c r="D21" s="17">
        <f>+C21*0.025</f>
        <v>0</v>
      </c>
    </row>
    <row r="22" spans="1:4" ht="16.5">
      <c r="A22" s="21" t="s">
        <v>20</v>
      </c>
      <c r="B22" s="22"/>
      <c r="C22" s="23">
        <v>0</v>
      </c>
      <c r="D22" s="24">
        <f>SUM(D14:D21)</f>
        <v>1247</v>
      </c>
    </row>
    <row r="24" spans="1:4">
      <c r="A24" t="s">
        <v>21</v>
      </c>
      <c r="D24" s="25">
        <f>2488+1247</f>
        <v>3735</v>
      </c>
    </row>
  </sheetData>
  <mergeCells count="2">
    <mergeCell ref="A2:O2"/>
    <mergeCell ref="A13:D1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AB10-E526-4D00-B1A7-8B05DFF34842}">
  <dimension ref="A1:O23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45844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704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704</v>
      </c>
      <c r="L5" s="8"/>
      <c r="M5" s="9">
        <v>704</v>
      </c>
      <c r="N5" s="11">
        <f t="shared" si="0"/>
        <v>0</v>
      </c>
      <c r="O5" s="11">
        <f t="shared" si="1"/>
        <v>0</v>
      </c>
    </row>
    <row r="6" spans="1:15" ht="16.5">
      <c r="A6" s="33" t="s">
        <v>31</v>
      </c>
      <c r="B6" s="30">
        <v>590</v>
      </c>
      <c r="C6" s="26">
        <f>32+64+32+20+20+128+154+25+49+128+48+38+35+31+192+64+26+20+25+15+64+64+40+64+25+42+128+25+40+96+40+192</f>
        <v>1966</v>
      </c>
      <c r="D6" s="9">
        <v>1240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10">
        <f>SUM(B6:J6)</f>
        <v>3796</v>
      </c>
      <c r="L6" s="8"/>
      <c r="M6" s="9">
        <v>3793</v>
      </c>
      <c r="N6" s="11">
        <f t="shared" si="0"/>
        <v>3</v>
      </c>
      <c r="O6" s="11">
        <f t="shared" si="1"/>
        <v>0</v>
      </c>
    </row>
    <row r="7" spans="1:15" ht="16.5">
      <c r="A7" s="33" t="s">
        <v>25</v>
      </c>
      <c r="B7" s="30">
        <v>797</v>
      </c>
      <c r="C7" s="26">
        <f>20+32+32+34+20+64+64+32+35+14+72+68+78+70+128+128+106+96+20+35+22+190+96+27+15+192+99+40+79+32</f>
        <v>1940</v>
      </c>
      <c r="D7" s="9">
        <v>306</v>
      </c>
      <c r="E7" s="9">
        <v>0</v>
      </c>
      <c r="F7" s="9">
        <v>0</v>
      </c>
      <c r="G7" s="9">
        <v>0</v>
      </c>
      <c r="H7" s="9">
        <v>32</v>
      </c>
      <c r="I7" s="9">
        <v>0</v>
      </c>
      <c r="J7" s="9">
        <v>0</v>
      </c>
      <c r="K7" s="10">
        <f>SUM(B7:J7)</f>
        <v>3075</v>
      </c>
      <c r="L7" s="8"/>
      <c r="M7" s="9">
        <v>3071</v>
      </c>
      <c r="N7" s="11">
        <f t="shared" si="0"/>
        <v>4</v>
      </c>
      <c r="O7" s="11">
        <f t="shared" si="1"/>
        <v>0</v>
      </c>
    </row>
    <row r="8" spans="1:15" ht="16.5" hidden="1">
      <c r="A8" s="33" t="s">
        <v>22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>
      <c r="A9" s="33" t="s">
        <v>27</v>
      </c>
      <c r="B9" s="30">
        <v>288</v>
      </c>
      <c r="C9" s="26">
        <f>2+128+45+45+45+45+224+168+60+20+70+7+20+20+25+96+20+128+64+20+32+37+55+32+22+128+64+96+96+96+24+183+166</f>
        <v>2283</v>
      </c>
      <c r="D9" s="9">
        <v>402</v>
      </c>
      <c r="E9" s="9">
        <v>0</v>
      </c>
      <c r="F9" s="9">
        <v>64</v>
      </c>
      <c r="G9" s="9">
        <v>0</v>
      </c>
      <c r="H9" s="9">
        <v>96</v>
      </c>
      <c r="I9" s="9">
        <v>0</v>
      </c>
      <c r="J9" s="9">
        <v>0</v>
      </c>
      <c r="K9" s="10">
        <f>SUM(B9:J9)</f>
        <v>3133</v>
      </c>
      <c r="L9" s="8"/>
      <c r="M9" s="9">
        <v>3120</v>
      </c>
      <c r="N9" s="11">
        <f t="shared" si="0"/>
        <v>13</v>
      </c>
      <c r="O9" s="11">
        <f t="shared" si="1"/>
        <v>0</v>
      </c>
    </row>
    <row r="10" spans="1:15" ht="16.5">
      <c r="A10" s="28"/>
      <c r="B10" s="32">
        <f t="shared" ref="B10:K10" si="2">SUM(B4:B9)</f>
        <v>1675</v>
      </c>
      <c r="C10" s="12">
        <f t="shared" si="2"/>
        <v>6189</v>
      </c>
      <c r="D10" s="12">
        <f t="shared" si="2"/>
        <v>2652</v>
      </c>
      <c r="E10" s="12">
        <f t="shared" si="2"/>
        <v>0</v>
      </c>
      <c r="F10" s="12">
        <f t="shared" si="2"/>
        <v>64</v>
      </c>
      <c r="G10" s="12">
        <f t="shared" si="2"/>
        <v>0</v>
      </c>
      <c r="H10" s="12">
        <f t="shared" si="2"/>
        <v>128</v>
      </c>
      <c r="I10" s="12">
        <f t="shared" si="2"/>
        <v>0</v>
      </c>
      <c r="J10" s="12">
        <f t="shared" si="2"/>
        <v>0</v>
      </c>
      <c r="K10" s="12">
        <f t="shared" si="2"/>
        <v>10708</v>
      </c>
      <c r="L10" s="13"/>
      <c r="M10" s="12">
        <f>SUM(M4:M9)</f>
        <v>10688</v>
      </c>
      <c r="N10" s="12">
        <f>SUM(N4:N9)</f>
        <v>20</v>
      </c>
      <c r="O10" s="12">
        <f>SUM(O4:O9)</f>
        <v>0</v>
      </c>
    </row>
    <row r="11" spans="1:15" ht="15.75" thickBot="1"/>
    <row r="12" spans="1:15" ht="17.25" thickBot="1">
      <c r="A12" s="36">
        <v>45844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11</v>
      </c>
      <c r="D14" s="17">
        <f t="shared" si="3"/>
        <v>1100</v>
      </c>
    </row>
    <row r="15" spans="1:15" ht="16.5">
      <c r="A15" s="18">
        <v>50</v>
      </c>
      <c r="B15" s="15" t="s">
        <v>18</v>
      </c>
      <c r="C15" s="16">
        <v>4</v>
      </c>
      <c r="D15" s="17">
        <f t="shared" si="3"/>
        <v>200</v>
      </c>
    </row>
    <row r="16" spans="1:15" ht="16.5">
      <c r="A16" s="18">
        <v>20</v>
      </c>
      <c r="B16" s="15" t="s">
        <v>18</v>
      </c>
      <c r="C16" s="16">
        <v>1</v>
      </c>
      <c r="D16" s="17">
        <f t="shared" si="3"/>
        <v>20</v>
      </c>
    </row>
    <row r="17" spans="1:4" ht="16.5">
      <c r="A17" s="18">
        <v>10</v>
      </c>
      <c r="B17" s="15" t="s">
        <v>18</v>
      </c>
      <c r="C17" s="16">
        <v>16</v>
      </c>
      <c r="D17" s="17">
        <f t="shared" si="3"/>
        <v>160</v>
      </c>
    </row>
    <row r="18" spans="1:4" ht="16.5">
      <c r="A18" s="18">
        <v>5</v>
      </c>
      <c r="B18" s="15" t="s">
        <v>18</v>
      </c>
      <c r="C18" s="16">
        <v>39</v>
      </c>
      <c r="D18" s="17">
        <f t="shared" si="3"/>
        <v>195</v>
      </c>
    </row>
    <row r="19" spans="1:4" ht="16.5">
      <c r="A19" s="19" t="s">
        <v>19</v>
      </c>
      <c r="B19" s="15" t="s">
        <v>18</v>
      </c>
      <c r="C19" s="16">
        <v>0</v>
      </c>
      <c r="D19" s="17">
        <f>+C19*1</f>
        <v>0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1675</v>
      </c>
    </row>
    <row r="23" spans="1:4">
      <c r="A23" t="s">
        <v>21</v>
      </c>
      <c r="D23" s="25">
        <f>3735+1675</f>
        <v>5410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59E4-6F5E-45DF-ABF7-7727A7E716FF}">
  <dimension ref="A1:O23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45875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147</v>
      </c>
      <c r="N4" s="11">
        <f t="shared" ref="N4:N9" si="0">IF(K4&gt;M4,K4-M4,0)</f>
        <v>0</v>
      </c>
      <c r="O4" s="11">
        <f t="shared" ref="O4:O9" si="1">IF(M4&gt;K4,M4-K4,0)</f>
        <v>147</v>
      </c>
    </row>
    <row r="5" spans="1:15" ht="16.5">
      <c r="A5" s="29" t="s">
        <v>17</v>
      </c>
      <c r="B5" s="31">
        <v>0</v>
      </c>
      <c r="C5" s="9">
        <v>0</v>
      </c>
      <c r="D5" s="9">
        <v>530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530</v>
      </c>
      <c r="L5" s="8"/>
      <c r="M5" s="9">
        <v>530</v>
      </c>
      <c r="N5" s="11">
        <f t="shared" si="0"/>
        <v>0</v>
      </c>
      <c r="O5" s="11">
        <f t="shared" si="1"/>
        <v>0</v>
      </c>
    </row>
    <row r="6" spans="1:15" ht="16.5">
      <c r="A6" s="33" t="s">
        <v>23</v>
      </c>
      <c r="B6" s="30">
        <v>544</v>
      </c>
      <c r="C6" s="26">
        <f>99+34+79+64+32+32+55+32+64+72+27+284+26+35+84+45+138+52+90+236+134+20+119+20+69+160+38+38+64+128+40</f>
        <v>2410</v>
      </c>
      <c r="D6" s="9">
        <v>768</v>
      </c>
      <c r="E6" s="9">
        <v>0</v>
      </c>
      <c r="F6" s="9">
        <v>0</v>
      </c>
      <c r="G6" s="9">
        <v>0</v>
      </c>
      <c r="H6" s="9">
        <v>96</v>
      </c>
      <c r="I6" s="9">
        <v>0</v>
      </c>
      <c r="J6" s="9">
        <v>0</v>
      </c>
      <c r="K6" s="10">
        <f>SUM(B6:J6)</f>
        <v>3818</v>
      </c>
      <c r="L6" s="8"/>
      <c r="M6" s="9">
        <v>3818</v>
      </c>
      <c r="N6" s="11">
        <f t="shared" si="0"/>
        <v>0</v>
      </c>
      <c r="O6" s="11">
        <f t="shared" si="1"/>
        <v>0</v>
      </c>
    </row>
    <row r="7" spans="1:15" ht="16.5">
      <c r="A7" s="33" t="s">
        <v>25</v>
      </c>
      <c r="B7" s="30">
        <v>72</v>
      </c>
      <c r="C7" s="26">
        <f>20+48+152+128+32+7+90+32+48+24+32+32+20+7+7+20+20+32+42+42</f>
        <v>835</v>
      </c>
      <c r="D7" s="9">
        <v>160</v>
      </c>
      <c r="E7" s="9">
        <v>0</v>
      </c>
      <c r="F7" s="9">
        <v>0</v>
      </c>
      <c r="G7" s="9">
        <v>0</v>
      </c>
      <c r="H7" s="9">
        <v>128</v>
      </c>
      <c r="I7" s="9">
        <v>0</v>
      </c>
      <c r="J7" s="9">
        <v>0</v>
      </c>
      <c r="K7" s="10">
        <f>SUM(B7:J7)</f>
        <v>1195</v>
      </c>
      <c r="L7" s="8"/>
      <c r="M7" s="9">
        <v>1195</v>
      </c>
      <c r="N7" s="11">
        <f t="shared" si="0"/>
        <v>0</v>
      </c>
      <c r="O7" s="11">
        <f t="shared" si="1"/>
        <v>0</v>
      </c>
    </row>
    <row r="8" spans="1:15" ht="16.5">
      <c r="A8" s="33" t="s">
        <v>32</v>
      </c>
      <c r="B8" s="30">
        <v>0</v>
      </c>
      <c r="C8" s="26">
        <v>0</v>
      </c>
      <c r="D8" s="9">
        <v>1304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1304</v>
      </c>
      <c r="L8" s="8"/>
      <c r="M8" s="9">
        <v>1304</v>
      </c>
      <c r="N8" s="11">
        <f t="shared" si="0"/>
        <v>0</v>
      </c>
      <c r="O8" s="11">
        <f t="shared" si="1"/>
        <v>0</v>
      </c>
    </row>
    <row r="9" spans="1:15" ht="16.5">
      <c r="A9" s="33" t="s">
        <v>26</v>
      </c>
      <c r="B9" s="30">
        <v>440</v>
      </c>
      <c r="C9" s="26">
        <f>27+67+32+51+40+64+20+58+7+25+70+52+116+185+35+64+45+64</f>
        <v>1022</v>
      </c>
      <c r="D9" s="9">
        <v>160</v>
      </c>
      <c r="E9" s="9">
        <v>0</v>
      </c>
      <c r="F9" s="9">
        <v>0</v>
      </c>
      <c r="G9" s="9">
        <v>0</v>
      </c>
      <c r="H9" s="9">
        <v>320</v>
      </c>
      <c r="I9" s="9">
        <v>0</v>
      </c>
      <c r="J9" s="9">
        <v>0</v>
      </c>
      <c r="K9" s="10">
        <f>SUM(B9:J9)</f>
        <v>1942</v>
      </c>
      <c r="L9" s="8"/>
      <c r="M9" s="9">
        <v>1942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1056</v>
      </c>
      <c r="C10" s="12">
        <f t="shared" si="2"/>
        <v>4267</v>
      </c>
      <c r="D10" s="12">
        <f t="shared" si="2"/>
        <v>2922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544</v>
      </c>
      <c r="I10" s="12">
        <f t="shared" si="2"/>
        <v>0</v>
      </c>
      <c r="J10" s="12">
        <f t="shared" si="2"/>
        <v>0</v>
      </c>
      <c r="K10" s="12">
        <f t="shared" si="2"/>
        <v>8789</v>
      </c>
      <c r="L10" s="13"/>
      <c r="M10" s="12">
        <f>SUM(M4:M9)</f>
        <v>8936</v>
      </c>
      <c r="N10" s="12">
        <f>SUM(N4:N9)</f>
        <v>0</v>
      </c>
      <c r="O10" s="12">
        <f>SUM(O4:O9)</f>
        <v>147</v>
      </c>
    </row>
    <row r="11" spans="1:15" ht="15.75" thickBot="1"/>
    <row r="12" spans="1:15" ht="17.25" thickBot="1">
      <c r="A12" s="36">
        <v>45875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2</v>
      </c>
      <c r="D14" s="17">
        <f t="shared" si="3"/>
        <v>200</v>
      </c>
    </row>
    <row r="15" spans="1:15" ht="16.5">
      <c r="A15" s="18">
        <v>50</v>
      </c>
      <c r="B15" s="15" t="s">
        <v>18</v>
      </c>
      <c r="C15" s="16">
        <v>12</v>
      </c>
      <c r="D15" s="17">
        <f t="shared" si="3"/>
        <v>600</v>
      </c>
    </row>
    <row r="16" spans="1:15" ht="16.5">
      <c r="A16" s="18">
        <v>20</v>
      </c>
      <c r="B16" s="15" t="s">
        <v>18</v>
      </c>
      <c r="C16" s="16">
        <v>2</v>
      </c>
      <c r="D16" s="17">
        <f t="shared" si="3"/>
        <v>40</v>
      </c>
    </row>
    <row r="17" spans="1:4" ht="16.5">
      <c r="A17" s="18">
        <v>10</v>
      </c>
      <c r="B17" s="15" t="s">
        <v>18</v>
      </c>
      <c r="C17" s="16">
        <v>7</v>
      </c>
      <c r="D17" s="17">
        <f t="shared" si="3"/>
        <v>70</v>
      </c>
    </row>
    <row r="18" spans="1:4" ht="16.5">
      <c r="A18" s="18">
        <v>5</v>
      </c>
      <c r="B18" s="15" t="s">
        <v>18</v>
      </c>
      <c r="C18" s="16">
        <v>29</v>
      </c>
      <c r="D18" s="17">
        <f t="shared" si="3"/>
        <v>145</v>
      </c>
    </row>
    <row r="19" spans="1:4" ht="16.5">
      <c r="A19" s="19" t="s">
        <v>19</v>
      </c>
      <c r="B19" s="15" t="s">
        <v>18</v>
      </c>
      <c r="C19" s="16">
        <v>1</v>
      </c>
      <c r="D19" s="17">
        <f>+C19*1</f>
        <v>1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1056</v>
      </c>
    </row>
    <row r="23" spans="1:4">
      <c r="A23" t="s">
        <v>21</v>
      </c>
      <c r="D23" s="25">
        <f>5410+1056</f>
        <v>6466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5B8D-EE38-4A62-B341-584F8206A3BA}">
  <dimension ref="A1:O23"/>
  <sheetViews>
    <sheetView workbookViewId="0">
      <selection activeCell="A11" sqref="A11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45906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838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838</v>
      </c>
      <c r="L5" s="8"/>
      <c r="M5" s="9">
        <v>838</v>
      </c>
      <c r="N5" s="11">
        <f t="shared" si="0"/>
        <v>0</v>
      </c>
      <c r="O5" s="11">
        <f t="shared" si="1"/>
        <v>0</v>
      </c>
    </row>
    <row r="6" spans="1:15" ht="16.5">
      <c r="A6" s="33" t="s">
        <v>27</v>
      </c>
      <c r="B6" s="30">
        <v>430</v>
      </c>
      <c r="C6" s="26">
        <f>20+56+7+67+64+35+48+25+84+32+35+157+227+96+256+158+64+32+134+75+78+22+104+20+32+32+27+10</f>
        <v>1997</v>
      </c>
      <c r="D6" s="9">
        <v>160</v>
      </c>
      <c r="E6" s="9">
        <v>0</v>
      </c>
      <c r="F6" s="9">
        <v>0</v>
      </c>
      <c r="G6" s="9">
        <v>0</v>
      </c>
      <c r="H6" s="9">
        <v>160</v>
      </c>
      <c r="I6" s="9">
        <v>0</v>
      </c>
      <c r="J6" s="9">
        <v>0</v>
      </c>
      <c r="K6" s="10">
        <f>SUM(B6:J6)</f>
        <v>2747</v>
      </c>
      <c r="L6" s="8"/>
      <c r="M6" s="9">
        <v>2746</v>
      </c>
      <c r="N6" s="11">
        <f t="shared" si="0"/>
        <v>1</v>
      </c>
      <c r="O6" s="11">
        <f t="shared" si="1"/>
        <v>0</v>
      </c>
    </row>
    <row r="7" spans="1:15" ht="16.5">
      <c r="A7" s="33" t="s">
        <v>31</v>
      </c>
      <c r="B7" s="30">
        <v>429</v>
      </c>
      <c r="C7" s="26">
        <f>20+26+64+26+40+42+70+64+64+134+64+46+32+96+32+20+122+32+162+101+20+101+35+96+32+40+66+32+99+232+20</f>
        <v>2030</v>
      </c>
      <c r="D7" s="9">
        <v>128</v>
      </c>
      <c r="E7" s="9">
        <v>0</v>
      </c>
      <c r="F7" s="9">
        <v>0</v>
      </c>
      <c r="G7" s="9">
        <v>0</v>
      </c>
      <c r="H7" s="9">
        <v>416</v>
      </c>
      <c r="I7" s="9">
        <v>0</v>
      </c>
      <c r="J7" s="9">
        <v>0</v>
      </c>
      <c r="K7" s="10">
        <f>SUM(B7:J7)</f>
        <v>3003</v>
      </c>
      <c r="L7" s="8"/>
      <c r="M7" s="9">
        <v>3003</v>
      </c>
      <c r="N7" s="11">
        <f t="shared" si="0"/>
        <v>0</v>
      </c>
      <c r="O7" s="11">
        <f t="shared" si="1"/>
        <v>0</v>
      </c>
    </row>
    <row r="8" spans="1:15" ht="16.5">
      <c r="A8" s="33" t="s">
        <v>26</v>
      </c>
      <c r="B8" s="30">
        <v>842</v>
      </c>
      <c r="C8" s="26">
        <f>16+16+42+32+20+82+35+42+7+40+26+55+55+35+40+20+134+105+78+104+7+64+90+27+27+27+42+67+16+16+204</f>
        <v>1571</v>
      </c>
      <c r="D8" s="9">
        <v>84</v>
      </c>
      <c r="E8" s="9">
        <v>0</v>
      </c>
      <c r="F8" s="9">
        <v>0</v>
      </c>
      <c r="G8" s="9">
        <v>0</v>
      </c>
      <c r="H8" s="9">
        <v>192</v>
      </c>
      <c r="I8" s="9">
        <v>0</v>
      </c>
      <c r="J8" s="9">
        <v>0</v>
      </c>
      <c r="K8" s="10">
        <f>SUM(B8:J8)</f>
        <v>2689</v>
      </c>
      <c r="L8" s="8"/>
      <c r="M8" s="9">
        <v>2689</v>
      </c>
      <c r="N8" s="11">
        <f t="shared" si="0"/>
        <v>0</v>
      </c>
      <c r="O8" s="11">
        <f t="shared" si="1"/>
        <v>0</v>
      </c>
    </row>
    <row r="9" spans="1:15" ht="16.5" hidden="1">
      <c r="A9" s="33" t="s">
        <v>26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1701</v>
      </c>
      <c r="C10" s="12">
        <f t="shared" si="2"/>
        <v>5598</v>
      </c>
      <c r="D10" s="12">
        <f t="shared" si="2"/>
        <v>1210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768</v>
      </c>
      <c r="I10" s="12">
        <f t="shared" si="2"/>
        <v>0</v>
      </c>
      <c r="J10" s="12">
        <f t="shared" si="2"/>
        <v>0</v>
      </c>
      <c r="K10" s="12">
        <f t="shared" si="2"/>
        <v>9277</v>
      </c>
      <c r="L10" s="13"/>
      <c r="M10" s="12">
        <f>SUM(M4:M9)</f>
        <v>9276</v>
      </c>
      <c r="N10" s="12">
        <f>SUM(N4:N9)</f>
        <v>1</v>
      </c>
      <c r="O10" s="12">
        <f>SUM(O4:O9)</f>
        <v>0</v>
      </c>
    </row>
    <row r="11" spans="1:15" ht="15.75" thickBot="1">
      <c r="A11" s="34" t="s">
        <v>34</v>
      </c>
    </row>
    <row r="12" spans="1:15" ht="17.25" thickBot="1">
      <c r="A12" s="36">
        <v>45906</v>
      </c>
      <c r="B12" s="37"/>
      <c r="C12" s="37"/>
      <c r="D12" s="37"/>
    </row>
    <row r="13" spans="1:15" ht="17.25" thickBot="1">
      <c r="A13" s="14">
        <v>500</v>
      </c>
      <c r="B13" s="15" t="s">
        <v>18</v>
      </c>
      <c r="C13" s="16">
        <v>1</v>
      </c>
      <c r="D13" s="17">
        <f t="shared" ref="D13:D18" si="3">A13*C13</f>
        <v>500</v>
      </c>
      <c r="K13" s="36" t="s">
        <v>33</v>
      </c>
      <c r="L13" s="37"/>
      <c r="M13" s="37"/>
      <c r="N13" s="37"/>
    </row>
    <row r="14" spans="1:15" ht="16.5">
      <c r="A14" s="18">
        <v>100</v>
      </c>
      <c r="B14" s="15" t="s">
        <v>18</v>
      </c>
      <c r="C14" s="16">
        <v>9</v>
      </c>
      <c r="D14" s="17">
        <f t="shared" si="3"/>
        <v>900</v>
      </c>
      <c r="K14" s="14">
        <v>500</v>
      </c>
      <c r="L14" s="15" t="s">
        <v>18</v>
      </c>
      <c r="M14" s="16">
        <v>1</v>
      </c>
      <c r="N14" s="17">
        <f t="shared" ref="N14:N19" si="4">K14*M14</f>
        <v>500</v>
      </c>
    </row>
    <row r="15" spans="1:15" ht="16.5">
      <c r="A15" s="18">
        <v>50</v>
      </c>
      <c r="B15" s="15" t="s">
        <v>18</v>
      </c>
      <c r="C15" s="16">
        <v>2</v>
      </c>
      <c r="D15" s="17">
        <f t="shared" si="3"/>
        <v>100</v>
      </c>
      <c r="K15" s="18">
        <v>100</v>
      </c>
      <c r="L15" s="15" t="s">
        <v>18</v>
      </c>
      <c r="M15" s="16">
        <v>58</v>
      </c>
      <c r="N15" s="17">
        <f t="shared" si="4"/>
        <v>5800</v>
      </c>
    </row>
    <row r="16" spans="1:15" ht="16.5">
      <c r="A16" s="18">
        <v>20</v>
      </c>
      <c r="B16" s="15" t="s">
        <v>18</v>
      </c>
      <c r="C16" s="16">
        <v>5</v>
      </c>
      <c r="D16" s="17">
        <f t="shared" si="3"/>
        <v>100</v>
      </c>
      <c r="K16" s="18">
        <v>50</v>
      </c>
      <c r="L16" s="15" t="s">
        <v>18</v>
      </c>
      <c r="M16" s="16">
        <v>37</v>
      </c>
      <c r="N16" s="17">
        <f t="shared" si="4"/>
        <v>1850</v>
      </c>
    </row>
    <row r="17" spans="1:14" ht="16.5">
      <c r="A17" s="18">
        <v>10</v>
      </c>
      <c r="B17" s="15" t="s">
        <v>18</v>
      </c>
      <c r="C17" s="16">
        <v>3</v>
      </c>
      <c r="D17" s="17">
        <f t="shared" si="3"/>
        <v>30</v>
      </c>
      <c r="K17" s="18">
        <v>20</v>
      </c>
      <c r="L17" s="15" t="s">
        <v>18</v>
      </c>
      <c r="M17" s="16">
        <v>0</v>
      </c>
      <c r="N17" s="17">
        <f t="shared" si="4"/>
        <v>0</v>
      </c>
    </row>
    <row r="18" spans="1:14" ht="16.5">
      <c r="A18" s="18">
        <v>5</v>
      </c>
      <c r="B18" s="15" t="s">
        <v>18</v>
      </c>
      <c r="C18" s="16">
        <v>14</v>
      </c>
      <c r="D18" s="17">
        <f t="shared" si="3"/>
        <v>70</v>
      </c>
      <c r="K18" s="18">
        <v>10</v>
      </c>
      <c r="L18" s="15" t="s">
        <v>18</v>
      </c>
      <c r="M18" s="16">
        <v>1</v>
      </c>
      <c r="N18" s="17">
        <f t="shared" si="4"/>
        <v>10</v>
      </c>
    </row>
    <row r="19" spans="1:14" ht="16.5">
      <c r="A19" s="19" t="s">
        <v>19</v>
      </c>
      <c r="B19" s="15" t="s">
        <v>18</v>
      </c>
      <c r="C19" s="16">
        <v>1</v>
      </c>
      <c r="D19" s="17">
        <f>+C19*1</f>
        <v>1</v>
      </c>
      <c r="K19" s="18">
        <v>5</v>
      </c>
      <c r="L19" s="15" t="s">
        <v>18</v>
      </c>
      <c r="M19" s="16">
        <v>0</v>
      </c>
      <c r="N19" s="17">
        <f t="shared" si="4"/>
        <v>0</v>
      </c>
    </row>
    <row r="20" spans="1:14" ht="16.5">
      <c r="A20" s="19"/>
      <c r="B20" s="20"/>
      <c r="C20" s="16">
        <v>0</v>
      </c>
      <c r="D20" s="17">
        <f>+C20*0.025</f>
        <v>0</v>
      </c>
      <c r="K20" s="19" t="s">
        <v>19</v>
      </c>
      <c r="L20" s="15" t="s">
        <v>18</v>
      </c>
      <c r="M20" s="16">
        <v>2</v>
      </c>
      <c r="N20" s="17">
        <f>+M20*1</f>
        <v>2</v>
      </c>
    </row>
    <row r="21" spans="1:14" ht="16.5">
      <c r="A21" s="21" t="s">
        <v>20</v>
      </c>
      <c r="B21" s="22"/>
      <c r="C21" s="23">
        <v>0</v>
      </c>
      <c r="D21" s="24">
        <f>SUM(D13:D20)</f>
        <v>1701</v>
      </c>
      <c r="K21" s="19"/>
      <c r="L21" s="20"/>
      <c r="M21" s="16">
        <v>0</v>
      </c>
      <c r="N21" s="17">
        <f>+M21*0.025</f>
        <v>0</v>
      </c>
    </row>
    <row r="22" spans="1:14" ht="16.5">
      <c r="K22" s="21" t="s">
        <v>20</v>
      </c>
      <c r="L22" s="22"/>
      <c r="M22" s="23">
        <v>0</v>
      </c>
      <c r="N22" s="24">
        <f>SUM(N14:N21)</f>
        <v>8162</v>
      </c>
    </row>
    <row r="23" spans="1:14">
      <c r="A23" t="s">
        <v>21</v>
      </c>
      <c r="D23" s="25">
        <f>6466+1701</f>
        <v>8167</v>
      </c>
    </row>
  </sheetData>
  <mergeCells count="3">
    <mergeCell ref="A2:O2"/>
    <mergeCell ref="A12:D12"/>
    <mergeCell ref="K13:N1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A5A8-A0A9-44D1-B892-05CF7CF28224}">
  <dimension ref="A1:O23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45936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44</v>
      </c>
      <c r="N4" s="11">
        <f t="shared" ref="N4:N9" si="0">IF(K4&gt;M4,K4-M4,0)</f>
        <v>0</v>
      </c>
      <c r="O4" s="11">
        <f t="shared" ref="O4:O9" si="1">IF(M4&gt;K4,M4-K4,0)</f>
        <v>44</v>
      </c>
    </row>
    <row r="5" spans="1:15" ht="16.5">
      <c r="A5" s="29" t="s">
        <v>17</v>
      </c>
      <c r="B5" s="31">
        <v>0</v>
      </c>
      <c r="C5" s="9">
        <v>0</v>
      </c>
      <c r="D5" s="9">
        <v>128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128</v>
      </c>
      <c r="L5" s="8"/>
      <c r="M5" s="9">
        <v>128</v>
      </c>
      <c r="N5" s="11">
        <f t="shared" si="0"/>
        <v>0</v>
      </c>
      <c r="O5" s="11">
        <f t="shared" si="1"/>
        <v>0</v>
      </c>
    </row>
    <row r="6" spans="1:15" ht="16.5">
      <c r="A6" s="33" t="s">
        <v>28</v>
      </c>
      <c r="B6" s="30">
        <v>380</v>
      </c>
      <c r="C6" s="26">
        <f>91+128+25+64+60+195+66+52+42+95+16+38+27+25+74+74+32+5+86+60</f>
        <v>1255</v>
      </c>
      <c r="D6" s="9">
        <v>320</v>
      </c>
      <c r="E6" s="9">
        <v>0</v>
      </c>
      <c r="F6" s="9">
        <v>0</v>
      </c>
      <c r="G6" s="9">
        <v>0</v>
      </c>
      <c r="H6" s="9">
        <v>96</v>
      </c>
      <c r="I6" s="9">
        <v>0</v>
      </c>
      <c r="J6" s="9">
        <v>0</v>
      </c>
      <c r="K6" s="10">
        <f>SUM(B6:J6)</f>
        <v>2051</v>
      </c>
      <c r="L6" s="8"/>
      <c r="M6" s="9">
        <v>2051</v>
      </c>
      <c r="N6" s="11">
        <f t="shared" si="0"/>
        <v>0</v>
      </c>
      <c r="O6" s="11">
        <f t="shared" si="1"/>
        <v>0</v>
      </c>
    </row>
    <row r="7" spans="1:15" ht="16.5">
      <c r="A7" s="33" t="s">
        <v>22</v>
      </c>
      <c r="B7" s="30">
        <v>249</v>
      </c>
      <c r="C7" s="26">
        <f>40+120+268+25+75+30+58+39+58+7+88+84+16+32+42+7+35+20+175+64+131+40+25+20+109+25+15+40+96+7+20+35</f>
        <v>1846</v>
      </c>
      <c r="D7" s="9">
        <v>466</v>
      </c>
      <c r="E7" s="9">
        <v>0</v>
      </c>
      <c r="F7" s="9">
        <v>0</v>
      </c>
      <c r="G7" s="9">
        <v>0</v>
      </c>
      <c r="H7" s="9">
        <v>0</v>
      </c>
      <c r="I7" s="9">
        <v>96</v>
      </c>
      <c r="J7" s="9">
        <v>0</v>
      </c>
      <c r="K7" s="10">
        <f>SUM(B7:J7)</f>
        <v>2657</v>
      </c>
      <c r="L7" s="8"/>
      <c r="M7" s="9">
        <v>2657</v>
      </c>
      <c r="N7" s="11">
        <f t="shared" si="0"/>
        <v>0</v>
      </c>
      <c r="O7" s="11">
        <f t="shared" si="1"/>
        <v>0</v>
      </c>
    </row>
    <row r="8" spans="1:15" ht="16.5">
      <c r="A8" s="33" t="s">
        <v>31</v>
      </c>
      <c r="B8" s="30">
        <v>173</v>
      </c>
      <c r="C8" s="26">
        <f>134+104+51+26+96+27+26+116+7+26+24+20+32+32+102+20+58+44+32+35+20</f>
        <v>1032</v>
      </c>
      <c r="D8" s="9">
        <v>212</v>
      </c>
      <c r="E8" s="9">
        <v>0</v>
      </c>
      <c r="F8" s="9">
        <v>0</v>
      </c>
      <c r="G8" s="9">
        <v>0</v>
      </c>
      <c r="H8" s="9">
        <v>64</v>
      </c>
      <c r="I8" s="9">
        <v>0</v>
      </c>
      <c r="J8" s="9">
        <v>0</v>
      </c>
      <c r="K8" s="10">
        <f>SUM(B8:J8)</f>
        <v>1481</v>
      </c>
      <c r="L8" s="8"/>
      <c r="M8" s="9">
        <v>1487</v>
      </c>
      <c r="N8" s="11">
        <f t="shared" si="0"/>
        <v>0</v>
      </c>
      <c r="O8" s="11">
        <f t="shared" si="1"/>
        <v>6</v>
      </c>
    </row>
    <row r="9" spans="1:15" ht="16.5" hidden="1">
      <c r="A9" s="33" t="s">
        <v>26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802</v>
      </c>
      <c r="C10" s="12">
        <f t="shared" si="2"/>
        <v>4133</v>
      </c>
      <c r="D10" s="12">
        <f t="shared" si="2"/>
        <v>1126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160</v>
      </c>
      <c r="I10" s="12">
        <f t="shared" si="2"/>
        <v>96</v>
      </c>
      <c r="J10" s="12">
        <f t="shared" si="2"/>
        <v>0</v>
      </c>
      <c r="K10" s="12">
        <f t="shared" si="2"/>
        <v>6317</v>
      </c>
      <c r="L10" s="13"/>
      <c r="M10" s="12">
        <v>0</v>
      </c>
      <c r="N10" s="12">
        <f>SUM(N4:N9)</f>
        <v>0</v>
      </c>
      <c r="O10" s="12">
        <f>SUM(O4:O9)</f>
        <v>50</v>
      </c>
    </row>
    <row r="11" spans="1:15" ht="15.75" thickBot="1"/>
    <row r="12" spans="1:15" ht="17.25" thickBot="1">
      <c r="A12" s="36">
        <v>45936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4</v>
      </c>
      <c r="D14" s="17">
        <f t="shared" si="3"/>
        <v>400</v>
      </c>
    </row>
    <row r="15" spans="1:15" ht="16.5">
      <c r="A15" s="18">
        <v>50</v>
      </c>
      <c r="B15" s="15" t="s">
        <v>18</v>
      </c>
      <c r="C15" s="16">
        <v>4</v>
      </c>
      <c r="D15" s="17">
        <f t="shared" si="3"/>
        <v>200</v>
      </c>
    </row>
    <row r="16" spans="1:15" ht="16.5">
      <c r="A16" s="18">
        <v>20</v>
      </c>
      <c r="B16" s="15" t="s">
        <v>18</v>
      </c>
      <c r="C16" s="16">
        <v>4</v>
      </c>
      <c r="D16" s="17">
        <f t="shared" si="3"/>
        <v>80</v>
      </c>
    </row>
    <row r="17" spans="1:4" ht="16.5">
      <c r="A17" s="18">
        <v>10</v>
      </c>
      <c r="B17" s="15" t="s">
        <v>18</v>
      </c>
      <c r="C17" s="16">
        <v>7</v>
      </c>
      <c r="D17" s="17">
        <f t="shared" si="3"/>
        <v>70</v>
      </c>
    </row>
    <row r="18" spans="1:4" ht="16.5">
      <c r="A18" s="18">
        <v>5</v>
      </c>
      <c r="B18" s="15" t="s">
        <v>18</v>
      </c>
      <c r="C18" s="16">
        <v>10</v>
      </c>
      <c r="D18" s="17">
        <f t="shared" si="3"/>
        <v>50</v>
      </c>
    </row>
    <row r="19" spans="1:4" ht="16.5">
      <c r="A19" s="19" t="s">
        <v>19</v>
      </c>
      <c r="B19" s="15" t="s">
        <v>18</v>
      </c>
      <c r="C19" s="16">
        <v>2</v>
      </c>
      <c r="D19" s="17">
        <f>+C19*1</f>
        <v>2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802</v>
      </c>
    </row>
    <row r="23" spans="1:4">
      <c r="A23" t="s">
        <v>21</v>
      </c>
      <c r="D23" s="25">
        <v>802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DC1C-6FFA-446B-A8F5-30A42525FA82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45967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0</v>
      </c>
      <c r="L5" s="8"/>
      <c r="M5" s="9">
        <v>0</v>
      </c>
      <c r="N5" s="11">
        <f t="shared" si="0"/>
        <v>0</v>
      </c>
      <c r="O5" s="11">
        <f t="shared" si="1"/>
        <v>0</v>
      </c>
    </row>
    <row r="6" spans="1:15" ht="16.5">
      <c r="A6" t="s">
        <v>28</v>
      </c>
      <c r="B6" s="30">
        <v>369</v>
      </c>
      <c r="C6" s="26">
        <f>100+104+88+99+84+222+96+40+20+14+32+32+32+64+59+24+158+37+63+100+70+20+101+352+69+20+51</f>
        <v>2151</v>
      </c>
      <c r="D6" s="9">
        <v>424</v>
      </c>
      <c r="E6" s="9">
        <v>0</v>
      </c>
      <c r="F6" s="9">
        <v>0</v>
      </c>
      <c r="G6" s="9">
        <v>0</v>
      </c>
      <c r="H6" s="9">
        <v>224</v>
      </c>
      <c r="I6" s="9">
        <v>0</v>
      </c>
      <c r="J6" s="9">
        <v>0</v>
      </c>
      <c r="K6" s="10">
        <f>SUM(B6:J6)</f>
        <v>3168</v>
      </c>
      <c r="L6" s="8"/>
      <c r="M6" s="9">
        <v>3168</v>
      </c>
      <c r="N6" s="11">
        <f t="shared" si="0"/>
        <v>0</v>
      </c>
      <c r="O6" s="11">
        <f t="shared" si="1"/>
        <v>0</v>
      </c>
    </row>
    <row r="7" spans="1:15" ht="16.5">
      <c r="A7" t="s">
        <v>23</v>
      </c>
      <c r="B7" s="30">
        <v>185</v>
      </c>
      <c r="C7" s="26">
        <f>20+2+20+20+96+2+125+90+197+38+41+41+50+40+119+14+25+134+32+5+73+41</f>
        <v>1225</v>
      </c>
      <c r="D7" s="9">
        <v>42</v>
      </c>
      <c r="E7" s="9">
        <v>0</v>
      </c>
      <c r="F7" s="9">
        <v>96</v>
      </c>
      <c r="G7" s="9">
        <v>0</v>
      </c>
      <c r="H7" s="9">
        <v>224</v>
      </c>
      <c r="I7" s="9">
        <v>0</v>
      </c>
      <c r="J7" s="9">
        <v>0</v>
      </c>
      <c r="K7" s="10">
        <f>SUM(B7:J7)</f>
        <v>1772</v>
      </c>
      <c r="L7" s="8"/>
      <c r="M7" s="9">
        <v>1772</v>
      </c>
      <c r="N7" s="11">
        <f t="shared" si="0"/>
        <v>0</v>
      </c>
      <c r="O7" s="11">
        <f t="shared" si="1"/>
        <v>0</v>
      </c>
    </row>
    <row r="8" spans="1:15" ht="16.5" hidden="1">
      <c r="A8" s="33" t="s">
        <v>31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 hidden="1">
      <c r="A9" s="33" t="s">
        <v>26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554</v>
      </c>
      <c r="C10" s="12">
        <f t="shared" si="2"/>
        <v>3376</v>
      </c>
      <c r="D10" s="12">
        <f t="shared" si="2"/>
        <v>466</v>
      </c>
      <c r="E10" s="12">
        <f t="shared" si="2"/>
        <v>0</v>
      </c>
      <c r="F10" s="12">
        <f t="shared" si="2"/>
        <v>96</v>
      </c>
      <c r="G10" s="12">
        <f t="shared" si="2"/>
        <v>0</v>
      </c>
      <c r="H10" s="12">
        <f t="shared" si="2"/>
        <v>448</v>
      </c>
      <c r="I10" s="12">
        <f t="shared" si="2"/>
        <v>0</v>
      </c>
      <c r="J10" s="12">
        <f t="shared" si="2"/>
        <v>0</v>
      </c>
      <c r="K10" s="12">
        <f t="shared" si="2"/>
        <v>4940</v>
      </c>
      <c r="L10" s="13"/>
      <c r="M10" s="12">
        <v>0</v>
      </c>
      <c r="N10" s="12">
        <f>SUM(N4:N9)</f>
        <v>0</v>
      </c>
      <c r="O10" s="12">
        <f>SUM(O4:O9)</f>
        <v>0</v>
      </c>
    </row>
    <row r="11" spans="1:15" ht="15.75" thickBot="1"/>
    <row r="12" spans="1:15" ht="17.25" thickBot="1">
      <c r="A12" s="36">
        <v>45967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3</v>
      </c>
      <c r="D14" s="17">
        <f t="shared" si="3"/>
        <v>300</v>
      </c>
    </row>
    <row r="15" spans="1:15" ht="16.5">
      <c r="A15" s="18">
        <v>50</v>
      </c>
      <c r="B15" s="15" t="s">
        <v>18</v>
      </c>
      <c r="C15" s="16">
        <v>1</v>
      </c>
      <c r="D15" s="17">
        <f t="shared" si="3"/>
        <v>50</v>
      </c>
    </row>
    <row r="16" spans="1:15" ht="16.5">
      <c r="A16" s="18">
        <v>20</v>
      </c>
      <c r="B16" s="15" t="s">
        <v>18</v>
      </c>
      <c r="C16" s="16">
        <v>2</v>
      </c>
      <c r="D16" s="17">
        <f t="shared" si="3"/>
        <v>40</v>
      </c>
    </row>
    <row r="17" spans="1:4" ht="16.5">
      <c r="A17" s="18">
        <v>10</v>
      </c>
      <c r="B17" s="15" t="s">
        <v>18</v>
      </c>
      <c r="C17" s="16">
        <v>12</v>
      </c>
      <c r="D17" s="17">
        <f t="shared" si="3"/>
        <v>120</v>
      </c>
    </row>
    <row r="18" spans="1:4" ht="16.5">
      <c r="A18" s="18">
        <v>5</v>
      </c>
      <c r="B18" s="15" t="s">
        <v>18</v>
      </c>
      <c r="C18" s="16">
        <v>8</v>
      </c>
      <c r="D18" s="17">
        <f t="shared" si="3"/>
        <v>40</v>
      </c>
    </row>
    <row r="19" spans="1:4" ht="16.5">
      <c r="A19" s="19" t="s">
        <v>19</v>
      </c>
      <c r="B19" s="15" t="s">
        <v>18</v>
      </c>
      <c r="C19" s="16">
        <v>4</v>
      </c>
      <c r="D19" s="17">
        <f>+C19*1</f>
        <v>4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554</v>
      </c>
    </row>
    <row r="23" spans="1:4">
      <c r="A23" t="s">
        <v>21</v>
      </c>
      <c r="D23" s="25">
        <f>802+554</f>
        <v>1356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19C7-D53D-4CEE-8C20-FC9565E59453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>
        <v>45997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180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180</v>
      </c>
      <c r="L5" s="8"/>
      <c r="M5" s="9">
        <v>180</v>
      </c>
      <c r="N5" s="11">
        <f t="shared" si="0"/>
        <v>0</v>
      </c>
      <c r="O5" s="11">
        <f t="shared" si="1"/>
        <v>0</v>
      </c>
    </row>
    <row r="6" spans="1:15" ht="16.5">
      <c r="A6" s="33" t="s">
        <v>28</v>
      </c>
      <c r="B6" s="30">
        <v>153</v>
      </c>
      <c r="C6" s="26">
        <f>32+168+32+32+28+100+42+40+35+40+32+32+32+40+32+20+35+20+26+20+121+32+35+7+55+26</f>
        <v>1114</v>
      </c>
      <c r="D6" s="9">
        <v>160</v>
      </c>
      <c r="E6" s="9">
        <v>0</v>
      </c>
      <c r="F6" s="9">
        <v>0</v>
      </c>
      <c r="G6" s="9">
        <v>0</v>
      </c>
      <c r="H6" s="9">
        <v>160</v>
      </c>
      <c r="I6" s="9">
        <v>0</v>
      </c>
      <c r="J6" s="9">
        <v>0</v>
      </c>
      <c r="K6" s="10">
        <f>SUM(B6:J6)</f>
        <v>1587</v>
      </c>
      <c r="L6" s="8"/>
      <c r="M6" s="9">
        <v>1587</v>
      </c>
      <c r="N6" s="11">
        <f t="shared" si="0"/>
        <v>0</v>
      </c>
      <c r="O6" s="11">
        <f t="shared" si="1"/>
        <v>0</v>
      </c>
    </row>
    <row r="7" spans="1:15" ht="16.5">
      <c r="A7" s="33" t="s">
        <v>23</v>
      </c>
      <c r="B7" s="30">
        <v>300</v>
      </c>
      <c r="C7" s="26">
        <f>25+25+40+26+64+35+88+96+20+24+59+35+50+161+64+96+96+122+27+56</f>
        <v>1209</v>
      </c>
      <c r="D7" s="9">
        <v>0</v>
      </c>
      <c r="E7" s="9">
        <v>0</v>
      </c>
      <c r="F7" s="9">
        <v>0</v>
      </c>
      <c r="G7" s="9">
        <v>0</v>
      </c>
      <c r="H7" s="9">
        <v>128</v>
      </c>
      <c r="I7" s="9">
        <f>42+26+38</f>
        <v>106</v>
      </c>
      <c r="J7" s="9">
        <v>0</v>
      </c>
      <c r="K7" s="10">
        <f>SUM(B7:J7)</f>
        <v>1743</v>
      </c>
      <c r="L7" s="8"/>
      <c r="M7" s="9">
        <v>1780</v>
      </c>
      <c r="N7" s="11">
        <f t="shared" si="0"/>
        <v>0</v>
      </c>
      <c r="O7" s="11">
        <f t="shared" si="1"/>
        <v>37</v>
      </c>
    </row>
    <row r="8" spans="1:15" ht="16.5" hidden="1">
      <c r="A8" s="33" t="s">
        <v>31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>
      <c r="A9" s="33" t="s">
        <v>26</v>
      </c>
      <c r="B9" s="30">
        <v>128</v>
      </c>
      <c r="C9" s="26">
        <f>26+26+20+109+64+32+84+10+119+67+56</f>
        <v>613</v>
      </c>
      <c r="D9" s="9">
        <v>0</v>
      </c>
      <c r="E9" s="9">
        <v>0</v>
      </c>
      <c r="F9" s="9">
        <v>0</v>
      </c>
      <c r="G9" s="9">
        <v>0</v>
      </c>
      <c r="H9" s="9">
        <v>32</v>
      </c>
      <c r="I9" s="9">
        <v>0</v>
      </c>
      <c r="J9" s="9">
        <v>0</v>
      </c>
      <c r="K9" s="10">
        <f>SUM(B9:J9)</f>
        <v>773</v>
      </c>
      <c r="L9" s="8"/>
      <c r="M9" s="9">
        <v>773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581</v>
      </c>
      <c r="C10" s="12">
        <f t="shared" si="2"/>
        <v>2936</v>
      </c>
      <c r="D10" s="12">
        <f t="shared" si="2"/>
        <v>340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320</v>
      </c>
      <c r="I10" s="12">
        <f t="shared" si="2"/>
        <v>106</v>
      </c>
      <c r="J10" s="12">
        <f t="shared" si="2"/>
        <v>0</v>
      </c>
      <c r="K10" s="12">
        <f t="shared" si="2"/>
        <v>4283</v>
      </c>
      <c r="L10" s="13"/>
      <c r="M10" s="12">
        <v>0</v>
      </c>
      <c r="N10" s="12">
        <f>SUM(N4:N9)</f>
        <v>0</v>
      </c>
      <c r="O10" s="12">
        <f>SUM(O4:O9)</f>
        <v>37</v>
      </c>
    </row>
    <row r="11" spans="1:15" ht="15.75" thickBot="1"/>
    <row r="12" spans="1:15" ht="17.25" thickBot="1">
      <c r="A12" s="36">
        <v>45997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5</v>
      </c>
      <c r="D14" s="17">
        <f t="shared" si="3"/>
        <v>500</v>
      </c>
    </row>
    <row r="15" spans="1:15" ht="16.5">
      <c r="A15" s="18">
        <v>50</v>
      </c>
      <c r="B15" s="15" t="s">
        <v>18</v>
      </c>
      <c r="C15" s="16">
        <v>1</v>
      </c>
      <c r="D15" s="17">
        <f t="shared" si="3"/>
        <v>50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10</v>
      </c>
      <c r="B17" s="15" t="s">
        <v>18</v>
      </c>
      <c r="C17" s="16">
        <v>2</v>
      </c>
      <c r="D17" s="17">
        <f t="shared" si="3"/>
        <v>20</v>
      </c>
    </row>
    <row r="18" spans="1:4" ht="16.5">
      <c r="A18" s="18">
        <v>5</v>
      </c>
      <c r="B18" s="15" t="s">
        <v>18</v>
      </c>
      <c r="C18" s="16">
        <v>2</v>
      </c>
      <c r="D18" s="17">
        <f t="shared" si="3"/>
        <v>10</v>
      </c>
    </row>
    <row r="19" spans="1:4" ht="16.5">
      <c r="A19" s="19" t="s">
        <v>19</v>
      </c>
      <c r="B19" s="15" t="s">
        <v>18</v>
      </c>
      <c r="C19" s="16">
        <v>1</v>
      </c>
      <c r="D19" s="17">
        <f>+C19*1</f>
        <v>1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581</v>
      </c>
    </row>
    <row r="23" spans="1:4">
      <c r="A23" t="s">
        <v>21</v>
      </c>
      <c r="D23" s="25">
        <f>1356+581</f>
        <v>1937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7C475-CD02-4E31-9559-8235FE89F9E4}">
  <dimension ref="A1:O24"/>
  <sheetViews>
    <sheetView workbookViewId="0">
      <selection activeCell="A11" sqref="A11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36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128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128</v>
      </c>
      <c r="L5" s="8"/>
      <c r="M5" s="9">
        <v>128</v>
      </c>
      <c r="N5" s="11">
        <f t="shared" si="0"/>
        <v>0</v>
      </c>
      <c r="O5" s="11">
        <f t="shared" si="1"/>
        <v>0</v>
      </c>
    </row>
    <row r="6" spans="1:15" ht="16.5">
      <c r="A6" t="s">
        <v>28</v>
      </c>
      <c r="B6" s="30">
        <v>501</v>
      </c>
      <c r="C6" s="26">
        <f>67+287+59+59+63+20+24+122+122+150+116+70+20</f>
        <v>1179</v>
      </c>
      <c r="D6" s="9">
        <v>390</v>
      </c>
      <c r="E6" s="9">
        <v>0</v>
      </c>
      <c r="F6" s="9">
        <v>0</v>
      </c>
      <c r="G6" s="9">
        <v>0</v>
      </c>
      <c r="H6" s="9">
        <v>96</v>
      </c>
      <c r="I6" s="9">
        <v>0</v>
      </c>
      <c r="J6" s="9">
        <v>0</v>
      </c>
      <c r="K6" s="10">
        <f>SUM(B6:J6)</f>
        <v>2166</v>
      </c>
      <c r="L6" s="8"/>
      <c r="M6" s="9">
        <v>2166</v>
      </c>
      <c r="N6" s="11">
        <f t="shared" si="0"/>
        <v>0</v>
      </c>
      <c r="O6" s="11">
        <f t="shared" si="1"/>
        <v>0</v>
      </c>
    </row>
    <row r="7" spans="1:15" ht="16.5">
      <c r="A7" t="s">
        <v>27</v>
      </c>
      <c r="B7" s="30">
        <v>178</v>
      </c>
      <c r="C7" s="26">
        <f>75+2+27+32+25+12+91+32+64</f>
        <v>360</v>
      </c>
      <c r="D7" s="9">
        <v>64</v>
      </c>
      <c r="E7" s="9">
        <v>0</v>
      </c>
      <c r="F7" s="9">
        <v>0</v>
      </c>
      <c r="G7" s="9">
        <v>0</v>
      </c>
      <c r="H7" s="9">
        <v>64</v>
      </c>
      <c r="I7" s="9">
        <v>0</v>
      </c>
      <c r="J7" s="9">
        <v>0</v>
      </c>
      <c r="K7" s="10">
        <f>SUM(B7:J7)</f>
        <v>666</v>
      </c>
      <c r="L7" s="8"/>
      <c r="M7" s="9">
        <v>719</v>
      </c>
      <c r="N7" s="11">
        <f t="shared" si="0"/>
        <v>0</v>
      </c>
      <c r="O7" s="11">
        <f t="shared" si="1"/>
        <v>53</v>
      </c>
    </row>
    <row r="8" spans="1:15" ht="16.5" hidden="1">
      <c r="A8" s="33" t="s">
        <v>31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>
      <c r="A9" t="s">
        <v>31</v>
      </c>
      <c r="B9" s="30">
        <v>204</v>
      </c>
      <c r="C9" s="26">
        <f>32+26+33+96+64+40+41+32+7+64+34+32+32+90+35+20+60+40+227+96+20+35+168+84+32+26</f>
        <v>1466</v>
      </c>
      <c r="D9" s="9">
        <v>404</v>
      </c>
      <c r="E9" s="9">
        <v>0</v>
      </c>
      <c r="F9" s="9">
        <v>0</v>
      </c>
      <c r="G9" s="9">
        <v>0</v>
      </c>
      <c r="H9" s="9">
        <v>128</v>
      </c>
      <c r="I9" s="9">
        <v>24</v>
      </c>
      <c r="J9" s="9">
        <v>0</v>
      </c>
      <c r="K9" s="10">
        <f>SUM(B9:J9)</f>
        <v>2226</v>
      </c>
      <c r="L9" s="8"/>
      <c r="M9" s="9">
        <v>2226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883</v>
      </c>
      <c r="C10" s="12">
        <f t="shared" si="2"/>
        <v>3005</v>
      </c>
      <c r="D10" s="12">
        <f t="shared" si="2"/>
        <v>986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288</v>
      </c>
      <c r="I10" s="12">
        <f t="shared" si="2"/>
        <v>24</v>
      </c>
      <c r="J10" s="12">
        <f t="shared" si="2"/>
        <v>0</v>
      </c>
      <c r="K10" s="12">
        <f t="shared" si="2"/>
        <v>5186</v>
      </c>
      <c r="L10" s="13"/>
      <c r="M10" s="12">
        <v>0</v>
      </c>
      <c r="N10" s="12">
        <f>SUM(N4:N9)</f>
        <v>0</v>
      </c>
      <c r="O10" s="12">
        <f>SUM(O4:O9)</f>
        <v>53</v>
      </c>
    </row>
    <row r="11" spans="1:15" ht="15.75" thickBot="1">
      <c r="A11" s="34" t="s">
        <v>34</v>
      </c>
    </row>
    <row r="12" spans="1:15" ht="17.25" thickBot="1">
      <c r="A12" s="36" t="s">
        <v>36</v>
      </c>
      <c r="B12" s="37"/>
      <c r="C12" s="37"/>
      <c r="D12" s="37"/>
      <c r="K12" s="36" t="s">
        <v>37</v>
      </c>
      <c r="L12" s="37"/>
      <c r="M12" s="37"/>
      <c r="N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  <c r="K13" s="14">
        <v>500</v>
      </c>
      <c r="L13" s="15" t="s">
        <v>18</v>
      </c>
      <c r="M13" s="16">
        <v>0</v>
      </c>
      <c r="N13" s="17">
        <f t="shared" ref="N13:N18" si="4">K13*M13</f>
        <v>0</v>
      </c>
    </row>
    <row r="14" spans="1:15" ht="16.5">
      <c r="A14" s="18">
        <v>100</v>
      </c>
      <c r="B14" s="15" t="s">
        <v>18</v>
      </c>
      <c r="C14" s="16">
        <v>4</v>
      </c>
      <c r="D14" s="17">
        <f t="shared" si="3"/>
        <v>400</v>
      </c>
      <c r="K14" s="18">
        <v>100</v>
      </c>
      <c r="L14" s="15" t="s">
        <v>18</v>
      </c>
      <c r="M14" s="16">
        <v>21</v>
      </c>
      <c r="N14" s="17">
        <f t="shared" si="4"/>
        <v>2100</v>
      </c>
    </row>
    <row r="15" spans="1:15" ht="16.5">
      <c r="A15" s="18">
        <v>50</v>
      </c>
      <c r="B15" s="15" t="s">
        <v>18</v>
      </c>
      <c r="C15" s="16">
        <v>4</v>
      </c>
      <c r="D15" s="17">
        <f t="shared" si="3"/>
        <v>200</v>
      </c>
      <c r="K15" s="18">
        <v>50</v>
      </c>
      <c r="L15" s="15" t="s">
        <v>18</v>
      </c>
      <c r="M15" s="16">
        <v>13</v>
      </c>
      <c r="N15" s="17">
        <f t="shared" si="4"/>
        <v>650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  <c r="K16" s="18">
        <v>20</v>
      </c>
      <c r="L16" s="15" t="s">
        <v>18</v>
      </c>
      <c r="M16" s="16">
        <v>2</v>
      </c>
      <c r="N16" s="17">
        <f t="shared" si="4"/>
        <v>40</v>
      </c>
    </row>
    <row r="17" spans="1:14" ht="16.5">
      <c r="A17" s="18">
        <v>10</v>
      </c>
      <c r="B17" s="15" t="s">
        <v>18</v>
      </c>
      <c r="C17" s="16">
        <v>1</v>
      </c>
      <c r="D17" s="17">
        <f t="shared" si="3"/>
        <v>10</v>
      </c>
      <c r="K17" s="18">
        <v>10</v>
      </c>
      <c r="L17" s="15" t="s">
        <v>18</v>
      </c>
      <c r="M17" s="16">
        <v>2</v>
      </c>
      <c r="N17" s="17">
        <f t="shared" si="4"/>
        <v>20</v>
      </c>
    </row>
    <row r="18" spans="1:14" ht="16.5">
      <c r="A18" s="18">
        <v>5</v>
      </c>
      <c r="B18" s="15" t="s">
        <v>18</v>
      </c>
      <c r="C18" s="16">
        <v>51</v>
      </c>
      <c r="D18" s="17">
        <f t="shared" si="3"/>
        <v>255</v>
      </c>
      <c r="K18" s="18">
        <v>5</v>
      </c>
      <c r="L18" s="15" t="s">
        <v>18</v>
      </c>
      <c r="M18" s="16">
        <v>2</v>
      </c>
      <c r="N18" s="17">
        <f t="shared" si="4"/>
        <v>10</v>
      </c>
    </row>
    <row r="19" spans="1:14" ht="16.5">
      <c r="A19" s="19" t="s">
        <v>19</v>
      </c>
      <c r="B19" s="15" t="s">
        <v>18</v>
      </c>
      <c r="C19" s="16">
        <v>18</v>
      </c>
      <c r="D19" s="17">
        <f>+C19*1</f>
        <v>18</v>
      </c>
      <c r="K19" s="19" t="s">
        <v>19</v>
      </c>
      <c r="L19" s="15" t="s">
        <v>18</v>
      </c>
      <c r="M19" s="16">
        <v>0</v>
      </c>
      <c r="N19" s="17">
        <f>+M19*1</f>
        <v>0</v>
      </c>
    </row>
    <row r="20" spans="1:14" ht="16.5">
      <c r="A20" s="19"/>
      <c r="B20" s="20"/>
      <c r="C20" s="16">
        <v>0</v>
      </c>
      <c r="D20" s="17">
        <f>+C20*0.025</f>
        <v>0</v>
      </c>
      <c r="K20" s="19"/>
      <c r="L20" s="20"/>
      <c r="M20" s="16">
        <v>0</v>
      </c>
      <c r="N20" s="17">
        <f>+M20*0.025</f>
        <v>0</v>
      </c>
    </row>
    <row r="21" spans="1:14" ht="16.5">
      <c r="A21" s="21" t="s">
        <v>20</v>
      </c>
      <c r="B21" s="22"/>
      <c r="C21" s="23">
        <v>0</v>
      </c>
      <c r="D21" s="24">
        <f>SUM(D13:D20)</f>
        <v>883</v>
      </c>
      <c r="K21" s="21" t="s">
        <v>20</v>
      </c>
      <c r="L21" s="22"/>
      <c r="M21" s="23">
        <v>0</v>
      </c>
      <c r="N21" s="24">
        <f>SUM(N13:N20)</f>
        <v>2820</v>
      </c>
    </row>
    <row r="23" spans="1:14">
      <c r="A23" t="s">
        <v>21</v>
      </c>
      <c r="D23" s="25">
        <f>1937+883</f>
        <v>2820</v>
      </c>
    </row>
    <row r="24" spans="1:14">
      <c r="D24" t="s">
        <v>35</v>
      </c>
    </row>
  </sheetData>
  <mergeCells count="3">
    <mergeCell ref="A2:O2"/>
    <mergeCell ref="A12:D12"/>
    <mergeCell ref="K12:N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6DFF-5F53-4A87-8BBB-78746C6A9830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38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42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42</v>
      </c>
      <c r="L5" s="8"/>
      <c r="M5" s="9">
        <v>42</v>
      </c>
      <c r="N5" s="11">
        <f t="shared" si="0"/>
        <v>0</v>
      </c>
      <c r="O5" s="11">
        <f t="shared" si="1"/>
        <v>0</v>
      </c>
    </row>
    <row r="6" spans="1:15" ht="16.5">
      <c r="A6" s="33" t="s">
        <v>28</v>
      </c>
      <c r="B6" s="30">
        <v>0</v>
      </c>
      <c r="C6" s="26">
        <f>32+40+78+32+32+134+24+40+52+64+24+38+288+154+7+46</f>
        <v>1085</v>
      </c>
      <c r="D6" s="9">
        <v>294</v>
      </c>
      <c r="E6" s="9">
        <v>0</v>
      </c>
      <c r="F6" s="9">
        <v>0</v>
      </c>
      <c r="G6" s="9">
        <v>0</v>
      </c>
      <c r="H6" s="9">
        <v>64</v>
      </c>
      <c r="I6" s="9">
        <v>90</v>
      </c>
      <c r="J6" s="9">
        <v>0</v>
      </c>
      <c r="K6" s="10">
        <f>SUM(B6:J6)</f>
        <v>1533</v>
      </c>
      <c r="L6" s="8"/>
      <c r="M6" s="9">
        <v>1533</v>
      </c>
      <c r="N6" s="11">
        <f t="shared" si="0"/>
        <v>0</v>
      </c>
      <c r="O6" s="11">
        <f t="shared" si="1"/>
        <v>0</v>
      </c>
    </row>
    <row r="7" spans="1:15" ht="16.5">
      <c r="A7" s="33" t="s">
        <v>25</v>
      </c>
      <c r="B7" s="30">
        <v>76</v>
      </c>
      <c r="C7" s="26">
        <f>128+32+20+26+44</f>
        <v>250</v>
      </c>
      <c r="D7" s="9">
        <v>84</v>
      </c>
      <c r="E7" s="9">
        <v>0</v>
      </c>
      <c r="F7" s="9">
        <v>0</v>
      </c>
      <c r="G7" s="9">
        <v>0</v>
      </c>
      <c r="H7" s="9">
        <v>32</v>
      </c>
      <c r="I7" s="9">
        <v>0</v>
      </c>
      <c r="J7" s="9">
        <v>0</v>
      </c>
      <c r="K7" s="10">
        <f>SUM(B7:J7)</f>
        <v>442</v>
      </c>
      <c r="L7" s="8"/>
      <c r="M7" s="9">
        <v>442</v>
      </c>
      <c r="N7" s="11">
        <f t="shared" si="0"/>
        <v>0</v>
      </c>
      <c r="O7" s="11">
        <f t="shared" si="1"/>
        <v>0</v>
      </c>
    </row>
    <row r="8" spans="1:15" ht="16.5" hidden="1">
      <c r="A8" s="33" t="s">
        <v>31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 hidden="1">
      <c r="A9" t="s">
        <v>31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76</v>
      </c>
      <c r="C10" s="12">
        <f t="shared" si="2"/>
        <v>1335</v>
      </c>
      <c r="D10" s="12">
        <f t="shared" si="2"/>
        <v>420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96</v>
      </c>
      <c r="I10" s="12">
        <f t="shared" si="2"/>
        <v>90</v>
      </c>
      <c r="J10" s="12">
        <f t="shared" si="2"/>
        <v>0</v>
      </c>
      <c r="K10" s="12">
        <f t="shared" si="2"/>
        <v>2017</v>
      </c>
      <c r="L10" s="13"/>
      <c r="M10" s="12">
        <v>0</v>
      </c>
      <c r="N10" s="12">
        <f>SUM(N4:N9)</f>
        <v>0</v>
      </c>
      <c r="O10" s="12">
        <f>SUM(O4:O9)</f>
        <v>0</v>
      </c>
    </row>
    <row r="11" spans="1:15" ht="15.75" thickBot="1"/>
    <row r="12" spans="1:15" ht="17.25" thickBot="1">
      <c r="A12" s="36" t="s">
        <v>38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0</v>
      </c>
      <c r="D14" s="17">
        <f t="shared" si="3"/>
        <v>0</v>
      </c>
    </row>
    <row r="15" spans="1:15" ht="16.5">
      <c r="A15" s="18">
        <v>50</v>
      </c>
      <c r="B15" s="15" t="s">
        <v>18</v>
      </c>
      <c r="C15" s="16">
        <v>0</v>
      </c>
      <c r="D15" s="17">
        <f t="shared" si="3"/>
        <v>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10</v>
      </c>
      <c r="B17" s="15" t="s">
        <v>18</v>
      </c>
      <c r="C17" s="16">
        <v>7</v>
      </c>
      <c r="D17" s="17">
        <f t="shared" si="3"/>
        <v>70</v>
      </c>
    </row>
    <row r="18" spans="1:4" ht="16.5">
      <c r="A18" s="18">
        <v>5</v>
      </c>
      <c r="B18" s="15" t="s">
        <v>18</v>
      </c>
      <c r="C18" s="16">
        <v>1</v>
      </c>
      <c r="D18" s="17">
        <f t="shared" si="3"/>
        <v>5</v>
      </c>
    </row>
    <row r="19" spans="1:4" ht="16.5">
      <c r="A19" s="19" t="s">
        <v>19</v>
      </c>
      <c r="B19" s="15" t="s">
        <v>18</v>
      </c>
      <c r="C19" s="16">
        <v>1</v>
      </c>
      <c r="D19" s="17">
        <f>+C19*1</f>
        <v>1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76</v>
      </c>
    </row>
    <row r="23" spans="1:4">
      <c r="A23" t="s">
        <v>21</v>
      </c>
      <c r="D23" s="25">
        <v>76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4372-5F12-4D52-8FC8-ACE577AF7DFF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39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0</v>
      </c>
      <c r="L5" s="8"/>
      <c r="M5" s="9">
        <v>0</v>
      </c>
      <c r="N5" s="11">
        <f t="shared" si="0"/>
        <v>0</v>
      </c>
      <c r="O5" s="11">
        <f t="shared" si="1"/>
        <v>0</v>
      </c>
    </row>
    <row r="6" spans="1:15" ht="16.5">
      <c r="A6" t="s">
        <v>22</v>
      </c>
      <c r="B6" s="30">
        <v>12</v>
      </c>
      <c r="C6" s="26">
        <f>81+32+96+32+229+87+2+196+20+87+62+122+172+50+180+20</f>
        <v>1468</v>
      </c>
      <c r="D6" s="9">
        <v>0</v>
      </c>
      <c r="E6" s="9">
        <v>0</v>
      </c>
      <c r="F6" s="9">
        <v>0</v>
      </c>
      <c r="G6" s="9">
        <v>0</v>
      </c>
      <c r="H6" s="9">
        <v>26</v>
      </c>
      <c r="I6" s="9">
        <v>32</v>
      </c>
      <c r="J6" s="9">
        <v>0</v>
      </c>
      <c r="K6" s="10">
        <f>SUM(B6:J6)</f>
        <v>1538</v>
      </c>
      <c r="L6" s="8"/>
      <c r="M6" s="9">
        <v>1520</v>
      </c>
      <c r="N6" s="11">
        <f t="shared" si="0"/>
        <v>18</v>
      </c>
      <c r="O6" s="11">
        <f t="shared" si="1"/>
        <v>0</v>
      </c>
    </row>
    <row r="7" spans="1:15" ht="16.5">
      <c r="A7" t="s">
        <v>23</v>
      </c>
      <c r="B7" s="30">
        <v>10</v>
      </c>
      <c r="C7" s="26">
        <f>38+20+35+32+86+168+42+171+25</f>
        <v>617</v>
      </c>
      <c r="D7" s="9">
        <v>284</v>
      </c>
      <c r="E7" s="9">
        <v>0</v>
      </c>
      <c r="F7" s="9">
        <v>0</v>
      </c>
      <c r="G7" s="9">
        <v>0</v>
      </c>
      <c r="H7" s="9">
        <v>32</v>
      </c>
      <c r="I7" s="9">
        <v>42</v>
      </c>
      <c r="J7" s="9">
        <v>0</v>
      </c>
      <c r="K7" s="10">
        <f>SUM(B7:J7)</f>
        <v>985</v>
      </c>
      <c r="L7" s="8"/>
      <c r="M7" s="9">
        <v>989</v>
      </c>
      <c r="N7" s="11">
        <f t="shared" si="0"/>
        <v>0</v>
      </c>
      <c r="O7" s="11">
        <f t="shared" si="1"/>
        <v>4</v>
      </c>
    </row>
    <row r="8" spans="1:15" ht="16.5" hidden="1">
      <c r="A8" s="33" t="s">
        <v>31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 hidden="1">
      <c r="A9" t="s">
        <v>31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22</v>
      </c>
      <c r="C10" s="12">
        <f t="shared" si="2"/>
        <v>2085</v>
      </c>
      <c r="D10" s="12">
        <f t="shared" si="2"/>
        <v>284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58</v>
      </c>
      <c r="I10" s="12">
        <f t="shared" si="2"/>
        <v>74</v>
      </c>
      <c r="J10" s="12">
        <f t="shared" si="2"/>
        <v>0</v>
      </c>
      <c r="K10" s="12">
        <f t="shared" si="2"/>
        <v>2523</v>
      </c>
      <c r="L10" s="13"/>
      <c r="M10" s="12">
        <v>0</v>
      </c>
      <c r="N10" s="12">
        <f>SUM(N4:N9)</f>
        <v>18</v>
      </c>
      <c r="O10" s="12">
        <f>SUM(O4:O9)</f>
        <v>4</v>
      </c>
    </row>
    <row r="11" spans="1:15" ht="15.75" thickBot="1"/>
    <row r="12" spans="1:15" ht="17.25" thickBot="1">
      <c r="A12" s="36" t="s">
        <v>39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0</v>
      </c>
      <c r="D14" s="17">
        <f t="shared" si="3"/>
        <v>0</v>
      </c>
    </row>
    <row r="15" spans="1:15" ht="16.5">
      <c r="A15" s="18">
        <v>50</v>
      </c>
      <c r="B15" s="15" t="s">
        <v>18</v>
      </c>
      <c r="C15" s="16">
        <v>0</v>
      </c>
      <c r="D15" s="17">
        <f t="shared" si="3"/>
        <v>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10</v>
      </c>
      <c r="B17" s="15" t="s">
        <v>18</v>
      </c>
      <c r="C17" s="16">
        <v>2</v>
      </c>
      <c r="D17" s="17">
        <f t="shared" si="3"/>
        <v>20</v>
      </c>
    </row>
    <row r="18" spans="1:4" ht="16.5">
      <c r="A18" s="18">
        <v>5</v>
      </c>
      <c r="B18" s="15" t="s">
        <v>18</v>
      </c>
      <c r="C18" s="16">
        <v>0</v>
      </c>
      <c r="D18" s="17">
        <f t="shared" si="3"/>
        <v>0</v>
      </c>
    </row>
    <row r="19" spans="1:4" ht="16.5">
      <c r="A19" s="19" t="s">
        <v>19</v>
      </c>
      <c r="B19" s="15" t="s">
        <v>18</v>
      </c>
      <c r="C19" s="16">
        <v>2</v>
      </c>
      <c r="D19" s="17">
        <f>+C19*1</f>
        <v>2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22</v>
      </c>
    </row>
    <row r="23" spans="1:4">
      <c r="A23" t="s">
        <v>21</v>
      </c>
      <c r="D23" s="25">
        <f>76+20</f>
        <v>96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14F0-6F1C-4DB5-B0EE-6507C1CB3B16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40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0</v>
      </c>
      <c r="L5" s="8"/>
      <c r="M5" s="9">
        <v>0</v>
      </c>
      <c r="N5" s="11">
        <f t="shared" si="0"/>
        <v>0</v>
      </c>
      <c r="O5" s="11">
        <f t="shared" si="1"/>
        <v>0</v>
      </c>
    </row>
    <row r="6" spans="1:15" ht="16.5">
      <c r="A6" t="s">
        <v>22</v>
      </c>
      <c r="B6" s="30">
        <v>256</v>
      </c>
      <c r="C6" s="26">
        <f>20+20+34+114+32+187</f>
        <v>407</v>
      </c>
      <c r="D6" s="9">
        <v>0</v>
      </c>
      <c r="E6" s="9">
        <v>0</v>
      </c>
      <c r="F6" s="9">
        <v>0</v>
      </c>
      <c r="G6" s="9">
        <v>0</v>
      </c>
      <c r="H6" s="9">
        <v>32</v>
      </c>
      <c r="I6" s="9">
        <v>0</v>
      </c>
      <c r="J6" s="9">
        <v>0</v>
      </c>
      <c r="K6" s="10">
        <f>SUM(B6:J6)</f>
        <v>695</v>
      </c>
      <c r="L6" s="8"/>
      <c r="M6" s="9">
        <v>695</v>
      </c>
      <c r="N6" s="11">
        <f t="shared" si="0"/>
        <v>0</v>
      </c>
      <c r="O6" s="11">
        <f t="shared" si="1"/>
        <v>0</v>
      </c>
    </row>
    <row r="7" spans="1:15" ht="16.5">
      <c r="A7" t="s">
        <v>26</v>
      </c>
      <c r="B7" s="30">
        <v>182</v>
      </c>
      <c r="C7" s="26">
        <f>67+96+26+70+64+33+192+55+24+24+154+26</f>
        <v>831</v>
      </c>
      <c r="D7" s="9">
        <v>128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10">
        <f>SUM(B7:J7)</f>
        <v>1141</v>
      </c>
      <c r="L7" s="8"/>
      <c r="M7" s="9">
        <v>1141</v>
      </c>
      <c r="N7" s="11">
        <f t="shared" si="0"/>
        <v>0</v>
      </c>
      <c r="O7" s="11">
        <f t="shared" si="1"/>
        <v>0</v>
      </c>
    </row>
    <row r="8" spans="1:15" ht="16.5" hidden="1">
      <c r="A8" s="33" t="s">
        <v>31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>
      <c r="A9" t="s">
        <v>41</v>
      </c>
      <c r="B9" s="30">
        <v>0</v>
      </c>
      <c r="C9" s="26">
        <v>0</v>
      </c>
      <c r="D9" s="9">
        <v>84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84</v>
      </c>
      <c r="L9" s="8"/>
      <c r="M9" s="9">
        <v>84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438</v>
      </c>
      <c r="C10" s="12">
        <f t="shared" si="2"/>
        <v>1238</v>
      </c>
      <c r="D10" s="12">
        <f t="shared" si="2"/>
        <v>212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32</v>
      </c>
      <c r="I10" s="12">
        <f t="shared" si="2"/>
        <v>0</v>
      </c>
      <c r="J10" s="12">
        <f t="shared" si="2"/>
        <v>0</v>
      </c>
      <c r="K10" s="12">
        <f t="shared" si="2"/>
        <v>1920</v>
      </c>
      <c r="L10" s="13"/>
      <c r="M10" s="12">
        <v>0</v>
      </c>
      <c r="N10" s="12">
        <f>SUM(N4:N9)</f>
        <v>0</v>
      </c>
      <c r="O10" s="12">
        <f>SUM(O4:O9)</f>
        <v>0</v>
      </c>
    </row>
    <row r="11" spans="1:15" ht="15.75" thickBot="1"/>
    <row r="12" spans="1:15" ht="17.25" thickBot="1">
      <c r="A12" s="36" t="s">
        <v>40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2</v>
      </c>
      <c r="D14" s="17">
        <f t="shared" si="3"/>
        <v>200</v>
      </c>
    </row>
    <row r="15" spans="1:15" ht="16.5">
      <c r="A15" s="18">
        <v>50</v>
      </c>
      <c r="B15" s="15" t="s">
        <v>18</v>
      </c>
      <c r="C15" s="16">
        <v>2</v>
      </c>
      <c r="D15" s="17">
        <f t="shared" si="3"/>
        <v>100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10</v>
      </c>
      <c r="B17" s="15" t="s">
        <v>18</v>
      </c>
      <c r="C17" s="16">
        <v>4</v>
      </c>
      <c r="D17" s="17">
        <f t="shared" si="3"/>
        <v>40</v>
      </c>
    </row>
    <row r="18" spans="1:4" ht="16.5">
      <c r="A18" s="18">
        <v>5</v>
      </c>
      <c r="B18" s="15" t="s">
        <v>18</v>
      </c>
      <c r="C18" s="16">
        <v>19</v>
      </c>
      <c r="D18" s="17">
        <f t="shared" si="3"/>
        <v>95</v>
      </c>
    </row>
    <row r="19" spans="1:4" ht="16.5">
      <c r="A19" s="19" t="s">
        <v>19</v>
      </c>
      <c r="B19" s="15" t="s">
        <v>18</v>
      </c>
      <c r="C19" s="16">
        <v>3</v>
      </c>
      <c r="D19" s="17">
        <f>+C19*1</f>
        <v>3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438</v>
      </c>
    </row>
    <row r="23" spans="1:4">
      <c r="A23" t="s">
        <v>21</v>
      </c>
      <c r="D23" s="25">
        <f>96+438</f>
        <v>534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617D-34DE-4F21-A82B-15246BF69572}">
  <dimension ref="A1:O24"/>
  <sheetViews>
    <sheetView workbookViewId="0">
      <selection activeCell="M7" sqref="M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42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96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96</v>
      </c>
      <c r="L5" s="8"/>
      <c r="M5" s="9">
        <v>96</v>
      </c>
      <c r="N5" s="11">
        <f t="shared" si="0"/>
        <v>0</v>
      </c>
      <c r="O5" s="11">
        <f t="shared" si="1"/>
        <v>0</v>
      </c>
    </row>
    <row r="6" spans="1:15" ht="16.5">
      <c r="A6" t="s">
        <v>28</v>
      </c>
      <c r="B6" s="30">
        <v>77</v>
      </c>
      <c r="C6" s="26">
        <f>142+20+99+20+64+20</f>
        <v>365</v>
      </c>
      <c r="D6" s="9">
        <v>0</v>
      </c>
      <c r="E6" s="9">
        <v>0</v>
      </c>
      <c r="F6" s="9">
        <v>0</v>
      </c>
      <c r="G6" s="9">
        <v>0</v>
      </c>
      <c r="H6" s="9">
        <v>32</v>
      </c>
      <c r="I6" s="9">
        <v>0</v>
      </c>
      <c r="J6" s="9">
        <v>0</v>
      </c>
      <c r="K6" s="10">
        <f>SUM(B6:J6)</f>
        <v>474</v>
      </c>
      <c r="L6" s="8"/>
      <c r="M6" s="9">
        <v>474</v>
      </c>
      <c r="N6" s="11">
        <f t="shared" si="0"/>
        <v>0</v>
      </c>
      <c r="O6" s="11">
        <f t="shared" si="1"/>
        <v>0</v>
      </c>
    </row>
    <row r="7" spans="1:15" ht="16.5">
      <c r="A7" t="s">
        <v>27</v>
      </c>
      <c r="B7" s="30">
        <v>200</v>
      </c>
      <c r="C7" s="26">
        <f>27+32+32+35+51+201+42+10+17+64+32</f>
        <v>543</v>
      </c>
      <c r="D7" s="9">
        <v>84</v>
      </c>
      <c r="E7" s="9">
        <v>0</v>
      </c>
      <c r="F7" s="9">
        <v>0</v>
      </c>
      <c r="G7" s="9">
        <v>0</v>
      </c>
      <c r="H7" s="9">
        <v>192</v>
      </c>
      <c r="I7" s="9">
        <v>0</v>
      </c>
      <c r="J7" s="9">
        <v>0</v>
      </c>
      <c r="K7" s="10">
        <f>SUM(B7:J7)</f>
        <v>1019</v>
      </c>
      <c r="L7" s="8"/>
      <c r="M7" s="9">
        <v>1019</v>
      </c>
      <c r="N7" s="11">
        <f t="shared" si="0"/>
        <v>0</v>
      </c>
      <c r="O7" s="11">
        <f t="shared" si="1"/>
        <v>0</v>
      </c>
    </row>
    <row r="8" spans="1:15" ht="16.5" hidden="1">
      <c r="A8" s="33" t="s">
        <v>31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 hidden="1">
      <c r="A9" t="s">
        <v>41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277</v>
      </c>
      <c r="C10" s="12">
        <f t="shared" si="2"/>
        <v>908</v>
      </c>
      <c r="D10" s="12">
        <f t="shared" si="2"/>
        <v>180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224</v>
      </c>
      <c r="I10" s="12">
        <f t="shared" si="2"/>
        <v>0</v>
      </c>
      <c r="J10" s="12">
        <f t="shared" si="2"/>
        <v>0</v>
      </c>
      <c r="K10" s="12">
        <f t="shared" si="2"/>
        <v>1589</v>
      </c>
      <c r="L10" s="13"/>
      <c r="M10" s="12">
        <v>0</v>
      </c>
      <c r="N10" s="12">
        <f>SUM(N4:N9)</f>
        <v>0</v>
      </c>
      <c r="O10" s="12">
        <f>SUM(O4:O9)</f>
        <v>0</v>
      </c>
    </row>
    <row r="11" spans="1:15" ht="15.75" thickBot="1"/>
    <row r="12" spans="1:15" ht="17.25" thickBot="1">
      <c r="A12" s="36" t="s">
        <v>42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0</v>
      </c>
      <c r="D14" s="17">
        <f t="shared" si="3"/>
        <v>0</v>
      </c>
    </row>
    <row r="15" spans="1:15" ht="16.5">
      <c r="A15" s="18">
        <v>50</v>
      </c>
      <c r="B15" s="15" t="s">
        <v>18</v>
      </c>
      <c r="C15" s="16">
        <v>4</v>
      </c>
      <c r="D15" s="17">
        <f t="shared" si="3"/>
        <v>200</v>
      </c>
    </row>
    <row r="16" spans="1:15" ht="16.5">
      <c r="A16" s="18">
        <v>20</v>
      </c>
      <c r="B16" s="15" t="s">
        <v>18</v>
      </c>
      <c r="C16" s="16">
        <v>1</v>
      </c>
      <c r="D16" s="17">
        <f t="shared" si="3"/>
        <v>20</v>
      </c>
    </row>
    <row r="17" spans="1:4" ht="16.5">
      <c r="A17" s="18">
        <v>10</v>
      </c>
      <c r="B17" s="15" t="s">
        <v>18</v>
      </c>
      <c r="C17" s="16">
        <v>0</v>
      </c>
      <c r="D17" s="17">
        <f t="shared" si="3"/>
        <v>0</v>
      </c>
    </row>
    <row r="18" spans="1:4" ht="16.5">
      <c r="A18" s="18">
        <v>5</v>
      </c>
      <c r="B18" s="15" t="s">
        <v>18</v>
      </c>
      <c r="C18" s="16">
        <v>11</v>
      </c>
      <c r="D18" s="17">
        <f t="shared" si="3"/>
        <v>55</v>
      </c>
    </row>
    <row r="19" spans="1:4" ht="16.5">
      <c r="A19" s="19" t="s">
        <v>19</v>
      </c>
      <c r="B19" s="15" t="s">
        <v>18</v>
      </c>
      <c r="C19" s="16">
        <v>2</v>
      </c>
      <c r="D19" s="17">
        <f>+C19*1</f>
        <v>2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277</v>
      </c>
    </row>
    <row r="23" spans="1:4">
      <c r="A23" t="s">
        <v>21</v>
      </c>
      <c r="D23" s="25">
        <f>534+277</f>
        <v>811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8938-42A2-45E4-A768-69CC49AF5AAB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43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106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106</v>
      </c>
      <c r="L5" s="8"/>
      <c r="M5" s="9">
        <v>106</v>
      </c>
      <c r="N5" s="11">
        <f t="shared" si="0"/>
        <v>0</v>
      </c>
      <c r="O5" s="11">
        <f t="shared" si="1"/>
        <v>0</v>
      </c>
    </row>
    <row r="6" spans="1:15" ht="16.5">
      <c r="A6" t="s">
        <v>23</v>
      </c>
      <c r="B6" s="30">
        <v>90</v>
      </c>
      <c r="C6" s="26">
        <f>86+24+32+24+20+32+119+40+32</f>
        <v>409</v>
      </c>
      <c r="D6" s="9">
        <v>348</v>
      </c>
      <c r="E6" s="9">
        <v>0</v>
      </c>
      <c r="F6" s="9">
        <v>0</v>
      </c>
      <c r="G6" s="9">
        <v>0</v>
      </c>
      <c r="H6" s="9">
        <v>32</v>
      </c>
      <c r="I6" s="9">
        <v>0</v>
      </c>
      <c r="J6" s="9">
        <v>0</v>
      </c>
      <c r="K6" s="10">
        <f>SUM(B6:J6)</f>
        <v>879</v>
      </c>
      <c r="L6" s="8"/>
      <c r="M6" s="9">
        <v>879</v>
      </c>
      <c r="N6" s="11">
        <f t="shared" si="0"/>
        <v>0</v>
      </c>
      <c r="O6" s="11">
        <f t="shared" si="1"/>
        <v>0</v>
      </c>
    </row>
    <row r="7" spans="1:15" ht="16.5">
      <c r="A7" t="s">
        <v>28</v>
      </c>
      <c r="B7" s="30">
        <v>0</v>
      </c>
      <c r="C7" s="26">
        <v>20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10">
        <f>SUM(B7:J7)</f>
        <v>20</v>
      </c>
      <c r="L7" s="8"/>
      <c r="M7" s="9">
        <v>20</v>
      </c>
      <c r="N7" s="11">
        <f t="shared" si="0"/>
        <v>0</v>
      </c>
      <c r="O7" s="11">
        <f t="shared" si="1"/>
        <v>0</v>
      </c>
    </row>
    <row r="8" spans="1:15" ht="16.5" hidden="1">
      <c r="A8" s="33" t="s">
        <v>31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 hidden="1">
      <c r="A9" t="s">
        <v>41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90</v>
      </c>
      <c r="C10" s="12">
        <f t="shared" si="2"/>
        <v>429</v>
      </c>
      <c r="D10" s="12">
        <f t="shared" si="2"/>
        <v>454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32</v>
      </c>
      <c r="I10" s="12">
        <f t="shared" si="2"/>
        <v>0</v>
      </c>
      <c r="J10" s="12">
        <f t="shared" si="2"/>
        <v>0</v>
      </c>
      <c r="K10" s="12">
        <f t="shared" si="2"/>
        <v>1005</v>
      </c>
      <c r="L10" s="13"/>
      <c r="M10" s="12">
        <v>0</v>
      </c>
      <c r="N10" s="12">
        <f>SUM(N4:N9)</f>
        <v>0</v>
      </c>
      <c r="O10" s="12">
        <f>SUM(O4:O9)</f>
        <v>0</v>
      </c>
    </row>
    <row r="11" spans="1:15" ht="15.75" thickBot="1"/>
    <row r="12" spans="1:15" ht="17.25" thickBot="1">
      <c r="A12" s="36" t="s">
        <v>43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0</v>
      </c>
      <c r="D14" s="17">
        <f t="shared" si="3"/>
        <v>0</v>
      </c>
    </row>
    <row r="15" spans="1:15" ht="16.5">
      <c r="A15" s="18">
        <v>50</v>
      </c>
      <c r="B15" s="15" t="s">
        <v>18</v>
      </c>
      <c r="C15" s="16">
        <v>0</v>
      </c>
      <c r="D15" s="17">
        <f t="shared" si="3"/>
        <v>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10</v>
      </c>
      <c r="B17" s="15" t="s">
        <v>18</v>
      </c>
      <c r="C17" s="16">
        <v>0</v>
      </c>
      <c r="D17" s="17">
        <f t="shared" si="3"/>
        <v>0</v>
      </c>
    </row>
    <row r="18" spans="1:4" ht="16.5">
      <c r="A18" s="18">
        <v>5</v>
      </c>
      <c r="B18" s="15" t="s">
        <v>18</v>
      </c>
      <c r="C18" s="16">
        <v>18</v>
      </c>
      <c r="D18" s="17">
        <f t="shared" si="3"/>
        <v>90</v>
      </c>
    </row>
    <row r="19" spans="1:4" ht="16.5">
      <c r="A19" s="19" t="s">
        <v>19</v>
      </c>
      <c r="B19" s="15" t="s">
        <v>18</v>
      </c>
      <c r="C19" s="16">
        <v>0</v>
      </c>
      <c r="D19" s="17">
        <f>+C19*1</f>
        <v>0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90</v>
      </c>
    </row>
    <row r="23" spans="1:4">
      <c r="A23" t="s">
        <v>21</v>
      </c>
      <c r="D23" s="25">
        <f>811+90</f>
        <v>901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34D4-F0BF-4996-808F-AF024835E91A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44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64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64</v>
      </c>
      <c r="L5" s="8"/>
      <c r="M5" s="9">
        <v>64</v>
      </c>
      <c r="N5" s="11">
        <f t="shared" si="0"/>
        <v>0</v>
      </c>
      <c r="O5" s="11">
        <f t="shared" si="1"/>
        <v>0</v>
      </c>
    </row>
    <row r="6" spans="1:15" ht="16.5">
      <c r="A6" t="s">
        <v>28</v>
      </c>
      <c r="B6" s="30">
        <v>125</v>
      </c>
      <c r="C6" s="26">
        <f>52+38+176</f>
        <v>266</v>
      </c>
      <c r="D6" s="9">
        <v>0</v>
      </c>
      <c r="E6" s="9">
        <v>0</v>
      </c>
      <c r="F6" s="9">
        <v>0</v>
      </c>
      <c r="G6" s="9">
        <v>0</v>
      </c>
      <c r="H6" s="9">
        <v>32</v>
      </c>
      <c r="I6" s="9">
        <v>0</v>
      </c>
      <c r="J6" s="9">
        <v>0</v>
      </c>
      <c r="K6" s="10">
        <f>SUM(B6:J6)</f>
        <v>423</v>
      </c>
      <c r="L6" s="8"/>
      <c r="M6" s="9">
        <v>423</v>
      </c>
      <c r="N6" s="11">
        <f t="shared" si="0"/>
        <v>0</v>
      </c>
      <c r="O6" s="11">
        <f t="shared" si="1"/>
        <v>0</v>
      </c>
    </row>
    <row r="7" spans="1:15" ht="16.5">
      <c r="A7" t="s">
        <v>25</v>
      </c>
      <c r="B7" s="30">
        <v>256</v>
      </c>
      <c r="C7" s="26">
        <f>66+64+35+20+7+20+32+115+24+32+26+32+32+32</f>
        <v>537</v>
      </c>
      <c r="D7" s="9">
        <v>42</v>
      </c>
      <c r="E7" s="9">
        <v>0</v>
      </c>
      <c r="F7" s="9">
        <v>0</v>
      </c>
      <c r="G7" s="9">
        <v>0</v>
      </c>
      <c r="H7" s="9">
        <v>288</v>
      </c>
      <c r="I7" s="9">
        <v>76</v>
      </c>
      <c r="J7" s="9">
        <v>0</v>
      </c>
      <c r="K7" s="10">
        <f>SUM(B7:J7)</f>
        <v>1199</v>
      </c>
      <c r="L7" s="8"/>
      <c r="M7" s="9">
        <v>1199</v>
      </c>
      <c r="N7" s="11">
        <f t="shared" si="0"/>
        <v>0</v>
      </c>
      <c r="O7" s="11">
        <f t="shared" si="1"/>
        <v>0</v>
      </c>
    </row>
    <row r="8" spans="1:15" ht="16.5">
      <c r="A8" t="s">
        <v>26</v>
      </c>
      <c r="B8" s="30">
        <v>0</v>
      </c>
      <c r="C8" s="26">
        <f>58+201+60+64+150+64+25+32+32+20+25+20+32+32+25+32+25+47+132+38+67+32+70+32+32</f>
        <v>1347</v>
      </c>
      <c r="D8" s="9">
        <v>296</v>
      </c>
      <c r="E8" s="9">
        <v>0</v>
      </c>
      <c r="F8" s="9">
        <v>0</v>
      </c>
      <c r="G8" s="9">
        <v>0</v>
      </c>
      <c r="H8" s="9">
        <v>288</v>
      </c>
      <c r="I8" s="9">
        <v>0</v>
      </c>
      <c r="J8" s="9">
        <v>0</v>
      </c>
      <c r="K8" s="10">
        <f>SUM(B8:J8)</f>
        <v>1931</v>
      </c>
      <c r="L8" s="8"/>
      <c r="M8" s="9">
        <v>1931</v>
      </c>
      <c r="N8" s="11">
        <f t="shared" si="0"/>
        <v>0</v>
      </c>
      <c r="O8" s="11">
        <f t="shared" si="1"/>
        <v>0</v>
      </c>
    </row>
    <row r="9" spans="1:15" ht="16.5">
      <c r="A9" t="s">
        <v>22</v>
      </c>
      <c r="B9" s="30">
        <v>0</v>
      </c>
      <c r="C9" s="26">
        <v>20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20</v>
      </c>
      <c r="L9" s="8"/>
      <c r="M9" s="9">
        <v>20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381</v>
      </c>
      <c r="C10" s="12">
        <f t="shared" si="2"/>
        <v>2170</v>
      </c>
      <c r="D10" s="12">
        <f t="shared" si="2"/>
        <v>402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608</v>
      </c>
      <c r="I10" s="12">
        <f t="shared" si="2"/>
        <v>76</v>
      </c>
      <c r="J10" s="12">
        <f t="shared" si="2"/>
        <v>0</v>
      </c>
      <c r="K10" s="12">
        <f t="shared" si="2"/>
        <v>3637</v>
      </c>
      <c r="L10" s="13"/>
      <c r="M10" s="12">
        <v>0</v>
      </c>
      <c r="N10" s="12">
        <f>SUM(N4:N9)</f>
        <v>0</v>
      </c>
      <c r="O10" s="12">
        <f>SUM(O4:O9)</f>
        <v>0</v>
      </c>
    </row>
    <row r="11" spans="1:15" ht="15.75" thickBot="1"/>
    <row r="12" spans="1:15" ht="17.25" thickBot="1">
      <c r="A12" s="36" t="s">
        <v>44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3</v>
      </c>
      <c r="D14" s="17">
        <f t="shared" si="3"/>
        <v>300</v>
      </c>
    </row>
    <row r="15" spans="1:15" ht="16.5">
      <c r="A15" s="18">
        <v>50</v>
      </c>
      <c r="B15" s="15" t="s">
        <v>18</v>
      </c>
      <c r="C15" s="16">
        <v>0</v>
      </c>
      <c r="D15" s="17">
        <f t="shared" si="3"/>
        <v>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10</v>
      </c>
      <c r="B17" s="15" t="s">
        <v>18</v>
      </c>
      <c r="C17" s="16">
        <v>3</v>
      </c>
      <c r="D17" s="17">
        <f t="shared" si="3"/>
        <v>30</v>
      </c>
    </row>
    <row r="18" spans="1:4" ht="16.5">
      <c r="A18" s="18">
        <v>5</v>
      </c>
      <c r="B18" s="15" t="s">
        <v>18</v>
      </c>
      <c r="C18" s="16">
        <v>10</v>
      </c>
      <c r="D18" s="17">
        <f t="shared" si="3"/>
        <v>50</v>
      </c>
    </row>
    <row r="19" spans="1:4" ht="16.5">
      <c r="A19" s="19" t="s">
        <v>19</v>
      </c>
      <c r="B19" s="15" t="s">
        <v>18</v>
      </c>
      <c r="C19" s="16">
        <v>1</v>
      </c>
      <c r="D19" s="17">
        <f>+C19*1</f>
        <v>1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381</v>
      </c>
    </row>
    <row r="23" spans="1:4">
      <c r="A23" t="s">
        <v>21</v>
      </c>
      <c r="D23" s="25">
        <f>901+381</f>
        <v>1282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C6B6-291B-400F-AE64-91C4D0477A1A}">
  <dimension ref="A1:O24"/>
  <sheetViews>
    <sheetView workbookViewId="0">
      <selection activeCell="A11" sqref="A11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45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24</v>
      </c>
      <c r="N4" s="11">
        <f t="shared" ref="N4:N9" si="0">IF(K4&gt;M4,K4-M4,0)</f>
        <v>0</v>
      </c>
      <c r="O4" s="11">
        <f t="shared" ref="O4:O9" si="1">IF(M4&gt;K4,M4-K4,0)</f>
        <v>24</v>
      </c>
    </row>
    <row r="5" spans="1:15" ht="16.5">
      <c r="A5" s="29" t="s">
        <v>17</v>
      </c>
      <c r="B5" s="31">
        <v>0</v>
      </c>
      <c r="C5" s="9">
        <v>0</v>
      </c>
      <c r="D5" s="9">
        <v>84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84</v>
      </c>
      <c r="L5" s="8"/>
      <c r="M5" s="9">
        <v>84</v>
      </c>
      <c r="N5" s="11">
        <f t="shared" si="0"/>
        <v>0</v>
      </c>
      <c r="O5" s="11">
        <f t="shared" si="1"/>
        <v>0</v>
      </c>
    </row>
    <row r="6" spans="1:15" ht="16.5">
      <c r="A6" t="s">
        <v>27</v>
      </c>
      <c r="B6" s="30">
        <v>257</v>
      </c>
      <c r="C6" s="26">
        <f>26+64+122+35+128+20+20+92+32+64+171+33+40+24+20+7+32+20+70</f>
        <v>1020</v>
      </c>
      <c r="D6" s="9">
        <v>276</v>
      </c>
      <c r="E6" s="9">
        <v>0</v>
      </c>
      <c r="F6" s="9">
        <v>0</v>
      </c>
      <c r="G6" s="9">
        <v>0</v>
      </c>
      <c r="H6" s="9">
        <v>192</v>
      </c>
      <c r="I6" s="9">
        <v>0</v>
      </c>
      <c r="J6" s="9">
        <v>0</v>
      </c>
      <c r="K6" s="10">
        <f>SUM(B6:J6)</f>
        <v>1745</v>
      </c>
      <c r="L6" s="8"/>
      <c r="M6" s="9">
        <v>1745</v>
      </c>
      <c r="N6" s="11">
        <f t="shared" si="0"/>
        <v>0</v>
      </c>
      <c r="O6" s="11">
        <f t="shared" si="1"/>
        <v>0</v>
      </c>
    </row>
    <row r="7" spans="1:15" ht="16.5">
      <c r="A7" t="s">
        <v>31</v>
      </c>
      <c r="B7" s="30">
        <v>534</v>
      </c>
      <c r="C7" s="26">
        <f>124+20+32+32+32+40+20+25+64+64+193+96+63+20+121+25+89+42+25+15+40+27+64+24+64+96+20+58</f>
        <v>1535</v>
      </c>
      <c r="D7" s="9">
        <v>0</v>
      </c>
      <c r="E7" s="9">
        <v>0</v>
      </c>
      <c r="F7" s="9">
        <v>0</v>
      </c>
      <c r="G7" s="9">
        <v>0</v>
      </c>
      <c r="H7" s="9">
        <v>512</v>
      </c>
      <c r="I7" s="9">
        <v>0</v>
      </c>
      <c r="J7" s="9">
        <v>0</v>
      </c>
      <c r="K7" s="10">
        <f>SUM(B7:J7)</f>
        <v>2581</v>
      </c>
      <c r="L7" s="8"/>
      <c r="M7" s="9">
        <v>2581</v>
      </c>
      <c r="N7" s="11">
        <f t="shared" si="0"/>
        <v>0</v>
      </c>
      <c r="O7" s="11">
        <f t="shared" si="1"/>
        <v>0</v>
      </c>
    </row>
    <row r="8" spans="1:15" ht="16.5" hidden="1">
      <c r="A8" t="s">
        <v>26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 hidden="1">
      <c r="A9" t="s">
        <v>22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791</v>
      </c>
      <c r="C10" s="12">
        <f t="shared" si="2"/>
        <v>2555</v>
      </c>
      <c r="D10" s="12">
        <f t="shared" si="2"/>
        <v>360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704</v>
      </c>
      <c r="I10" s="12">
        <f t="shared" si="2"/>
        <v>0</v>
      </c>
      <c r="J10" s="12">
        <f t="shared" si="2"/>
        <v>0</v>
      </c>
      <c r="K10" s="12">
        <f t="shared" si="2"/>
        <v>4410</v>
      </c>
      <c r="L10" s="13"/>
      <c r="M10" s="12">
        <v>0</v>
      </c>
      <c r="N10" s="12">
        <f>SUM(N4:N9)</f>
        <v>0</v>
      </c>
      <c r="O10" s="12">
        <f>SUM(O4:O9)</f>
        <v>24</v>
      </c>
    </row>
    <row r="11" spans="1:15" ht="15.75" thickBot="1">
      <c r="A11" s="34" t="s">
        <v>34</v>
      </c>
    </row>
    <row r="12" spans="1:15" ht="17.25" thickBot="1">
      <c r="A12" s="36" t="s">
        <v>45</v>
      </c>
      <c r="B12" s="37"/>
      <c r="C12" s="37"/>
      <c r="D12" s="37"/>
    </row>
    <row r="13" spans="1:15" ht="17.25" thickBot="1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  <c r="K13" s="36" t="s">
        <v>46</v>
      </c>
      <c r="L13" s="37"/>
      <c r="M13" s="37"/>
      <c r="N13" s="37"/>
    </row>
    <row r="14" spans="1:15" ht="16.5">
      <c r="A14" s="18">
        <v>100</v>
      </c>
      <c r="B14" s="15" t="s">
        <v>18</v>
      </c>
      <c r="C14" s="16">
        <v>6</v>
      </c>
      <c r="D14" s="17">
        <f t="shared" si="3"/>
        <v>600</v>
      </c>
      <c r="K14" s="14">
        <v>500</v>
      </c>
      <c r="L14" s="15" t="s">
        <v>18</v>
      </c>
      <c r="M14" s="16">
        <v>0</v>
      </c>
      <c r="N14" s="17">
        <f t="shared" ref="N14:N19" si="4">K14*M14</f>
        <v>0</v>
      </c>
    </row>
    <row r="15" spans="1:15" ht="16.5">
      <c r="A15" s="18">
        <v>50</v>
      </c>
      <c r="B15" s="15" t="s">
        <v>18</v>
      </c>
      <c r="C15" s="16">
        <v>3</v>
      </c>
      <c r="D15" s="17">
        <f t="shared" si="3"/>
        <v>150</v>
      </c>
      <c r="K15" s="18">
        <v>100</v>
      </c>
      <c r="L15" s="15" t="s">
        <v>18</v>
      </c>
      <c r="M15" s="16">
        <v>11</v>
      </c>
      <c r="N15" s="17">
        <f t="shared" si="4"/>
        <v>1100</v>
      </c>
    </row>
    <row r="16" spans="1:15" ht="16.5">
      <c r="A16" s="18">
        <v>20</v>
      </c>
      <c r="B16" s="15" t="s">
        <v>18</v>
      </c>
      <c r="C16" s="16">
        <v>1</v>
      </c>
      <c r="D16" s="17">
        <f t="shared" si="3"/>
        <v>20</v>
      </c>
      <c r="K16" s="18">
        <v>50</v>
      </c>
      <c r="L16" s="15" t="s">
        <v>18</v>
      </c>
      <c r="M16" s="16">
        <v>9</v>
      </c>
      <c r="N16" s="17">
        <f t="shared" si="4"/>
        <v>450</v>
      </c>
    </row>
    <row r="17" spans="1:14" ht="16.5">
      <c r="A17" s="18">
        <v>10</v>
      </c>
      <c r="B17" s="15" t="s">
        <v>18</v>
      </c>
      <c r="C17" s="16">
        <v>1</v>
      </c>
      <c r="D17" s="17">
        <f t="shared" si="3"/>
        <v>10</v>
      </c>
      <c r="K17" s="18">
        <v>20</v>
      </c>
      <c r="L17" s="15" t="s">
        <v>18</v>
      </c>
      <c r="M17" s="16">
        <v>2</v>
      </c>
      <c r="N17" s="17">
        <f t="shared" si="4"/>
        <v>40</v>
      </c>
    </row>
    <row r="18" spans="1:14" ht="16.5">
      <c r="A18" s="18">
        <v>5</v>
      </c>
      <c r="B18" s="15" t="s">
        <v>18</v>
      </c>
      <c r="C18" s="16">
        <v>1</v>
      </c>
      <c r="D18" s="17">
        <f t="shared" si="3"/>
        <v>5</v>
      </c>
      <c r="K18" s="18">
        <v>10</v>
      </c>
      <c r="L18" s="15" t="s">
        <v>18</v>
      </c>
      <c r="M18" s="16">
        <v>17</v>
      </c>
      <c r="N18" s="17">
        <f t="shared" si="4"/>
        <v>170</v>
      </c>
    </row>
    <row r="19" spans="1:14" ht="16.5">
      <c r="A19" s="19" t="s">
        <v>19</v>
      </c>
      <c r="B19" s="15" t="s">
        <v>18</v>
      </c>
      <c r="C19" s="16">
        <v>6</v>
      </c>
      <c r="D19" s="17">
        <f>+C19*1</f>
        <v>6</v>
      </c>
      <c r="K19" s="18">
        <v>5</v>
      </c>
      <c r="L19" s="15" t="s">
        <v>18</v>
      </c>
      <c r="M19" s="16">
        <v>59</v>
      </c>
      <c r="N19" s="17">
        <f t="shared" si="4"/>
        <v>295</v>
      </c>
    </row>
    <row r="20" spans="1:14" ht="16.5">
      <c r="A20" s="19"/>
      <c r="B20" s="20"/>
      <c r="C20" s="16">
        <v>0</v>
      </c>
      <c r="D20" s="17">
        <f>+C20*0.025</f>
        <v>0</v>
      </c>
      <c r="K20" s="19" t="s">
        <v>19</v>
      </c>
      <c r="L20" s="15" t="s">
        <v>18</v>
      </c>
      <c r="M20" s="16">
        <v>18</v>
      </c>
      <c r="N20" s="17">
        <f>+M20*1</f>
        <v>18</v>
      </c>
    </row>
    <row r="21" spans="1:14" ht="16.5">
      <c r="A21" s="21" t="s">
        <v>20</v>
      </c>
      <c r="B21" s="22"/>
      <c r="C21" s="23">
        <v>0</v>
      </c>
      <c r="D21" s="24">
        <f>SUM(D13:D20)</f>
        <v>791</v>
      </c>
      <c r="K21" s="19"/>
      <c r="L21" s="20"/>
      <c r="M21" s="16">
        <v>0</v>
      </c>
      <c r="N21" s="17">
        <f>+M21*0.025</f>
        <v>0</v>
      </c>
    </row>
    <row r="22" spans="1:14" ht="16.5">
      <c r="K22" s="21" t="s">
        <v>20</v>
      </c>
      <c r="L22" s="22"/>
      <c r="M22" s="23">
        <v>0</v>
      </c>
      <c r="N22" s="24">
        <f>SUM(N14:N21)</f>
        <v>2073</v>
      </c>
    </row>
    <row r="23" spans="1:14">
      <c r="A23" t="s">
        <v>21</v>
      </c>
      <c r="D23" s="25">
        <f>1282+791</f>
        <v>2073</v>
      </c>
    </row>
    <row r="24" spans="1:14">
      <c r="D24" t="s">
        <v>35</v>
      </c>
    </row>
  </sheetData>
  <mergeCells count="3">
    <mergeCell ref="A2:O2"/>
    <mergeCell ref="A12:D12"/>
    <mergeCell ref="K13:N13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63B2-FF61-42C8-84ED-9D75DAB05A8C}">
  <dimension ref="A1:O24"/>
  <sheetViews>
    <sheetView workbookViewId="0">
      <selection activeCell="I22" sqref="I22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48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0</v>
      </c>
      <c r="L5" s="8"/>
      <c r="M5" s="9">
        <v>0</v>
      </c>
      <c r="N5" s="11">
        <f t="shared" si="0"/>
        <v>0</v>
      </c>
      <c r="O5" s="11">
        <f t="shared" si="1"/>
        <v>0</v>
      </c>
    </row>
    <row r="6" spans="1:15" ht="16.5">
      <c r="A6" t="s">
        <v>25</v>
      </c>
      <c r="B6" s="30">
        <v>221</v>
      </c>
      <c r="C6" s="26">
        <f>20+7+38+32+35+32+170+9+32+84+64+16+16+25+44+102+16+16+32+32+32</f>
        <v>854</v>
      </c>
      <c r="D6" s="9">
        <v>0</v>
      </c>
      <c r="E6" s="9">
        <v>0</v>
      </c>
      <c r="F6" s="9">
        <v>0</v>
      </c>
      <c r="G6" s="9">
        <v>0</v>
      </c>
      <c r="H6" s="9">
        <v>288</v>
      </c>
      <c r="I6" s="9">
        <v>24</v>
      </c>
      <c r="J6" s="9">
        <v>0</v>
      </c>
      <c r="K6" s="10">
        <f>SUM(B6:J6)</f>
        <v>1387</v>
      </c>
      <c r="L6" s="8"/>
      <c r="M6" s="9">
        <v>1387</v>
      </c>
      <c r="N6" s="11">
        <f t="shared" si="0"/>
        <v>0</v>
      </c>
      <c r="O6" s="11">
        <f t="shared" si="1"/>
        <v>0</v>
      </c>
    </row>
    <row r="7" spans="1:15" ht="16.5">
      <c r="A7" t="s">
        <v>26</v>
      </c>
      <c r="B7" s="30">
        <v>143</v>
      </c>
      <c r="C7" s="26">
        <f>90+20+20+24+27+32+24+104+124+24+84+67+11+32+20+35+64+20+20+24+32+14</f>
        <v>912</v>
      </c>
      <c r="D7" s="9">
        <v>96</v>
      </c>
      <c r="E7" s="9">
        <v>0</v>
      </c>
      <c r="F7" s="9">
        <v>0</v>
      </c>
      <c r="G7" s="9">
        <v>0</v>
      </c>
      <c r="H7" s="9">
        <v>192</v>
      </c>
      <c r="I7" s="9">
        <v>0</v>
      </c>
      <c r="J7" s="9">
        <v>0</v>
      </c>
      <c r="K7" s="10">
        <f>SUM(B7:J7)</f>
        <v>1343</v>
      </c>
      <c r="L7" s="8"/>
      <c r="M7" s="9">
        <v>1343</v>
      </c>
      <c r="N7" s="11">
        <f t="shared" si="0"/>
        <v>0</v>
      </c>
      <c r="O7" s="11">
        <f t="shared" si="1"/>
        <v>0</v>
      </c>
    </row>
    <row r="8" spans="1:15" ht="16.5" hidden="1">
      <c r="A8" t="s">
        <v>26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 hidden="1">
      <c r="A9" t="s">
        <v>22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364</v>
      </c>
      <c r="C10" s="12">
        <f t="shared" si="2"/>
        <v>1766</v>
      </c>
      <c r="D10" s="12">
        <f t="shared" si="2"/>
        <v>96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480</v>
      </c>
      <c r="I10" s="12">
        <f t="shared" si="2"/>
        <v>24</v>
      </c>
      <c r="J10" s="12">
        <f t="shared" si="2"/>
        <v>0</v>
      </c>
      <c r="K10" s="12">
        <f t="shared" si="2"/>
        <v>2730</v>
      </c>
      <c r="L10" s="13"/>
      <c r="M10" s="12">
        <v>0</v>
      </c>
      <c r="N10" s="12">
        <f>SUM(N4:N9)</f>
        <v>0</v>
      </c>
      <c r="O10" s="12">
        <f>SUM(O4:O9)</f>
        <v>0</v>
      </c>
    </row>
    <row r="11" spans="1:15" ht="15.75" thickBot="1"/>
    <row r="12" spans="1:15" ht="17.25" thickBot="1">
      <c r="A12" s="36" t="s">
        <v>48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3</v>
      </c>
      <c r="D14" s="17">
        <f t="shared" si="3"/>
        <v>300</v>
      </c>
    </row>
    <row r="15" spans="1:15" ht="16.5">
      <c r="A15" s="18">
        <v>50</v>
      </c>
      <c r="B15" s="15" t="s">
        <v>18</v>
      </c>
      <c r="C15" s="16">
        <v>0</v>
      </c>
      <c r="D15" s="17">
        <f t="shared" si="3"/>
        <v>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10</v>
      </c>
      <c r="B17" s="15" t="s">
        <v>18</v>
      </c>
      <c r="C17" s="16">
        <v>1</v>
      </c>
      <c r="D17" s="17">
        <f t="shared" si="3"/>
        <v>10</v>
      </c>
    </row>
    <row r="18" spans="1:4" ht="16.5">
      <c r="A18" s="18">
        <v>5</v>
      </c>
      <c r="B18" s="15" t="s">
        <v>18</v>
      </c>
      <c r="C18" s="16">
        <v>10</v>
      </c>
      <c r="D18" s="17">
        <f t="shared" si="3"/>
        <v>50</v>
      </c>
    </row>
    <row r="19" spans="1:4" ht="16.5">
      <c r="A19" s="19" t="s">
        <v>19</v>
      </c>
      <c r="B19" s="15" t="s">
        <v>18</v>
      </c>
      <c r="C19" s="16">
        <v>4</v>
      </c>
      <c r="D19" s="17">
        <f>+C19*1</f>
        <v>4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364</v>
      </c>
    </row>
    <row r="23" spans="1:4">
      <c r="A23" t="s">
        <v>21</v>
      </c>
      <c r="D23" s="25">
        <v>364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46A7-05AC-4B53-AEC0-F35C4F53C7BA}">
  <dimension ref="A1:O24"/>
  <sheetViews>
    <sheetView workbookViewId="0">
      <selection activeCell="A7" sqref="A7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47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0</v>
      </c>
      <c r="L5" s="8"/>
      <c r="M5" s="9">
        <v>0</v>
      </c>
      <c r="N5" s="11">
        <f t="shared" si="0"/>
        <v>0</v>
      </c>
      <c r="O5" s="11">
        <f t="shared" si="1"/>
        <v>0</v>
      </c>
    </row>
    <row r="6" spans="1:15" ht="16.5">
      <c r="A6" t="s">
        <v>23</v>
      </c>
      <c r="B6" s="30">
        <v>72</v>
      </c>
      <c r="C6" s="26">
        <f>32+56+22+20+10+57+20+131+62+26+20+70+41</f>
        <v>567</v>
      </c>
      <c r="D6" s="9">
        <v>96</v>
      </c>
      <c r="E6" s="9">
        <v>0</v>
      </c>
      <c r="F6" s="9">
        <v>0</v>
      </c>
      <c r="G6" s="9">
        <v>0</v>
      </c>
      <c r="H6" s="9">
        <v>128</v>
      </c>
      <c r="I6" s="9">
        <v>136</v>
      </c>
      <c r="J6" s="9">
        <v>0</v>
      </c>
      <c r="K6" s="10">
        <f>SUM(B6:J6)</f>
        <v>999</v>
      </c>
      <c r="L6" s="8"/>
      <c r="M6" s="9">
        <v>999</v>
      </c>
      <c r="N6" s="11">
        <f t="shared" si="0"/>
        <v>0</v>
      </c>
      <c r="O6" s="11">
        <f t="shared" si="1"/>
        <v>0</v>
      </c>
    </row>
    <row r="7" spans="1:15" ht="16.5">
      <c r="A7" t="s">
        <v>22</v>
      </c>
      <c r="B7" s="30">
        <v>20</v>
      </c>
      <c r="C7" s="26">
        <f>26+64</f>
        <v>90</v>
      </c>
      <c r="D7" s="9">
        <v>64</v>
      </c>
      <c r="E7" s="9">
        <v>0</v>
      </c>
      <c r="F7" s="9">
        <v>0</v>
      </c>
      <c r="G7" s="9">
        <v>0</v>
      </c>
      <c r="H7" s="9">
        <v>32</v>
      </c>
      <c r="I7" s="9">
        <v>0</v>
      </c>
      <c r="J7" s="9">
        <v>0</v>
      </c>
      <c r="K7" s="10">
        <f>SUM(B7:J7)</f>
        <v>206</v>
      </c>
      <c r="L7" s="8"/>
      <c r="M7" s="9">
        <v>206</v>
      </c>
      <c r="N7" s="11">
        <f t="shared" si="0"/>
        <v>0</v>
      </c>
      <c r="O7" s="11">
        <f t="shared" si="1"/>
        <v>0</v>
      </c>
    </row>
    <row r="8" spans="1:15" ht="16.5" hidden="1">
      <c r="A8" t="s">
        <v>26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 hidden="1">
      <c r="A9" t="s">
        <v>22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92</v>
      </c>
      <c r="C10" s="12">
        <f t="shared" si="2"/>
        <v>657</v>
      </c>
      <c r="D10" s="12">
        <f t="shared" si="2"/>
        <v>160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160</v>
      </c>
      <c r="I10" s="12">
        <f t="shared" si="2"/>
        <v>136</v>
      </c>
      <c r="J10" s="12">
        <f t="shared" si="2"/>
        <v>0</v>
      </c>
      <c r="K10" s="12">
        <f t="shared" si="2"/>
        <v>1205</v>
      </c>
      <c r="L10" s="13"/>
      <c r="M10" s="12">
        <v>0</v>
      </c>
      <c r="N10" s="12">
        <f>SUM(N4:N9)</f>
        <v>0</v>
      </c>
      <c r="O10" s="12">
        <f>SUM(O4:O9)</f>
        <v>0</v>
      </c>
    </row>
    <row r="11" spans="1:15" ht="15.75" thickBot="1"/>
    <row r="12" spans="1:15" ht="17.25" thickBot="1">
      <c r="A12" s="36" t="s">
        <v>47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0</v>
      </c>
      <c r="D14" s="17">
        <f t="shared" si="3"/>
        <v>0</v>
      </c>
    </row>
    <row r="15" spans="1:15" ht="16.5">
      <c r="A15" s="18">
        <v>50</v>
      </c>
      <c r="B15" s="15" t="s">
        <v>18</v>
      </c>
      <c r="C15" s="16">
        <v>0</v>
      </c>
      <c r="D15" s="17">
        <f t="shared" si="3"/>
        <v>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10</v>
      </c>
      <c r="B17" s="15" t="s">
        <v>18</v>
      </c>
      <c r="C17" s="16">
        <v>2</v>
      </c>
      <c r="D17" s="17">
        <f t="shared" si="3"/>
        <v>20</v>
      </c>
    </row>
    <row r="18" spans="1:4" ht="16.5">
      <c r="A18" s="18">
        <v>5</v>
      </c>
      <c r="B18" s="15" t="s">
        <v>18</v>
      </c>
      <c r="C18" s="16">
        <v>14</v>
      </c>
      <c r="D18" s="17">
        <f t="shared" si="3"/>
        <v>70</v>
      </c>
    </row>
    <row r="19" spans="1:4" ht="16.5">
      <c r="A19" s="19" t="s">
        <v>19</v>
      </c>
      <c r="B19" s="15" t="s">
        <v>18</v>
      </c>
      <c r="C19" s="16">
        <v>2</v>
      </c>
      <c r="D19" s="17">
        <f>+C19*1</f>
        <v>2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92</v>
      </c>
    </row>
    <row r="23" spans="1:4">
      <c r="A23" t="s">
        <v>21</v>
      </c>
      <c r="D23" s="25">
        <f>364+92</f>
        <v>456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1745-672E-4D3F-AB08-4FD7A66D8F01}">
  <dimension ref="A1:O24"/>
  <sheetViews>
    <sheetView workbookViewId="0">
      <selection activeCell="D23" sqref="D2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49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148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148</v>
      </c>
      <c r="L5" s="8"/>
      <c r="M5" s="9">
        <v>148</v>
      </c>
      <c r="N5" s="11">
        <f t="shared" si="0"/>
        <v>0</v>
      </c>
      <c r="O5" s="11">
        <f t="shared" si="1"/>
        <v>0</v>
      </c>
    </row>
    <row r="6" spans="1:15" ht="16.5">
      <c r="A6" t="s">
        <v>28</v>
      </c>
      <c r="B6" s="30">
        <v>147</v>
      </c>
      <c r="C6" s="26">
        <f>65+64+77+67+25+126+91+39+51+51+75+32+32+20+22+27+64+20+24+140+20+32+64+140+107+15</f>
        <v>1490</v>
      </c>
      <c r="D6" s="9">
        <v>0</v>
      </c>
      <c r="E6" s="9">
        <v>0</v>
      </c>
      <c r="F6" s="9">
        <v>0</v>
      </c>
      <c r="G6" s="9">
        <v>0</v>
      </c>
      <c r="H6" s="9">
        <v>352</v>
      </c>
      <c r="I6" s="9">
        <v>0</v>
      </c>
      <c r="J6" s="9">
        <v>0</v>
      </c>
      <c r="K6" s="10">
        <f>SUM(B6:J6)</f>
        <v>1989</v>
      </c>
      <c r="L6" s="8"/>
      <c r="M6" s="9">
        <v>1989</v>
      </c>
      <c r="N6" s="11">
        <f t="shared" si="0"/>
        <v>0</v>
      </c>
      <c r="O6" s="11">
        <f t="shared" si="1"/>
        <v>0</v>
      </c>
    </row>
    <row r="7" spans="1:15" ht="16.5">
      <c r="A7" t="s">
        <v>26</v>
      </c>
      <c r="B7" s="30">
        <v>35</v>
      </c>
      <c r="C7" s="26">
        <f>42+52+32+44+64</f>
        <v>234</v>
      </c>
      <c r="D7" s="9">
        <v>64</v>
      </c>
      <c r="E7" s="9">
        <v>0</v>
      </c>
      <c r="F7" s="9">
        <v>0</v>
      </c>
      <c r="G7" s="9">
        <v>0</v>
      </c>
      <c r="H7" s="9">
        <v>32</v>
      </c>
      <c r="I7" s="9">
        <v>0</v>
      </c>
      <c r="J7" s="9">
        <v>0</v>
      </c>
      <c r="K7" s="10">
        <f>SUM(B7:J7)</f>
        <v>365</v>
      </c>
      <c r="L7" s="8"/>
      <c r="M7" s="9">
        <v>365</v>
      </c>
      <c r="N7" s="11">
        <f t="shared" si="0"/>
        <v>0</v>
      </c>
      <c r="O7" s="11">
        <f t="shared" si="1"/>
        <v>0</v>
      </c>
    </row>
    <row r="8" spans="1:15" ht="16.5" hidden="1">
      <c r="A8" t="s">
        <v>26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 hidden="1">
      <c r="A9" t="s">
        <v>22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182</v>
      </c>
      <c r="C10" s="12">
        <f t="shared" si="2"/>
        <v>1724</v>
      </c>
      <c r="D10" s="12">
        <f t="shared" si="2"/>
        <v>212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384</v>
      </c>
      <c r="I10" s="12">
        <f t="shared" si="2"/>
        <v>0</v>
      </c>
      <c r="J10" s="12">
        <f t="shared" si="2"/>
        <v>0</v>
      </c>
      <c r="K10" s="12">
        <f t="shared" si="2"/>
        <v>2502</v>
      </c>
      <c r="L10" s="13"/>
      <c r="M10" s="12">
        <v>0</v>
      </c>
      <c r="N10" s="12">
        <f>SUM(N4:N9)</f>
        <v>0</v>
      </c>
      <c r="O10" s="12">
        <f>SUM(O4:O9)</f>
        <v>0</v>
      </c>
    </row>
    <row r="11" spans="1:15" ht="15.75" thickBot="1"/>
    <row r="12" spans="1:15" ht="17.25" thickBot="1">
      <c r="A12" s="36" t="s">
        <v>49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1</v>
      </c>
      <c r="D14" s="17">
        <f t="shared" si="3"/>
        <v>100</v>
      </c>
    </row>
    <row r="15" spans="1:15" ht="16.5">
      <c r="A15" s="18">
        <v>50</v>
      </c>
      <c r="B15" s="15" t="s">
        <v>18</v>
      </c>
      <c r="C15" s="16">
        <v>0</v>
      </c>
      <c r="D15" s="17">
        <f t="shared" si="3"/>
        <v>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10</v>
      </c>
      <c r="B17" s="15" t="s">
        <v>18</v>
      </c>
      <c r="C17" s="16">
        <v>0</v>
      </c>
      <c r="D17" s="17">
        <f t="shared" si="3"/>
        <v>0</v>
      </c>
    </row>
    <row r="18" spans="1:4" ht="16.5">
      <c r="A18" s="18">
        <v>5</v>
      </c>
      <c r="B18" s="15" t="s">
        <v>18</v>
      </c>
      <c r="C18" s="16">
        <v>16</v>
      </c>
      <c r="D18" s="17">
        <f t="shared" si="3"/>
        <v>80</v>
      </c>
    </row>
    <row r="19" spans="1:4" ht="16.5">
      <c r="A19" s="19" t="s">
        <v>19</v>
      </c>
      <c r="B19" s="15" t="s">
        <v>18</v>
      </c>
      <c r="C19" s="16">
        <v>2</v>
      </c>
      <c r="D19" s="17">
        <f>+C19*1</f>
        <v>2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182</v>
      </c>
    </row>
    <row r="23" spans="1:4">
      <c r="A23" t="s">
        <v>21</v>
      </c>
      <c r="D23" s="25">
        <f>456+182</f>
        <v>638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EC49-7820-486F-A00C-7DF0798B0710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50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64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64</v>
      </c>
      <c r="L5" s="8"/>
      <c r="M5" s="9">
        <v>64</v>
      </c>
      <c r="N5" s="11">
        <f t="shared" si="0"/>
        <v>0</v>
      </c>
      <c r="O5" s="11">
        <f t="shared" si="1"/>
        <v>0</v>
      </c>
    </row>
    <row r="6" spans="1:15" ht="16.5">
      <c r="A6" s="33" t="s">
        <v>28</v>
      </c>
      <c r="B6" s="30">
        <v>11</v>
      </c>
      <c r="C6" s="26">
        <f>15+10+24+64+64</f>
        <v>177</v>
      </c>
      <c r="D6" s="9">
        <v>0</v>
      </c>
      <c r="E6" s="9">
        <v>0</v>
      </c>
      <c r="F6" s="9">
        <v>0</v>
      </c>
      <c r="G6" s="9">
        <v>0</v>
      </c>
      <c r="H6" s="9">
        <v>64</v>
      </c>
      <c r="I6" s="9">
        <v>0</v>
      </c>
      <c r="J6" s="9">
        <v>0</v>
      </c>
      <c r="K6" s="10">
        <f>SUM(B6:J6)</f>
        <v>252</v>
      </c>
      <c r="L6" s="8"/>
      <c r="M6" s="9">
        <v>252</v>
      </c>
      <c r="N6" s="11">
        <f t="shared" si="0"/>
        <v>0</v>
      </c>
      <c r="O6" s="11">
        <f t="shared" si="1"/>
        <v>0</v>
      </c>
    </row>
    <row r="7" spans="1:15" ht="16.5">
      <c r="A7" s="33" t="s">
        <v>27</v>
      </c>
      <c r="B7" s="30">
        <v>183</v>
      </c>
      <c r="C7" s="26">
        <f>70+64+64+102+96+20+128+24+134+24+20+32+32+32+67+26+75+102</f>
        <v>1112</v>
      </c>
      <c r="D7" s="9">
        <v>0</v>
      </c>
      <c r="E7" s="9">
        <v>0</v>
      </c>
      <c r="F7" s="9">
        <v>0</v>
      </c>
      <c r="G7" s="9">
        <v>0</v>
      </c>
      <c r="H7" s="9">
        <v>192</v>
      </c>
      <c r="I7" s="9">
        <v>0</v>
      </c>
      <c r="J7" s="9">
        <v>0</v>
      </c>
      <c r="K7" s="10">
        <f>SUM(B7:J7)</f>
        <v>1487</v>
      </c>
      <c r="L7" s="8"/>
      <c r="M7" s="9">
        <v>1487</v>
      </c>
      <c r="N7" s="11">
        <f t="shared" si="0"/>
        <v>0</v>
      </c>
      <c r="O7" s="11">
        <f t="shared" si="1"/>
        <v>0</v>
      </c>
    </row>
    <row r="8" spans="1:15" ht="16.5" hidden="1">
      <c r="A8" s="33" t="s">
        <v>26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>
      <c r="A9" s="33" t="s">
        <v>25</v>
      </c>
      <c r="B9" s="30">
        <v>332</v>
      </c>
      <c r="C9" s="26">
        <f>42+35+20+25+22+54+54+4+20+64+7+74+27+158+20+20+98+96+32+32+86+20+64+40+48+32</f>
        <v>1194</v>
      </c>
      <c r="D9" s="9">
        <v>0</v>
      </c>
      <c r="E9" s="9">
        <v>0</v>
      </c>
      <c r="F9" s="9">
        <v>0</v>
      </c>
      <c r="G9" s="9">
        <v>0</v>
      </c>
      <c r="H9" s="9">
        <v>384</v>
      </c>
      <c r="I9" s="9">
        <v>0</v>
      </c>
      <c r="J9" s="9">
        <v>0</v>
      </c>
      <c r="K9" s="10">
        <f>SUM(B9:J9)</f>
        <v>1910</v>
      </c>
      <c r="L9" s="8"/>
      <c r="M9" s="9">
        <v>1910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526</v>
      </c>
      <c r="C10" s="12">
        <f t="shared" si="2"/>
        <v>2483</v>
      </c>
      <c r="D10" s="12">
        <f t="shared" si="2"/>
        <v>64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640</v>
      </c>
      <c r="I10" s="12">
        <f t="shared" si="2"/>
        <v>0</v>
      </c>
      <c r="J10" s="12">
        <f t="shared" si="2"/>
        <v>0</v>
      </c>
      <c r="K10" s="12">
        <f t="shared" si="2"/>
        <v>3713</v>
      </c>
      <c r="L10" s="13"/>
      <c r="M10" s="12">
        <v>0</v>
      </c>
      <c r="N10" s="12">
        <f>SUM(N4:N9)</f>
        <v>0</v>
      </c>
      <c r="O10" s="12">
        <f>SUM(O4:O9)</f>
        <v>0</v>
      </c>
    </row>
    <row r="11" spans="1:15" ht="15.75" thickBot="1"/>
    <row r="12" spans="1:15" ht="17.25" thickBot="1">
      <c r="A12" s="36" t="s">
        <v>50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2</v>
      </c>
      <c r="D14" s="17">
        <f t="shared" si="3"/>
        <v>200</v>
      </c>
    </row>
    <row r="15" spans="1:15" ht="16.5">
      <c r="A15" s="18">
        <v>50</v>
      </c>
      <c r="B15" s="15" t="s">
        <v>18</v>
      </c>
      <c r="C15" s="16">
        <v>2</v>
      </c>
      <c r="D15" s="17">
        <f t="shared" si="3"/>
        <v>100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10</v>
      </c>
      <c r="B17" s="15" t="s">
        <v>18</v>
      </c>
      <c r="C17" s="16">
        <v>12</v>
      </c>
      <c r="D17" s="17">
        <f t="shared" si="3"/>
        <v>120</v>
      </c>
    </row>
    <row r="18" spans="1:4" ht="16.5">
      <c r="A18" s="18">
        <v>5</v>
      </c>
      <c r="B18" s="15" t="s">
        <v>18</v>
      </c>
      <c r="C18" s="16">
        <v>20</v>
      </c>
      <c r="D18" s="17">
        <f t="shared" si="3"/>
        <v>100</v>
      </c>
    </row>
    <row r="19" spans="1:4" ht="16.5">
      <c r="A19" s="19" t="s">
        <v>19</v>
      </c>
      <c r="B19" s="15" t="s">
        <v>18</v>
      </c>
      <c r="C19" s="16">
        <v>6</v>
      </c>
      <c r="D19" s="17">
        <f>+C19*1</f>
        <v>6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526</v>
      </c>
    </row>
    <row r="23" spans="1:4">
      <c r="A23" t="s">
        <v>21</v>
      </c>
      <c r="D23" s="25">
        <f>638+526</f>
        <v>1164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DED7-7B89-4DED-BF56-FD975B0D8EF1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51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0</v>
      </c>
      <c r="L5" s="8"/>
      <c r="M5" s="9">
        <v>0</v>
      </c>
      <c r="N5" s="11">
        <f t="shared" si="0"/>
        <v>0</v>
      </c>
      <c r="O5" s="11">
        <f t="shared" si="1"/>
        <v>0</v>
      </c>
    </row>
    <row r="6" spans="1:15" ht="16.5">
      <c r="A6" s="33" t="s">
        <v>28</v>
      </c>
      <c r="B6" s="30">
        <v>178</v>
      </c>
      <c r="C6" s="26">
        <f>90+90+42+20+20+90+32+24+7+193+20+20+32+40+32+40+20+32+32+32+20+64</f>
        <v>992</v>
      </c>
      <c r="D6" s="9">
        <v>138</v>
      </c>
      <c r="E6" s="9">
        <v>0</v>
      </c>
      <c r="F6" s="9">
        <v>0</v>
      </c>
      <c r="G6" s="9">
        <v>0</v>
      </c>
      <c r="H6" s="9">
        <v>256</v>
      </c>
      <c r="I6" s="9">
        <v>0</v>
      </c>
      <c r="J6" s="9">
        <v>0</v>
      </c>
      <c r="K6" s="10">
        <f>SUM(B6:J6)</f>
        <v>1564</v>
      </c>
      <c r="L6" s="8"/>
      <c r="M6" s="9">
        <v>1564</v>
      </c>
      <c r="N6" s="11">
        <f t="shared" si="0"/>
        <v>0</v>
      </c>
      <c r="O6" s="11">
        <f t="shared" si="1"/>
        <v>0</v>
      </c>
    </row>
    <row r="7" spans="1:15" ht="16.5">
      <c r="A7" t="s">
        <v>22</v>
      </c>
      <c r="B7" s="30">
        <v>240</v>
      </c>
      <c r="C7" s="26">
        <f>40+48+154+64+32+24+99+60+96+102+70+70+41+20+26+32+20+27+37+80+64+32+52+32+32+32+84+66+240+25+208+139+72+62+64+32+26+7</f>
        <v>2411</v>
      </c>
      <c r="D7" s="9">
        <v>128</v>
      </c>
      <c r="E7" s="9">
        <v>0</v>
      </c>
      <c r="F7" s="9">
        <v>0</v>
      </c>
      <c r="G7" s="9">
        <v>0</v>
      </c>
      <c r="H7" s="9">
        <v>480</v>
      </c>
      <c r="I7" s="9">
        <v>0</v>
      </c>
      <c r="J7" s="9">
        <v>0</v>
      </c>
      <c r="K7" s="10">
        <f>SUM(B7:J7)</f>
        <v>3259</v>
      </c>
      <c r="L7" s="8"/>
      <c r="M7" s="9">
        <v>3259</v>
      </c>
      <c r="N7" s="11">
        <f t="shared" si="0"/>
        <v>0</v>
      </c>
      <c r="O7" s="11">
        <f t="shared" si="1"/>
        <v>0</v>
      </c>
    </row>
    <row r="8" spans="1:15" ht="16.5" hidden="1">
      <c r="A8" s="33" t="s">
        <v>26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 hidden="1">
      <c r="A9" s="33" t="s">
        <v>25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418</v>
      </c>
      <c r="C10" s="12">
        <f t="shared" si="2"/>
        <v>3403</v>
      </c>
      <c r="D10" s="12">
        <f t="shared" si="2"/>
        <v>266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736</v>
      </c>
      <c r="I10" s="12">
        <f t="shared" si="2"/>
        <v>0</v>
      </c>
      <c r="J10" s="12">
        <f t="shared" si="2"/>
        <v>0</v>
      </c>
      <c r="K10" s="12">
        <f t="shared" si="2"/>
        <v>4823</v>
      </c>
      <c r="L10" s="13"/>
      <c r="M10" s="12">
        <v>0</v>
      </c>
      <c r="N10" s="12">
        <f>SUM(N4:N9)</f>
        <v>0</v>
      </c>
      <c r="O10" s="12">
        <f>SUM(O4:O9)</f>
        <v>0</v>
      </c>
    </row>
    <row r="11" spans="1:15" ht="15.75" thickBot="1"/>
    <row r="12" spans="1:15" ht="17.25" thickBot="1">
      <c r="A12" s="36" t="s">
        <v>51</v>
      </c>
      <c r="B12" s="37"/>
      <c r="C12" s="37"/>
      <c r="D12" s="37"/>
    </row>
    <row r="13" spans="1:15" ht="17.25" thickBot="1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7.25" thickBot="1">
      <c r="A14" s="18">
        <v>100</v>
      </c>
      <c r="B14" s="15" t="s">
        <v>18</v>
      </c>
      <c r="C14" s="16">
        <v>1</v>
      </c>
      <c r="D14" s="17">
        <f t="shared" si="3"/>
        <v>100</v>
      </c>
      <c r="K14" s="36" t="s">
        <v>52</v>
      </c>
      <c r="L14" s="37"/>
      <c r="M14" s="37"/>
      <c r="N14" s="37"/>
    </row>
    <row r="15" spans="1:15" ht="16.5">
      <c r="A15" s="18">
        <v>50</v>
      </c>
      <c r="B15" s="15" t="s">
        <v>18</v>
      </c>
      <c r="C15" s="16">
        <v>5</v>
      </c>
      <c r="D15" s="17">
        <f t="shared" si="3"/>
        <v>250</v>
      </c>
      <c r="K15" s="14">
        <v>500</v>
      </c>
      <c r="L15" s="15" t="s">
        <v>18</v>
      </c>
      <c r="M15" s="16">
        <v>1</v>
      </c>
      <c r="N15" s="17">
        <f t="shared" ref="N15:N20" si="4">K15*M15</f>
        <v>500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  <c r="K16" s="18">
        <v>100</v>
      </c>
      <c r="L16" s="15" t="s">
        <v>18</v>
      </c>
      <c r="M16" s="16">
        <v>6</v>
      </c>
      <c r="N16" s="17">
        <f t="shared" si="4"/>
        <v>600</v>
      </c>
    </row>
    <row r="17" spans="1:14" ht="16.5">
      <c r="A17" s="18">
        <v>10</v>
      </c>
      <c r="B17" s="15" t="s">
        <v>18</v>
      </c>
      <c r="C17" s="16">
        <v>2</v>
      </c>
      <c r="D17" s="17">
        <f t="shared" si="3"/>
        <v>20</v>
      </c>
      <c r="K17" s="18">
        <v>50</v>
      </c>
      <c r="L17" s="15" t="s">
        <v>18</v>
      </c>
      <c r="M17" s="16">
        <v>9</v>
      </c>
      <c r="N17" s="17">
        <f t="shared" si="4"/>
        <v>450</v>
      </c>
    </row>
    <row r="18" spans="1:14" ht="16.5">
      <c r="A18" s="18">
        <v>5</v>
      </c>
      <c r="B18" s="15" t="s">
        <v>18</v>
      </c>
      <c r="C18" s="16">
        <v>9</v>
      </c>
      <c r="D18" s="17">
        <f t="shared" si="3"/>
        <v>45</v>
      </c>
      <c r="K18" s="18">
        <v>20</v>
      </c>
      <c r="L18" s="15" t="s">
        <v>18</v>
      </c>
      <c r="M18" s="16">
        <v>0</v>
      </c>
      <c r="N18" s="17">
        <f t="shared" si="4"/>
        <v>0</v>
      </c>
    </row>
    <row r="19" spans="1:14" ht="16.5">
      <c r="A19" s="19" t="s">
        <v>19</v>
      </c>
      <c r="B19" s="15" t="s">
        <v>18</v>
      </c>
      <c r="C19" s="16">
        <v>3</v>
      </c>
      <c r="D19" s="17">
        <f>+C19*1</f>
        <v>3</v>
      </c>
      <c r="K19" s="18">
        <v>10</v>
      </c>
      <c r="L19" s="15" t="s">
        <v>18</v>
      </c>
      <c r="M19" s="16">
        <v>1</v>
      </c>
      <c r="N19" s="17">
        <f t="shared" si="4"/>
        <v>10</v>
      </c>
    </row>
    <row r="20" spans="1:14" ht="16.5">
      <c r="A20" s="19"/>
      <c r="B20" s="20"/>
      <c r="C20" s="16">
        <v>0</v>
      </c>
      <c r="D20" s="17">
        <f>+C20*0.025</f>
        <v>0</v>
      </c>
      <c r="K20" s="18">
        <v>5</v>
      </c>
      <c r="L20" s="15" t="s">
        <v>18</v>
      </c>
      <c r="M20" s="16">
        <v>4</v>
      </c>
      <c r="N20" s="17">
        <f t="shared" si="4"/>
        <v>20</v>
      </c>
    </row>
    <row r="21" spans="1:14" ht="16.5">
      <c r="A21" s="21" t="s">
        <v>20</v>
      </c>
      <c r="B21" s="22"/>
      <c r="C21" s="23">
        <v>0</v>
      </c>
      <c r="D21" s="24">
        <f>SUM(D13:D20)</f>
        <v>418</v>
      </c>
      <c r="K21" s="19" t="s">
        <v>19</v>
      </c>
      <c r="L21" s="15" t="s">
        <v>18</v>
      </c>
      <c r="M21" s="16">
        <v>2</v>
      </c>
      <c r="N21" s="17">
        <f>+M21*1</f>
        <v>2</v>
      </c>
    </row>
    <row r="22" spans="1:14" ht="16.5">
      <c r="K22" s="19"/>
      <c r="L22" s="20"/>
      <c r="M22" s="16">
        <v>0</v>
      </c>
      <c r="N22" s="17">
        <f>+M22*0.025</f>
        <v>0</v>
      </c>
    </row>
    <row r="23" spans="1:14" ht="16.5">
      <c r="A23" t="s">
        <v>21</v>
      </c>
      <c r="D23" s="25">
        <f>1164+418</f>
        <v>1582</v>
      </c>
      <c r="K23" s="21" t="s">
        <v>20</v>
      </c>
      <c r="L23" s="22"/>
      <c r="M23" s="23">
        <v>0</v>
      </c>
      <c r="N23" s="24">
        <f>SUM(N15:N22)</f>
        <v>1582</v>
      </c>
    </row>
    <row r="24" spans="1:14">
      <c r="D24" t="s">
        <v>35</v>
      </c>
    </row>
  </sheetData>
  <mergeCells count="3">
    <mergeCell ref="A2:O2"/>
    <mergeCell ref="A12:D12"/>
    <mergeCell ref="K14:N1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D3E8-F13F-4800-B28F-63F9DD622909}">
  <dimension ref="A1:O24"/>
  <sheetViews>
    <sheetView workbookViewId="0">
      <selection activeCell="H26"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53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0</v>
      </c>
      <c r="L5" s="8"/>
      <c r="M5" s="9">
        <v>0</v>
      </c>
      <c r="N5" s="11">
        <f t="shared" si="0"/>
        <v>0</v>
      </c>
      <c r="O5" s="11">
        <f t="shared" si="1"/>
        <v>0</v>
      </c>
    </row>
    <row r="6" spans="1:15" ht="16.5">
      <c r="A6" t="s">
        <v>23</v>
      </c>
      <c r="B6" s="30">
        <v>299</v>
      </c>
      <c r="C6" s="26">
        <f>32+90+102+64+64+20+128+32+20+64+2+32+26+121+50+8+20+32+32+7+64+47</f>
        <v>1057</v>
      </c>
      <c r="D6" s="9">
        <v>0</v>
      </c>
      <c r="E6" s="9">
        <v>0</v>
      </c>
      <c r="F6" s="9">
        <v>0</v>
      </c>
      <c r="G6" s="9">
        <v>0</v>
      </c>
      <c r="H6" s="9">
        <v>448</v>
      </c>
      <c r="I6" s="9">
        <v>0</v>
      </c>
      <c r="J6" s="9">
        <v>0</v>
      </c>
      <c r="K6" s="10">
        <f>SUM(B6:J6)</f>
        <v>1804</v>
      </c>
      <c r="L6" s="8"/>
      <c r="M6" s="9">
        <v>1806</v>
      </c>
      <c r="N6" s="11">
        <f t="shared" si="0"/>
        <v>0</v>
      </c>
      <c r="O6" s="11">
        <f t="shared" si="1"/>
        <v>2</v>
      </c>
    </row>
    <row r="7" spans="1:15" ht="16.5">
      <c r="A7" t="s">
        <v>25</v>
      </c>
      <c r="B7" s="30">
        <v>161</v>
      </c>
      <c r="C7" s="26">
        <f>16+16+16+21+24+21+22+24+32+64+12+20+20+32+96+28+15+35+44+84+32+67+70+64+26+32+32+32+87</f>
        <v>1084</v>
      </c>
      <c r="D7" s="9">
        <v>160</v>
      </c>
      <c r="E7" s="9">
        <v>0</v>
      </c>
      <c r="F7" s="9">
        <v>0</v>
      </c>
      <c r="G7" s="9">
        <v>0</v>
      </c>
      <c r="H7" s="9">
        <v>320</v>
      </c>
      <c r="I7" s="9">
        <v>49</v>
      </c>
      <c r="J7" s="9">
        <v>0</v>
      </c>
      <c r="K7" s="10">
        <f>SUM(B7:J7)</f>
        <v>1774</v>
      </c>
      <c r="L7" s="8"/>
      <c r="M7" s="9">
        <v>1774</v>
      </c>
      <c r="N7" s="11">
        <f t="shared" si="0"/>
        <v>0</v>
      </c>
      <c r="O7" s="11">
        <f t="shared" si="1"/>
        <v>0</v>
      </c>
    </row>
    <row r="8" spans="1:15" ht="16.5" hidden="1">
      <c r="A8" s="33" t="s">
        <v>26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>
      <c r="A9" t="s">
        <v>26</v>
      </c>
      <c r="B9" s="30">
        <v>239</v>
      </c>
      <c r="C9" s="26">
        <f>32+9+32+20+20+24+173+20+20+20+52+128+74+32+26</f>
        <v>682</v>
      </c>
      <c r="D9" s="9">
        <v>0</v>
      </c>
      <c r="E9" s="9">
        <v>0</v>
      </c>
      <c r="F9" s="9">
        <v>0</v>
      </c>
      <c r="G9" s="9">
        <v>0</v>
      </c>
      <c r="H9" s="9">
        <v>128</v>
      </c>
      <c r="I9" s="9">
        <v>0</v>
      </c>
      <c r="J9" s="9">
        <v>0</v>
      </c>
      <c r="K9" s="10">
        <f>SUM(B9:J9)</f>
        <v>1049</v>
      </c>
      <c r="L9" s="8"/>
      <c r="M9" s="9">
        <v>1049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699</v>
      </c>
      <c r="C10" s="12">
        <f t="shared" si="2"/>
        <v>2823</v>
      </c>
      <c r="D10" s="12">
        <f t="shared" si="2"/>
        <v>160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896</v>
      </c>
      <c r="I10" s="12">
        <f t="shared" si="2"/>
        <v>49</v>
      </c>
      <c r="J10" s="12">
        <f t="shared" si="2"/>
        <v>0</v>
      </c>
      <c r="K10" s="12">
        <f t="shared" si="2"/>
        <v>4627</v>
      </c>
      <c r="L10" s="13"/>
      <c r="M10" s="12">
        <v>0</v>
      </c>
      <c r="N10" s="12">
        <f>SUM(N4:N9)</f>
        <v>0</v>
      </c>
      <c r="O10" s="12">
        <f>SUM(O4:O9)</f>
        <v>2</v>
      </c>
    </row>
    <row r="11" spans="1:15" ht="15.75" thickBot="1"/>
    <row r="12" spans="1:15" ht="17.25" thickBot="1">
      <c r="A12" s="36" t="s">
        <v>53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5</v>
      </c>
      <c r="D14" s="17">
        <f t="shared" si="3"/>
        <v>500</v>
      </c>
    </row>
    <row r="15" spans="1:15" ht="16.5">
      <c r="A15" s="18">
        <v>50</v>
      </c>
      <c r="B15" s="15" t="s">
        <v>18</v>
      </c>
      <c r="C15" s="16">
        <v>2</v>
      </c>
      <c r="D15" s="17">
        <f t="shared" si="3"/>
        <v>100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10</v>
      </c>
      <c r="B17" s="15" t="s">
        <v>18</v>
      </c>
      <c r="C17" s="16">
        <v>4</v>
      </c>
      <c r="D17" s="17">
        <f t="shared" si="3"/>
        <v>40</v>
      </c>
    </row>
    <row r="18" spans="1:4" ht="16.5">
      <c r="A18" s="18">
        <v>5</v>
      </c>
      <c r="B18" s="15" t="s">
        <v>18</v>
      </c>
      <c r="C18" s="16">
        <v>11</v>
      </c>
      <c r="D18" s="17">
        <f t="shared" si="3"/>
        <v>55</v>
      </c>
    </row>
    <row r="19" spans="1:4" ht="16.5">
      <c r="A19" s="19" t="s">
        <v>19</v>
      </c>
      <c r="B19" s="15" t="s">
        <v>18</v>
      </c>
      <c r="C19" s="16">
        <v>4</v>
      </c>
      <c r="D19" s="17">
        <f>+C19*1</f>
        <v>4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699</v>
      </c>
    </row>
    <row r="23" spans="1:4">
      <c r="A23" t="s">
        <v>21</v>
      </c>
      <c r="D23" s="25">
        <f>1582+699</f>
        <v>2281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54AC-0E75-467C-A8C9-02C3D6BBE70A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54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126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126</v>
      </c>
      <c r="L5" s="8"/>
      <c r="M5" s="9">
        <v>126</v>
      </c>
      <c r="N5" s="11">
        <f t="shared" si="0"/>
        <v>0</v>
      </c>
      <c r="O5" s="11">
        <f t="shared" si="1"/>
        <v>0</v>
      </c>
    </row>
    <row r="6" spans="1:15" ht="16.5">
      <c r="A6" t="s">
        <v>28</v>
      </c>
      <c r="B6" s="30">
        <v>403</v>
      </c>
      <c r="C6" s="26">
        <f>20+40+7+95+67+26+54+32+40+202+37.5+37.5+55+32+24+52+70+40+141+81+96+158+15+15+62+20+96+37+69.5+45+7+22+40+102+153+69.5</f>
        <v>2160</v>
      </c>
      <c r="D6" s="9">
        <v>244</v>
      </c>
      <c r="E6" s="9">
        <v>0</v>
      </c>
      <c r="F6" s="9">
        <v>0</v>
      </c>
      <c r="G6" s="9">
        <v>0</v>
      </c>
      <c r="H6" s="9">
        <v>416</v>
      </c>
      <c r="I6" s="9">
        <v>0</v>
      </c>
      <c r="J6" s="9">
        <v>0</v>
      </c>
      <c r="K6" s="10">
        <f>SUM(B6:J6)</f>
        <v>3223</v>
      </c>
      <c r="L6" s="8"/>
      <c r="M6" s="9">
        <v>3223</v>
      </c>
      <c r="N6" s="11">
        <f t="shared" si="0"/>
        <v>0</v>
      </c>
      <c r="O6" s="11">
        <f t="shared" si="1"/>
        <v>0</v>
      </c>
    </row>
    <row r="7" spans="1:15" ht="16.5">
      <c r="A7" t="s">
        <v>22</v>
      </c>
      <c r="B7" s="30">
        <v>20</v>
      </c>
      <c r="C7" s="26">
        <f>32+32+104+32+32+64+64+32+14</f>
        <v>406</v>
      </c>
      <c r="D7" s="9">
        <v>0</v>
      </c>
      <c r="E7" s="9">
        <v>0</v>
      </c>
      <c r="F7" s="9">
        <v>0</v>
      </c>
      <c r="G7" s="9">
        <v>0</v>
      </c>
      <c r="H7" s="9">
        <v>224</v>
      </c>
      <c r="I7" s="9">
        <v>0</v>
      </c>
      <c r="J7" s="9">
        <v>0</v>
      </c>
      <c r="K7" s="10">
        <f>SUM(B7:J7)</f>
        <v>650</v>
      </c>
      <c r="L7" s="8"/>
      <c r="M7" s="9">
        <v>650</v>
      </c>
      <c r="N7" s="11">
        <f t="shared" si="0"/>
        <v>0</v>
      </c>
      <c r="O7" s="11">
        <f t="shared" si="1"/>
        <v>0</v>
      </c>
    </row>
    <row r="8" spans="1:15" ht="16.5" hidden="1">
      <c r="A8" s="33" t="s">
        <v>26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>
      <c r="A9" t="s">
        <v>31</v>
      </c>
      <c r="B9" s="30">
        <v>334</v>
      </c>
      <c r="C9" s="26">
        <f>105+48+52+26+15+12+20+20+32+119+20+50+20+20+96+32+20+22+20+32+64+22</f>
        <v>867</v>
      </c>
      <c r="D9" s="9">
        <v>256</v>
      </c>
      <c r="E9" s="9">
        <v>0</v>
      </c>
      <c r="F9" s="9">
        <v>0</v>
      </c>
      <c r="G9" s="9">
        <v>0</v>
      </c>
      <c r="H9" s="9">
        <v>352</v>
      </c>
      <c r="I9" s="9">
        <v>0</v>
      </c>
      <c r="J9" s="9">
        <v>0</v>
      </c>
      <c r="K9" s="10">
        <f>SUM(B9:J9)</f>
        <v>1809</v>
      </c>
      <c r="L9" s="8"/>
      <c r="M9" s="9">
        <v>1809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757</v>
      </c>
      <c r="C10" s="12">
        <f t="shared" si="2"/>
        <v>3433</v>
      </c>
      <c r="D10" s="12">
        <f t="shared" si="2"/>
        <v>626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992</v>
      </c>
      <c r="I10" s="12">
        <f t="shared" si="2"/>
        <v>0</v>
      </c>
      <c r="J10" s="12">
        <f t="shared" si="2"/>
        <v>0</v>
      </c>
      <c r="K10" s="12">
        <f t="shared" si="2"/>
        <v>5808</v>
      </c>
      <c r="L10" s="13"/>
      <c r="M10" s="12">
        <v>0</v>
      </c>
      <c r="N10" s="12">
        <f>SUM(N4:N9)</f>
        <v>0</v>
      </c>
      <c r="O10" s="12">
        <f>SUM(O4:O9)</f>
        <v>0</v>
      </c>
    </row>
    <row r="11" spans="1:15" ht="15.75" thickBot="1">
      <c r="A11" s="34" t="s">
        <v>34</v>
      </c>
    </row>
    <row r="12" spans="1:15" ht="17.25" thickBot="1">
      <c r="A12" s="36" t="s">
        <v>54</v>
      </c>
      <c r="B12" s="37"/>
      <c r="C12" s="37"/>
      <c r="D12" s="37"/>
      <c r="K12" s="36" t="s">
        <v>30</v>
      </c>
      <c r="L12" s="37"/>
      <c r="M12" s="37"/>
      <c r="N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  <c r="K13" s="14">
        <v>500</v>
      </c>
      <c r="L13" s="15" t="s">
        <v>18</v>
      </c>
      <c r="M13" s="16">
        <v>2</v>
      </c>
      <c r="N13" s="17">
        <f t="shared" ref="N13:N18" si="4">K13*M13</f>
        <v>1000</v>
      </c>
    </row>
    <row r="14" spans="1:15" ht="16.5">
      <c r="A14" s="18">
        <v>100</v>
      </c>
      <c r="B14" s="15" t="s">
        <v>18</v>
      </c>
      <c r="C14" s="16">
        <v>6</v>
      </c>
      <c r="D14" s="17">
        <f t="shared" si="3"/>
        <v>600</v>
      </c>
      <c r="K14" s="18">
        <v>100</v>
      </c>
      <c r="L14" s="15" t="s">
        <v>18</v>
      </c>
      <c r="M14" s="16">
        <v>19</v>
      </c>
      <c r="N14" s="17">
        <f t="shared" si="4"/>
        <v>1900</v>
      </c>
    </row>
    <row r="15" spans="1:15" ht="16.5">
      <c r="A15" s="18">
        <v>50</v>
      </c>
      <c r="B15" s="15" t="s">
        <v>18</v>
      </c>
      <c r="C15" s="16">
        <v>1</v>
      </c>
      <c r="D15" s="17">
        <f t="shared" si="3"/>
        <v>50</v>
      </c>
      <c r="K15" s="18">
        <v>50</v>
      </c>
      <c r="L15" s="15" t="s">
        <v>18</v>
      </c>
      <c r="M15" s="16">
        <v>2</v>
      </c>
      <c r="N15" s="17">
        <f t="shared" si="4"/>
        <v>100</v>
      </c>
    </row>
    <row r="16" spans="1:15" ht="16.5">
      <c r="A16" s="18">
        <v>20</v>
      </c>
      <c r="B16" s="15" t="s">
        <v>18</v>
      </c>
      <c r="C16" s="16">
        <v>1</v>
      </c>
      <c r="D16" s="17">
        <f t="shared" si="3"/>
        <v>20</v>
      </c>
      <c r="K16" s="18">
        <v>20</v>
      </c>
      <c r="L16" s="15" t="s">
        <v>18</v>
      </c>
      <c r="M16" s="16">
        <v>0</v>
      </c>
      <c r="N16" s="17">
        <f t="shared" si="4"/>
        <v>0</v>
      </c>
    </row>
    <row r="17" spans="1:14" ht="16.5">
      <c r="A17" s="18">
        <v>10</v>
      </c>
      <c r="B17" s="15" t="s">
        <v>18</v>
      </c>
      <c r="C17" s="16">
        <v>2</v>
      </c>
      <c r="D17" s="17">
        <f t="shared" si="3"/>
        <v>20</v>
      </c>
      <c r="K17" s="18">
        <v>10</v>
      </c>
      <c r="L17" s="15" t="s">
        <v>18</v>
      </c>
      <c r="M17" s="16">
        <v>0</v>
      </c>
      <c r="N17" s="17">
        <f t="shared" si="4"/>
        <v>0</v>
      </c>
    </row>
    <row r="18" spans="1:14" ht="16.5">
      <c r="A18" s="18">
        <v>5</v>
      </c>
      <c r="B18" s="15" t="s">
        <v>18</v>
      </c>
      <c r="C18" s="16">
        <v>12</v>
      </c>
      <c r="D18" s="17">
        <f t="shared" si="3"/>
        <v>60</v>
      </c>
      <c r="K18" s="18">
        <v>5</v>
      </c>
      <c r="L18" s="15" t="s">
        <v>18</v>
      </c>
      <c r="M18" s="16">
        <v>7</v>
      </c>
      <c r="N18" s="17">
        <f t="shared" si="4"/>
        <v>35</v>
      </c>
    </row>
    <row r="19" spans="1:14" ht="16.5">
      <c r="A19" s="19" t="s">
        <v>19</v>
      </c>
      <c r="B19" s="15" t="s">
        <v>18</v>
      </c>
      <c r="C19" s="16">
        <v>7</v>
      </c>
      <c r="D19" s="17">
        <f>+C19*1</f>
        <v>7</v>
      </c>
      <c r="K19" s="19" t="s">
        <v>19</v>
      </c>
      <c r="L19" s="15" t="s">
        <v>18</v>
      </c>
      <c r="M19" s="16">
        <v>3</v>
      </c>
      <c r="N19" s="17">
        <f>+M19*1</f>
        <v>3</v>
      </c>
    </row>
    <row r="20" spans="1:14" ht="16.5">
      <c r="A20" s="19"/>
      <c r="B20" s="20"/>
      <c r="C20" s="16">
        <v>0</v>
      </c>
      <c r="D20" s="17">
        <f>+C20*0.025</f>
        <v>0</v>
      </c>
      <c r="K20" s="19"/>
      <c r="L20" s="20"/>
      <c r="M20" s="16">
        <v>0</v>
      </c>
      <c r="N20" s="17">
        <f>+M20*0.025</f>
        <v>0</v>
      </c>
    </row>
    <row r="21" spans="1:14" ht="16.5">
      <c r="A21" s="21" t="s">
        <v>20</v>
      </c>
      <c r="B21" s="22"/>
      <c r="C21" s="23">
        <v>0</v>
      </c>
      <c r="D21" s="24">
        <f>SUM(D13:D20)</f>
        <v>757</v>
      </c>
      <c r="K21" s="21" t="s">
        <v>20</v>
      </c>
      <c r="L21" s="22"/>
      <c r="M21" s="23">
        <v>0</v>
      </c>
      <c r="N21" s="24">
        <f>SUM(N13:N20)</f>
        <v>3038</v>
      </c>
    </row>
    <row r="23" spans="1:14">
      <c r="A23" t="s">
        <v>21</v>
      </c>
      <c r="D23" s="25">
        <f>2281+757</f>
        <v>3038</v>
      </c>
    </row>
    <row r="24" spans="1:14">
      <c r="D24" t="s">
        <v>35</v>
      </c>
    </row>
  </sheetData>
  <mergeCells count="3">
    <mergeCell ref="A2:O2"/>
    <mergeCell ref="A12:D12"/>
    <mergeCell ref="K12:N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B348-5A59-4CB5-A2FD-434BEFF8892F}">
  <dimension ref="A1:O24"/>
  <sheetViews>
    <sheetView workbookViewId="0">
      <selection activeCell="J23" sqref="J23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55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64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64</v>
      </c>
      <c r="L5" s="8"/>
      <c r="M5" s="9">
        <v>64</v>
      </c>
      <c r="N5" s="11">
        <f t="shared" si="0"/>
        <v>0</v>
      </c>
      <c r="O5" s="11">
        <f t="shared" si="1"/>
        <v>0</v>
      </c>
    </row>
    <row r="6" spans="1:15" ht="16.5">
      <c r="A6" t="s">
        <v>23</v>
      </c>
      <c r="B6" s="30">
        <v>65</v>
      </c>
      <c r="C6" s="26">
        <f>66+33+171+60+56+45+40+64+32+105+179+10+30</f>
        <v>891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224</v>
      </c>
      <c r="J6" s="9">
        <v>0</v>
      </c>
      <c r="K6" s="10">
        <f>SUM(B6:J6)</f>
        <v>1180</v>
      </c>
      <c r="L6" s="8"/>
      <c r="M6" s="9">
        <v>1180</v>
      </c>
      <c r="N6" s="11">
        <f t="shared" si="0"/>
        <v>0</v>
      </c>
      <c r="O6" s="11">
        <f t="shared" si="1"/>
        <v>0</v>
      </c>
    </row>
    <row r="7" spans="1:15" ht="16.5">
      <c r="A7" t="s">
        <v>25</v>
      </c>
      <c r="B7" s="30">
        <v>124</v>
      </c>
      <c r="C7" s="26">
        <f>20+32+20+48+32+128+96+2+2+40</f>
        <v>420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288</v>
      </c>
      <c r="J7" s="9">
        <v>0</v>
      </c>
      <c r="K7" s="10">
        <f>SUM(B7:J7)</f>
        <v>832</v>
      </c>
      <c r="L7" s="8"/>
      <c r="M7" s="9">
        <v>832</v>
      </c>
      <c r="N7" s="11">
        <f t="shared" si="0"/>
        <v>0</v>
      </c>
      <c r="O7" s="11">
        <f t="shared" si="1"/>
        <v>0</v>
      </c>
    </row>
    <row r="8" spans="1:15" ht="16.5" hidden="1">
      <c r="A8" s="33" t="s">
        <v>26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>
      <c r="A9" t="s">
        <v>26</v>
      </c>
      <c r="B9" s="30">
        <v>128</v>
      </c>
      <c r="C9" s="26">
        <f>134+26+96+20+20+26+20+52+24+24+20+24+64+26+25+20+35+170+7+200+7</f>
        <v>1040</v>
      </c>
      <c r="D9" s="9">
        <v>64</v>
      </c>
      <c r="E9" s="9">
        <v>0</v>
      </c>
      <c r="F9" s="9">
        <v>0</v>
      </c>
      <c r="G9" s="9">
        <v>0</v>
      </c>
      <c r="H9" s="9">
        <v>288</v>
      </c>
      <c r="I9" s="9">
        <v>42</v>
      </c>
      <c r="J9" s="9">
        <v>0</v>
      </c>
      <c r="K9" s="10">
        <f>SUM(B9:J9)</f>
        <v>1562</v>
      </c>
      <c r="L9" s="8"/>
      <c r="M9" s="9">
        <v>1562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317</v>
      </c>
      <c r="C10" s="12">
        <f t="shared" si="2"/>
        <v>2351</v>
      </c>
      <c r="D10" s="12">
        <f t="shared" si="2"/>
        <v>128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288</v>
      </c>
      <c r="I10" s="12">
        <f t="shared" si="2"/>
        <v>554</v>
      </c>
      <c r="J10" s="12">
        <f t="shared" si="2"/>
        <v>0</v>
      </c>
      <c r="K10" s="12">
        <f t="shared" si="2"/>
        <v>3638</v>
      </c>
      <c r="L10" s="13"/>
      <c r="M10" s="12">
        <v>0</v>
      </c>
      <c r="N10" s="12">
        <f>SUM(N4:N9)</f>
        <v>0</v>
      </c>
      <c r="O10" s="12">
        <f>SUM(O4:O9)</f>
        <v>0</v>
      </c>
    </row>
    <row r="11" spans="1:15" ht="15.75" thickBot="1"/>
    <row r="12" spans="1:15" ht="17.25" thickBot="1">
      <c r="A12" s="36" t="s">
        <v>55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2</v>
      </c>
      <c r="D14" s="17">
        <f t="shared" si="3"/>
        <v>200</v>
      </c>
    </row>
    <row r="15" spans="1:15" ht="16.5">
      <c r="A15" s="18">
        <v>50</v>
      </c>
      <c r="B15" s="15" t="s">
        <v>18</v>
      </c>
      <c r="C15" s="16">
        <v>1</v>
      </c>
      <c r="D15" s="17">
        <f t="shared" si="3"/>
        <v>50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10</v>
      </c>
      <c r="B17" s="15" t="s">
        <v>18</v>
      </c>
      <c r="C17" s="16">
        <v>2</v>
      </c>
      <c r="D17" s="17">
        <f t="shared" si="3"/>
        <v>20</v>
      </c>
    </row>
    <row r="18" spans="1:4" ht="16.5">
      <c r="A18" s="18">
        <v>5</v>
      </c>
      <c r="B18" s="15" t="s">
        <v>18</v>
      </c>
      <c r="C18" s="16">
        <v>4</v>
      </c>
      <c r="D18" s="17">
        <f t="shared" si="3"/>
        <v>20</v>
      </c>
    </row>
    <row r="19" spans="1:4" ht="16.5">
      <c r="A19" s="19" t="s">
        <v>19</v>
      </c>
      <c r="B19" s="15" t="s">
        <v>18</v>
      </c>
      <c r="C19" s="16">
        <v>27</v>
      </c>
      <c r="D19" s="17">
        <f>+C19*1</f>
        <v>27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317</v>
      </c>
    </row>
    <row r="23" spans="1:4">
      <c r="A23" t="s">
        <v>21</v>
      </c>
      <c r="D23" s="25">
        <v>317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3F0F-DFFF-43BA-A382-34D89DFC310B}">
  <dimension ref="A1:O24"/>
  <sheetViews>
    <sheetView workbookViewId="0">
      <selection sqref="A1:XFD1048576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56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202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202</v>
      </c>
      <c r="L5" s="8"/>
      <c r="M5" s="9">
        <v>202</v>
      </c>
      <c r="N5" s="11">
        <f t="shared" si="0"/>
        <v>0</v>
      </c>
      <c r="O5" s="11">
        <f t="shared" si="1"/>
        <v>0</v>
      </c>
    </row>
    <row r="6" spans="1:15" ht="16.5">
      <c r="A6" t="s">
        <v>28</v>
      </c>
      <c r="B6" s="30">
        <v>541</v>
      </c>
      <c r="C6" s="26">
        <f>64+67+26+16+16+32+66+237+72+64+16+16+16+20+24+31+26+42+150+56+24+32+25+64+64+241+42+64+14+40+66+24+20</f>
        <v>1777</v>
      </c>
      <c r="D6" s="9">
        <v>0</v>
      </c>
      <c r="E6" s="9">
        <v>200</v>
      </c>
      <c r="F6" s="9">
        <v>0</v>
      </c>
      <c r="G6" s="9">
        <v>0</v>
      </c>
      <c r="H6" s="9">
        <v>544</v>
      </c>
      <c r="I6" s="9">
        <v>49</v>
      </c>
      <c r="J6" s="9">
        <v>0</v>
      </c>
      <c r="K6" s="10">
        <f>SUM(B6:J6)</f>
        <v>3111</v>
      </c>
      <c r="L6" s="8"/>
      <c r="M6" s="9">
        <v>3111</v>
      </c>
      <c r="N6" s="11">
        <f t="shared" si="0"/>
        <v>0</v>
      </c>
      <c r="O6" s="11">
        <f t="shared" si="1"/>
        <v>0</v>
      </c>
    </row>
    <row r="7" spans="1:15" ht="16.5">
      <c r="A7" t="s">
        <v>23</v>
      </c>
      <c r="B7" s="30">
        <v>65</v>
      </c>
      <c r="C7" s="26">
        <f>25+32+80+32+116+20+96+52+96+26+20+32</f>
        <v>627</v>
      </c>
      <c r="D7" s="9">
        <v>0</v>
      </c>
      <c r="E7" s="9">
        <v>0</v>
      </c>
      <c r="F7" s="9">
        <v>0</v>
      </c>
      <c r="G7" s="9">
        <v>0</v>
      </c>
      <c r="H7" s="9">
        <v>192</v>
      </c>
      <c r="I7" s="9">
        <v>0</v>
      </c>
      <c r="J7" s="9">
        <v>0</v>
      </c>
      <c r="K7" s="10">
        <f>SUM(B7:J7)</f>
        <v>884</v>
      </c>
      <c r="L7" s="8"/>
      <c r="M7" s="9">
        <v>886</v>
      </c>
      <c r="N7" s="11">
        <f t="shared" si="0"/>
        <v>0</v>
      </c>
      <c r="O7" s="11">
        <f t="shared" si="1"/>
        <v>2</v>
      </c>
    </row>
    <row r="8" spans="1:15" ht="16.5" hidden="1">
      <c r="A8" s="33" t="s">
        <v>26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 hidden="1">
      <c r="A9" t="s">
        <v>26</v>
      </c>
      <c r="B9" s="30">
        <v>0</v>
      </c>
      <c r="C9" s="26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>
        <f>SUM(B9:J9)</f>
        <v>0</v>
      </c>
      <c r="L9" s="8"/>
      <c r="M9" s="9">
        <v>0</v>
      </c>
      <c r="N9" s="11">
        <f t="shared" si="0"/>
        <v>0</v>
      </c>
      <c r="O9" s="11">
        <f t="shared" si="1"/>
        <v>0</v>
      </c>
    </row>
    <row r="10" spans="1:15" ht="16.5">
      <c r="A10" s="28"/>
      <c r="B10" s="32">
        <f t="shared" ref="B10:K10" si="2">SUM(B4:B9)</f>
        <v>606</v>
      </c>
      <c r="C10" s="12">
        <f t="shared" si="2"/>
        <v>2404</v>
      </c>
      <c r="D10" s="12">
        <f t="shared" si="2"/>
        <v>202</v>
      </c>
      <c r="E10" s="12">
        <f t="shared" si="2"/>
        <v>200</v>
      </c>
      <c r="F10" s="12">
        <f t="shared" si="2"/>
        <v>0</v>
      </c>
      <c r="G10" s="12">
        <f t="shared" si="2"/>
        <v>0</v>
      </c>
      <c r="H10" s="12">
        <f t="shared" si="2"/>
        <v>736</v>
      </c>
      <c r="I10" s="12">
        <f t="shared" si="2"/>
        <v>49</v>
      </c>
      <c r="J10" s="12">
        <f t="shared" si="2"/>
        <v>0</v>
      </c>
      <c r="K10" s="12">
        <f t="shared" si="2"/>
        <v>4197</v>
      </c>
      <c r="L10" s="13"/>
      <c r="M10" s="12">
        <v>0</v>
      </c>
      <c r="N10" s="12">
        <f>SUM(N4:N9)</f>
        <v>0</v>
      </c>
      <c r="O10" s="12">
        <f>SUM(O4:O9)</f>
        <v>2</v>
      </c>
    </row>
    <row r="11" spans="1:15" ht="15.75" thickBot="1"/>
    <row r="12" spans="1:15" ht="17.25" thickBot="1">
      <c r="A12" s="36" t="s">
        <v>56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1</v>
      </c>
      <c r="D13" s="17">
        <f t="shared" ref="D13:D18" si="3">A13*C13</f>
        <v>500</v>
      </c>
    </row>
    <row r="14" spans="1:15" ht="16.5">
      <c r="A14" s="18">
        <v>100</v>
      </c>
      <c r="B14" s="15" t="s">
        <v>18</v>
      </c>
      <c r="C14" s="16">
        <v>0</v>
      </c>
      <c r="D14" s="17">
        <f t="shared" si="3"/>
        <v>0</v>
      </c>
    </row>
    <row r="15" spans="1:15" ht="16.5">
      <c r="A15" s="18">
        <v>50</v>
      </c>
      <c r="B15" s="15" t="s">
        <v>18</v>
      </c>
      <c r="C15" s="16">
        <v>1</v>
      </c>
      <c r="D15" s="17">
        <f t="shared" si="3"/>
        <v>50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10</v>
      </c>
      <c r="B17" s="15" t="s">
        <v>18</v>
      </c>
      <c r="C17" s="16">
        <v>1</v>
      </c>
      <c r="D17" s="17">
        <f t="shared" si="3"/>
        <v>10</v>
      </c>
    </row>
    <row r="18" spans="1:4" ht="16.5">
      <c r="A18" s="18">
        <v>5</v>
      </c>
      <c r="B18" s="15" t="s">
        <v>18</v>
      </c>
      <c r="C18" s="16">
        <v>7</v>
      </c>
      <c r="D18" s="17">
        <f t="shared" si="3"/>
        <v>35</v>
      </c>
    </row>
    <row r="19" spans="1:4" ht="16.5">
      <c r="A19" s="19" t="s">
        <v>19</v>
      </c>
      <c r="B19" s="15" t="s">
        <v>18</v>
      </c>
      <c r="C19" s="16">
        <v>11</v>
      </c>
      <c r="D19" s="17">
        <f>+C19*1</f>
        <v>11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606</v>
      </c>
    </row>
    <row r="23" spans="1:4">
      <c r="A23" t="s">
        <v>21</v>
      </c>
      <c r="D23" s="25">
        <f>317+606</f>
        <v>923</v>
      </c>
    </row>
    <row r="24" spans="1:4">
      <c r="D24" t="s">
        <v>35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B12F-0F56-4B0E-89D8-0B51D39B223C}">
  <dimension ref="A1:O23"/>
  <sheetViews>
    <sheetView tabSelected="1" workbookViewId="0">
      <selection activeCell="G18" sqref="G18"/>
    </sheetView>
  </sheetViews>
  <sheetFormatPr defaultRowHeight="15"/>
  <cols>
    <col min="1" max="1" width="25.140625" bestFit="1" customWidth="1"/>
    <col min="3" max="3" width="10.42578125" bestFit="1" customWidth="1"/>
    <col min="4" max="4" width="9.85546875" customWidth="1"/>
    <col min="8" max="8" width="10" customWidth="1"/>
    <col min="10" max="10" width="13" customWidth="1"/>
    <col min="11" max="11" width="20.140625" bestFit="1" customWidth="1"/>
    <col min="12" max="12" width="10.85546875" customWidth="1"/>
    <col min="13" max="13" width="9.42578125" bestFit="1" customWidth="1"/>
    <col min="14" max="14" width="12" customWidth="1"/>
  </cols>
  <sheetData>
    <row r="1" spans="1:15" ht="16.5">
      <c r="A1" s="1" t="s">
        <v>57</v>
      </c>
      <c r="B1" s="2"/>
      <c r="H1" s="3"/>
      <c r="N1" s="4" t="s">
        <v>0</v>
      </c>
    </row>
    <row r="2" spans="1:15" ht="16.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49.5">
      <c r="A3" s="27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6" t="s">
        <v>8</v>
      </c>
      <c r="H3" s="7" t="s">
        <v>9</v>
      </c>
      <c r="I3" s="5" t="s">
        <v>10</v>
      </c>
      <c r="J3" s="5" t="s">
        <v>11</v>
      </c>
      <c r="K3" s="5" t="s">
        <v>12</v>
      </c>
      <c r="L3" s="8"/>
      <c r="M3" s="5" t="s">
        <v>13</v>
      </c>
      <c r="N3" s="5" t="s">
        <v>14</v>
      </c>
      <c r="O3" s="5" t="s">
        <v>15</v>
      </c>
    </row>
    <row r="4" spans="1:15" ht="16.5">
      <c r="A4" s="29" t="s">
        <v>16</v>
      </c>
      <c r="B4" s="26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8"/>
      <c r="M4" s="9">
        <v>0</v>
      </c>
      <c r="N4" s="11">
        <f t="shared" ref="N4:N9" si="0">IF(K4&gt;M4,K4-M4,0)</f>
        <v>0</v>
      </c>
      <c r="O4" s="11">
        <f t="shared" ref="O4:O9" si="1">IF(M4&gt;K4,M4-K4,0)</f>
        <v>0</v>
      </c>
    </row>
    <row r="5" spans="1:15" ht="16.5">
      <c r="A5" s="29" t="s">
        <v>17</v>
      </c>
      <c r="B5" s="31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0</v>
      </c>
      <c r="L5" s="8"/>
      <c r="M5" s="9">
        <v>0</v>
      </c>
      <c r="N5" s="11">
        <f t="shared" si="0"/>
        <v>0</v>
      </c>
      <c r="O5" s="11">
        <f t="shared" si="1"/>
        <v>0</v>
      </c>
    </row>
    <row r="6" spans="1:15" ht="16.5">
      <c r="A6" s="33" t="s">
        <v>31</v>
      </c>
      <c r="B6" s="30">
        <v>20</v>
      </c>
      <c r="C6" s="26">
        <f>67+260+32+20+136+67+48+20+32+32</f>
        <v>714</v>
      </c>
      <c r="D6" s="9">
        <v>0</v>
      </c>
      <c r="E6" s="9">
        <v>0</v>
      </c>
      <c r="F6" s="9">
        <v>0</v>
      </c>
      <c r="G6" s="9">
        <v>0</v>
      </c>
      <c r="H6" s="9">
        <v>224</v>
      </c>
      <c r="I6" s="9">
        <v>0</v>
      </c>
      <c r="J6" s="9">
        <v>0</v>
      </c>
      <c r="K6" s="10">
        <f>SUM(B6:J6)</f>
        <v>958</v>
      </c>
      <c r="L6" s="8"/>
      <c r="M6" s="9">
        <v>958</v>
      </c>
      <c r="N6" s="11">
        <f t="shared" si="0"/>
        <v>0</v>
      </c>
      <c r="O6" s="11">
        <f t="shared" si="1"/>
        <v>0</v>
      </c>
    </row>
    <row r="7" spans="1:15" ht="16.5">
      <c r="A7" s="33" t="s">
        <v>28</v>
      </c>
      <c r="B7" s="30">
        <v>97</v>
      </c>
      <c r="C7" s="26">
        <f>52+50+32+40+12+40+54+32+32+26+26</f>
        <v>396</v>
      </c>
      <c r="D7" s="9">
        <v>0</v>
      </c>
      <c r="E7" s="9">
        <v>0</v>
      </c>
      <c r="F7" s="9">
        <v>0</v>
      </c>
      <c r="G7" s="9">
        <v>0</v>
      </c>
      <c r="H7" s="9">
        <v>96</v>
      </c>
      <c r="I7" s="9">
        <v>0</v>
      </c>
      <c r="J7" s="9">
        <v>0</v>
      </c>
      <c r="K7" s="10">
        <f>SUM(B7:J7)</f>
        <v>589</v>
      </c>
      <c r="L7" s="8"/>
      <c r="M7" s="9">
        <v>589</v>
      </c>
      <c r="N7" s="11">
        <f t="shared" si="0"/>
        <v>0</v>
      </c>
      <c r="O7" s="11">
        <f t="shared" si="1"/>
        <v>0</v>
      </c>
    </row>
    <row r="8" spans="1:15" ht="16.5" hidden="1">
      <c r="A8" s="33" t="s">
        <v>26</v>
      </c>
      <c r="B8" s="30">
        <v>0</v>
      </c>
      <c r="C8" s="26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>SUM(B8:J8)</f>
        <v>0</v>
      </c>
      <c r="L8" s="8"/>
      <c r="M8" s="9">
        <v>0</v>
      </c>
      <c r="N8" s="11">
        <f t="shared" si="0"/>
        <v>0</v>
      </c>
      <c r="O8" s="11">
        <f t="shared" si="1"/>
        <v>0</v>
      </c>
    </row>
    <row r="9" spans="1:15" ht="16.5">
      <c r="A9" s="33" t="s">
        <v>22</v>
      </c>
      <c r="B9" s="30">
        <v>520</v>
      </c>
      <c r="C9" s="26">
        <f>40+52+32+32+26+7+24+89+40+104+20+62+27+64+25+92+60+53+47+72+32+230+32+52</f>
        <v>1314</v>
      </c>
      <c r="D9" s="9">
        <v>160</v>
      </c>
      <c r="E9" s="9">
        <v>0</v>
      </c>
      <c r="F9" s="9">
        <v>0</v>
      </c>
      <c r="G9" s="9">
        <v>0</v>
      </c>
      <c r="H9" s="9">
        <v>384</v>
      </c>
      <c r="I9" s="9">
        <v>0</v>
      </c>
      <c r="J9" s="9">
        <v>0</v>
      </c>
      <c r="K9" s="10">
        <f>SUM(B9:J9)</f>
        <v>2378</v>
      </c>
      <c r="L9" s="8"/>
      <c r="M9" s="9">
        <v>2398</v>
      </c>
      <c r="N9" s="11">
        <f t="shared" si="0"/>
        <v>0</v>
      </c>
      <c r="O9" s="11">
        <f t="shared" si="1"/>
        <v>20</v>
      </c>
    </row>
    <row r="10" spans="1:15" ht="16.5">
      <c r="A10" s="28"/>
      <c r="B10" s="32">
        <f t="shared" ref="B10:K10" si="2">SUM(B4:B9)</f>
        <v>637</v>
      </c>
      <c r="C10" s="12">
        <f t="shared" si="2"/>
        <v>2424</v>
      </c>
      <c r="D10" s="12">
        <f t="shared" si="2"/>
        <v>160</v>
      </c>
      <c r="E10" s="12">
        <f t="shared" si="2"/>
        <v>0</v>
      </c>
      <c r="F10" s="12">
        <f t="shared" si="2"/>
        <v>0</v>
      </c>
      <c r="G10" s="12">
        <f t="shared" si="2"/>
        <v>0</v>
      </c>
      <c r="H10" s="12">
        <f t="shared" si="2"/>
        <v>704</v>
      </c>
      <c r="I10" s="12">
        <f t="shared" si="2"/>
        <v>0</v>
      </c>
      <c r="J10" s="12">
        <f t="shared" si="2"/>
        <v>0</v>
      </c>
      <c r="K10" s="12">
        <f t="shared" si="2"/>
        <v>3925</v>
      </c>
      <c r="L10" s="13"/>
      <c r="M10" s="12">
        <v>0</v>
      </c>
      <c r="N10" s="12">
        <f>SUM(N4:N9)</f>
        <v>0</v>
      </c>
      <c r="O10" s="12">
        <f>SUM(O4:O9)</f>
        <v>20</v>
      </c>
    </row>
    <row r="11" spans="1:15" ht="15.75" thickBot="1"/>
    <row r="12" spans="1:15" ht="17.25" thickBot="1">
      <c r="A12" s="36" t="s">
        <v>57</v>
      </c>
      <c r="B12" s="37"/>
      <c r="C12" s="37"/>
      <c r="D12" s="37"/>
    </row>
    <row r="13" spans="1:15" ht="16.5">
      <c r="A13" s="14">
        <v>500</v>
      </c>
      <c r="B13" s="15" t="s">
        <v>18</v>
      </c>
      <c r="C13" s="16">
        <v>0</v>
      </c>
      <c r="D13" s="17">
        <f t="shared" ref="D13:D18" si="3">A13*C13</f>
        <v>0</v>
      </c>
    </row>
    <row r="14" spans="1:15" ht="16.5">
      <c r="A14" s="18">
        <v>100</v>
      </c>
      <c r="B14" s="15" t="s">
        <v>18</v>
      </c>
      <c r="C14" s="16">
        <v>0</v>
      </c>
      <c r="D14" s="17">
        <f t="shared" si="3"/>
        <v>0</v>
      </c>
    </row>
    <row r="15" spans="1:15" ht="16.5">
      <c r="A15" s="18">
        <v>50</v>
      </c>
      <c r="B15" s="15" t="s">
        <v>18</v>
      </c>
      <c r="C15" s="16">
        <v>10</v>
      </c>
      <c r="D15" s="17">
        <f t="shared" si="3"/>
        <v>500</v>
      </c>
    </row>
    <row r="16" spans="1:15" ht="16.5">
      <c r="A16" s="18">
        <v>20</v>
      </c>
      <c r="B16" s="15" t="s">
        <v>18</v>
      </c>
      <c r="C16" s="16">
        <v>0</v>
      </c>
      <c r="D16" s="17">
        <f t="shared" si="3"/>
        <v>0</v>
      </c>
    </row>
    <row r="17" spans="1:4" ht="16.5">
      <c r="A17" s="18">
        <v>10</v>
      </c>
      <c r="B17" s="15" t="s">
        <v>18</v>
      </c>
      <c r="C17" s="16">
        <v>5</v>
      </c>
      <c r="D17" s="17">
        <f t="shared" si="3"/>
        <v>50</v>
      </c>
    </row>
    <row r="18" spans="1:4" ht="16.5">
      <c r="A18" s="18">
        <v>5</v>
      </c>
      <c r="B18" s="15" t="s">
        <v>18</v>
      </c>
      <c r="C18" s="16">
        <v>17</v>
      </c>
      <c r="D18" s="17">
        <f t="shared" si="3"/>
        <v>85</v>
      </c>
    </row>
    <row r="19" spans="1:4" ht="16.5">
      <c r="A19" s="19" t="s">
        <v>19</v>
      </c>
      <c r="B19" s="15" t="s">
        <v>18</v>
      </c>
      <c r="C19" s="16">
        <v>2</v>
      </c>
      <c r="D19" s="17">
        <f>+C19*1</f>
        <v>2</v>
      </c>
    </row>
    <row r="20" spans="1:4" ht="16.5">
      <c r="A20" s="19"/>
      <c r="B20" s="20"/>
      <c r="C20" s="16">
        <v>0</v>
      </c>
      <c r="D20" s="17">
        <f>+C20*0.025</f>
        <v>0</v>
      </c>
    </row>
    <row r="21" spans="1:4" ht="16.5">
      <c r="A21" s="21" t="s">
        <v>20</v>
      </c>
      <c r="B21" s="22"/>
      <c r="C21" s="23">
        <v>0</v>
      </c>
      <c r="D21" s="24">
        <f>SUM(D13:D20)</f>
        <v>637</v>
      </c>
    </row>
    <row r="23" spans="1:4">
      <c r="A23" t="s">
        <v>21</v>
      </c>
      <c r="D23" s="25">
        <f>932+637</f>
        <v>1569</v>
      </c>
    </row>
  </sheetData>
  <mergeCells count="2">
    <mergeCell ref="A2:O2"/>
    <mergeCell ref="A12:D1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e420c1-bbe1-491f-96de-36d094e939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E82BAC45B3FB4BB47F5B3CED3A651D" ma:contentTypeVersion="6" ma:contentTypeDescription="Create a new document." ma:contentTypeScope="" ma:versionID="8a08ce5f3f457cee7ae42e4ad630f592">
  <xsd:schema xmlns:xsd="http://www.w3.org/2001/XMLSchema" xmlns:xs="http://www.w3.org/2001/XMLSchema" xmlns:p="http://schemas.microsoft.com/office/2006/metadata/properties" xmlns:ns3="efe420c1-bbe1-491f-96de-36d094e93997" targetNamespace="http://schemas.microsoft.com/office/2006/metadata/properties" ma:root="true" ma:fieldsID="2e00e8fb06dabcd800de040ad5efaf32" ns3:_="">
    <xsd:import namespace="efe420c1-bbe1-491f-96de-36d094e939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420c1-bbe1-491f-96de-36d094e939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2E9D11-519D-4BE2-8BD5-82DEFD02FF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9979DD-CD2B-470B-8720-36DD0EAAA906}">
  <ds:schemaRefs>
    <ds:schemaRef ds:uri="http://schemas.microsoft.com/office/infopath/2007/PartnerControls"/>
    <ds:schemaRef ds:uri="http://schemas.microsoft.com/office/2006/documentManagement/types"/>
    <ds:schemaRef ds:uri="efe420c1-bbe1-491f-96de-36d094e93997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06FC09D-849C-456A-9F3F-1FBE3735EB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e420c1-bbe1-491f-96de-36d094e939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31.05.2025</vt:lpstr>
      <vt:lpstr>01.06.2025</vt:lpstr>
      <vt:lpstr>02.06.2025</vt:lpstr>
      <vt:lpstr>03.06.2025</vt:lpstr>
      <vt:lpstr>04.06.2025</vt:lpstr>
      <vt:lpstr>05.06.2025</vt:lpstr>
      <vt:lpstr>06.06.2025</vt:lpstr>
      <vt:lpstr>07.06.2025</vt:lpstr>
      <vt:lpstr>08.06.2025</vt:lpstr>
      <vt:lpstr>09.06.2025</vt:lpstr>
      <vt:lpstr>10.06.2025</vt:lpstr>
      <vt:lpstr>11.06.2025</vt:lpstr>
      <vt:lpstr>12.06.2025</vt:lpstr>
      <vt:lpstr>13.06.2025</vt:lpstr>
      <vt:lpstr>14.06.2025</vt:lpstr>
      <vt:lpstr>15.06.2025</vt:lpstr>
      <vt:lpstr>16.06.2025</vt:lpstr>
      <vt:lpstr>17.06.2025</vt:lpstr>
      <vt:lpstr>18.06.2025</vt:lpstr>
      <vt:lpstr>19.06.2025</vt:lpstr>
      <vt:lpstr>20.06.2025</vt:lpstr>
      <vt:lpstr>21.06.2025</vt:lpstr>
      <vt:lpstr>22.06.2025</vt:lpstr>
      <vt:lpstr>23.06.2025</vt:lpstr>
      <vt:lpstr>24.06.2025</vt:lpstr>
      <vt:lpstr>25.06.2025</vt:lpstr>
      <vt:lpstr>26.06.2025</vt:lpstr>
      <vt:lpstr>27.06.2025</vt:lpstr>
      <vt:lpstr>28.06.2025</vt:lpstr>
      <vt:lpstr>29.06.2025</vt:lpstr>
      <vt:lpstr>30.06.2025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Noir Finance Onizah</dc:creator>
  <cp:lastModifiedBy>Noir Finance Onizah</cp:lastModifiedBy>
  <cp:lastPrinted>2025-07-01T14:31:11Z</cp:lastPrinted>
  <dcterms:created xsi:type="dcterms:W3CDTF">2025-05-03T23:15:21Z</dcterms:created>
  <dcterms:modified xsi:type="dcterms:W3CDTF">2026-09-12T16:02:52Z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0x0101004FE82BAC45B3FB4BB47F5B3CED3A651D</vt:lpwstr>
  </property>
</Properties>
</file>