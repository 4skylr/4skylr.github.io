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irFinanceOnizah\Desktop\"/>
    </mc:Choice>
  </mc:AlternateContent>
  <xr:revisionPtr revIDLastSave="0" documentId="8_{2FEEF01E-17B8-4608-A687-E9CC07DEC5CD}" xr6:coauthVersionLast="47" xr6:coauthVersionMax="47" xr10:uidLastSave="{00000000-0000-0000-0000-000000000000}"/>
  <bookViews>
    <workbookView xWindow="-120" yWindow="-120" windowWidth="29040" windowHeight="15720" tabRatio="812" firstSheet="20" activeTab="35" xr2:uid="{00000000-000D-0000-FFFF-FFFF00000000}"/>
  </bookViews>
  <sheets>
    <sheet name="27.12.2024" sheetId="214" r:id="rId1"/>
    <sheet name="28.12.2024" sheetId="215" r:id="rId2"/>
    <sheet name="29.12.2024" sheetId="216" r:id="rId3"/>
    <sheet name="30.12.2024" sheetId="217" r:id="rId4"/>
    <sheet name="31.12.2024" sheetId="218" r:id="rId5"/>
    <sheet name="01.01.2025" sheetId="219" r:id="rId6"/>
    <sheet name="02.01.2025" sheetId="220" r:id="rId7"/>
    <sheet name="03.01.2025" sheetId="221" r:id="rId8"/>
    <sheet name="04.01.2025" sheetId="222" r:id="rId9"/>
    <sheet name="5.01.2025" sheetId="223" r:id="rId10"/>
    <sheet name="6.01.2025" sheetId="224" r:id="rId11"/>
    <sheet name="7.01.2025" sheetId="225" r:id="rId12"/>
    <sheet name="8.01.2025" sheetId="226" r:id="rId13"/>
    <sheet name="9.01.2025" sheetId="227" r:id="rId14"/>
    <sheet name="10.01.2025" sheetId="228" r:id="rId15"/>
    <sheet name="11.1.2025" sheetId="230" r:id="rId16"/>
    <sheet name="12.1.2025" sheetId="231" r:id="rId17"/>
    <sheet name="13.1.2025" sheetId="232" r:id="rId18"/>
    <sheet name="14.1.2025" sheetId="233" r:id="rId19"/>
    <sheet name="15.1.2025" sheetId="234" r:id="rId20"/>
    <sheet name="16.1.2025" sheetId="235" r:id="rId21"/>
    <sheet name="17.1.2025" sheetId="237" r:id="rId22"/>
    <sheet name="18.1.2025" sheetId="238" r:id="rId23"/>
    <sheet name="19.1.2025" sheetId="239" r:id="rId24"/>
    <sheet name="20.2.2025" sheetId="240" r:id="rId25"/>
    <sheet name="21.1.2025" sheetId="241" r:id="rId26"/>
    <sheet name="22.2.2025" sheetId="242" r:id="rId27"/>
    <sheet name="23.1.2025" sheetId="243" r:id="rId28"/>
    <sheet name="24.1.2025" sheetId="244" r:id="rId29"/>
    <sheet name="25.1.2025" sheetId="245" r:id="rId30"/>
    <sheet name="26.1.2025" sheetId="246" r:id="rId31"/>
    <sheet name="27.1.2025" sheetId="247" r:id="rId32"/>
    <sheet name="28.1.2025" sheetId="248" r:id="rId33"/>
    <sheet name="29.1.2025" sheetId="249" r:id="rId34"/>
    <sheet name="30.01.2025" sheetId="250" r:id="rId35"/>
    <sheet name="31.01.2025" sheetId="251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51" l="1"/>
  <c r="C6" i="251"/>
  <c r="C7" i="251"/>
  <c r="D21" i="251"/>
  <c r="D20" i="251"/>
  <c r="D19" i="251"/>
  <c r="D18" i="251"/>
  <c r="D17" i="251"/>
  <c r="D16" i="251"/>
  <c r="D15" i="251"/>
  <c r="D14" i="251"/>
  <c r="D22" i="251" s="1"/>
  <c r="J11" i="251"/>
  <c r="G11" i="251"/>
  <c r="F11" i="251"/>
  <c r="E11" i="251"/>
  <c r="D11" i="251"/>
  <c r="C11" i="251"/>
  <c r="B11" i="251"/>
  <c r="H10" i="251"/>
  <c r="L10" i="251" s="1"/>
  <c r="H9" i="251"/>
  <c r="L9" i="251" s="1"/>
  <c r="H8" i="251"/>
  <c r="H7" i="251"/>
  <c r="H6" i="251"/>
  <c r="H5" i="251"/>
  <c r="L5" i="251" s="1"/>
  <c r="H4" i="251"/>
  <c r="L4" i="251" s="1"/>
  <c r="L6" i="251" l="1"/>
  <c r="K6" i="251"/>
  <c r="L7" i="251"/>
  <c r="K7" i="251"/>
  <c r="L8" i="251"/>
  <c r="K8" i="251"/>
  <c r="K9" i="251"/>
  <c r="K10" i="251"/>
  <c r="K4" i="251"/>
  <c r="K5" i="251"/>
  <c r="C8" i="250"/>
  <c r="C7" i="250"/>
  <c r="C6" i="250"/>
  <c r="C11" i="250" s="1"/>
  <c r="H7" i="250"/>
  <c r="D21" i="250"/>
  <c r="D20" i="250"/>
  <c r="D19" i="250"/>
  <c r="D18" i="250"/>
  <c r="D17" i="250"/>
  <c r="D16" i="250"/>
  <c r="D15" i="250"/>
  <c r="D14" i="250"/>
  <c r="J11" i="250"/>
  <c r="G11" i="250"/>
  <c r="F11" i="250"/>
  <c r="E11" i="250"/>
  <c r="D11" i="250"/>
  <c r="B11" i="250"/>
  <c r="H10" i="250"/>
  <c r="K10" i="250" s="1"/>
  <c r="H9" i="250"/>
  <c r="L9" i="250" s="1"/>
  <c r="H8" i="250"/>
  <c r="L8" i="250" s="1"/>
  <c r="H6" i="250"/>
  <c r="H5" i="250"/>
  <c r="K5" i="250" s="1"/>
  <c r="H4" i="250"/>
  <c r="L4" i="250" s="1"/>
  <c r="L11" i="251" l="1"/>
  <c r="K11" i="251"/>
  <c r="L7" i="250"/>
  <c r="K7" i="250"/>
  <c r="D22" i="250"/>
  <c r="K8" i="250"/>
  <c r="L6" i="250"/>
  <c r="K6" i="250"/>
  <c r="L10" i="250"/>
  <c r="K4" i="250"/>
  <c r="L5" i="250"/>
  <c r="K9" i="250"/>
  <c r="C7" i="249"/>
  <c r="C6" i="249"/>
  <c r="D20" i="249"/>
  <c r="D19" i="249"/>
  <c r="D18" i="249"/>
  <c r="D17" i="249"/>
  <c r="D16" i="249"/>
  <c r="D15" i="249"/>
  <c r="D14" i="249"/>
  <c r="D13" i="249"/>
  <c r="D21" i="249" s="1"/>
  <c r="J10" i="249"/>
  <c r="G10" i="249"/>
  <c r="F10" i="249"/>
  <c r="E10" i="249"/>
  <c r="D10" i="249"/>
  <c r="C10" i="249"/>
  <c r="B10" i="249"/>
  <c r="H9" i="249"/>
  <c r="L9" i="249" s="1"/>
  <c r="H8" i="249"/>
  <c r="L8" i="249" s="1"/>
  <c r="H7" i="249"/>
  <c r="H6" i="249"/>
  <c r="H5" i="249"/>
  <c r="L5" i="249" s="1"/>
  <c r="H4" i="249"/>
  <c r="L4" i="249" s="1"/>
  <c r="L11" i="250" l="1"/>
  <c r="K11" i="250"/>
  <c r="L6" i="249"/>
  <c r="K6" i="249"/>
  <c r="L7" i="249"/>
  <c r="K7" i="249"/>
  <c r="K8" i="249"/>
  <c r="K9" i="249"/>
  <c r="K4" i="249"/>
  <c r="K5" i="249"/>
  <c r="C6" i="248"/>
  <c r="C7" i="248"/>
  <c r="D20" i="248"/>
  <c r="D19" i="248"/>
  <c r="D18" i="248"/>
  <c r="D17" i="248"/>
  <c r="D16" i="248"/>
  <c r="D15" i="248"/>
  <c r="D14" i="248"/>
  <c r="D13" i="248"/>
  <c r="J10" i="248"/>
  <c r="G10" i="248"/>
  <c r="F10" i="248"/>
  <c r="E10" i="248"/>
  <c r="D10" i="248"/>
  <c r="C10" i="248"/>
  <c r="B10" i="248"/>
  <c r="H9" i="248"/>
  <c r="L9" i="248" s="1"/>
  <c r="H8" i="248"/>
  <c r="K8" i="248" s="1"/>
  <c r="H7" i="248"/>
  <c r="H6" i="248"/>
  <c r="H5" i="248"/>
  <c r="K5" i="248" s="1"/>
  <c r="H4" i="248"/>
  <c r="K4" i="248" s="1"/>
  <c r="L10" i="249" l="1"/>
  <c r="K10" i="249"/>
  <c r="D21" i="248"/>
  <c r="K6" i="248"/>
  <c r="L6" i="248"/>
  <c r="L7" i="248"/>
  <c r="K7" i="248"/>
  <c r="L5" i="248"/>
  <c r="L8" i="248"/>
  <c r="K9" i="248"/>
  <c r="L4" i="248"/>
  <c r="C10" i="226"/>
  <c r="K10" i="248" l="1"/>
  <c r="L10" i="248"/>
  <c r="C7" i="247"/>
  <c r="H7" i="247" s="1"/>
  <c r="C6" i="247"/>
  <c r="C10" i="247"/>
  <c r="D20" i="247"/>
  <c r="D19" i="247"/>
  <c r="D18" i="247"/>
  <c r="D17" i="247"/>
  <c r="D16" i="247"/>
  <c r="D15" i="247"/>
  <c r="D14" i="247"/>
  <c r="D13" i="247"/>
  <c r="J10" i="247"/>
  <c r="G10" i="247"/>
  <c r="F10" i="247"/>
  <c r="E10" i="247"/>
  <c r="D10" i="247"/>
  <c r="B10" i="247"/>
  <c r="H9" i="247"/>
  <c r="L9" i="247" s="1"/>
  <c r="H8" i="247"/>
  <c r="H5" i="247"/>
  <c r="L5" i="247" s="1"/>
  <c r="H4" i="247"/>
  <c r="L4" i="247" s="1"/>
  <c r="K8" i="247" l="1"/>
  <c r="L8" i="247"/>
  <c r="K5" i="247"/>
  <c r="H6" i="247"/>
  <c r="K6" i="247" s="1"/>
  <c r="D21" i="247"/>
  <c r="L6" i="247"/>
  <c r="L7" i="247"/>
  <c r="L10" i="247" s="1"/>
  <c r="K7" i="247"/>
  <c r="K9" i="247"/>
  <c r="K4" i="247"/>
  <c r="C7" i="246"/>
  <c r="H7" i="246" s="1"/>
  <c r="L7" i="246" s="1"/>
  <c r="C6" i="246"/>
  <c r="C10" i="246"/>
  <c r="D20" i="246"/>
  <c r="D19" i="246"/>
  <c r="D18" i="246"/>
  <c r="D17" i="246"/>
  <c r="D16" i="246"/>
  <c r="D15" i="246"/>
  <c r="D14" i="246"/>
  <c r="D13" i="246"/>
  <c r="J10" i="246"/>
  <c r="G10" i="246"/>
  <c r="F10" i="246"/>
  <c r="E10" i="246"/>
  <c r="D10" i="246"/>
  <c r="B10" i="246"/>
  <c r="H9" i="246"/>
  <c r="L9" i="246" s="1"/>
  <c r="H8" i="246"/>
  <c r="L8" i="246" s="1"/>
  <c r="H5" i="246"/>
  <c r="L5" i="246" s="1"/>
  <c r="H4" i="246"/>
  <c r="L4" i="246" s="1"/>
  <c r="C6" i="245"/>
  <c r="C10" i="245"/>
  <c r="D20" i="245"/>
  <c r="D19" i="245"/>
  <c r="D18" i="245"/>
  <c r="D17" i="245"/>
  <c r="D16" i="245"/>
  <c r="D15" i="245"/>
  <c r="D14" i="245"/>
  <c r="D13" i="245"/>
  <c r="J10" i="245"/>
  <c r="G10" i="245"/>
  <c r="F10" i="245"/>
  <c r="E10" i="245"/>
  <c r="D10" i="245"/>
  <c r="B10" i="245"/>
  <c r="H9" i="245"/>
  <c r="H8" i="245"/>
  <c r="L8" i="245" s="1"/>
  <c r="H7" i="245"/>
  <c r="H5" i="245"/>
  <c r="L5" i="245" s="1"/>
  <c r="H4" i="245"/>
  <c r="L4" i="245" s="1"/>
  <c r="D21" i="245" l="1"/>
  <c r="K10" i="247"/>
  <c r="K7" i="246"/>
  <c r="H6" i="246"/>
  <c r="K6" i="246" s="1"/>
  <c r="D21" i="246"/>
  <c r="K8" i="246"/>
  <c r="K9" i="246"/>
  <c r="K4" i="246"/>
  <c r="K5" i="246"/>
  <c r="L9" i="245"/>
  <c r="K9" i="245"/>
  <c r="L7" i="245"/>
  <c r="K7" i="245"/>
  <c r="K4" i="245"/>
  <c r="K5" i="245"/>
  <c r="H6" i="245"/>
  <c r="K8" i="245"/>
  <c r="C7" i="228"/>
  <c r="J6" i="227"/>
  <c r="C6" i="227"/>
  <c r="B10" i="228"/>
  <c r="D19" i="226"/>
  <c r="L6" i="246" l="1"/>
  <c r="L10" i="246" s="1"/>
  <c r="K10" i="246"/>
  <c r="L6" i="245"/>
  <c r="L10" i="245" s="1"/>
  <c r="K6" i="245"/>
  <c r="K10" i="245" s="1"/>
  <c r="C9" i="244"/>
  <c r="C7" i="244"/>
  <c r="C6" i="244"/>
  <c r="D20" i="244"/>
  <c r="D19" i="244"/>
  <c r="D18" i="244"/>
  <c r="D17" i="244"/>
  <c r="D16" i="244"/>
  <c r="D15" i="244"/>
  <c r="D14" i="244"/>
  <c r="D13" i="244"/>
  <c r="J10" i="244"/>
  <c r="G10" i="244"/>
  <c r="F10" i="244"/>
  <c r="E10" i="244"/>
  <c r="D10" i="244"/>
  <c r="B10" i="244"/>
  <c r="H9" i="244"/>
  <c r="L9" i="244" s="1"/>
  <c r="H8" i="244"/>
  <c r="L8" i="244" s="1"/>
  <c r="H6" i="244"/>
  <c r="H5" i="244"/>
  <c r="L5" i="244" s="1"/>
  <c r="H4" i="244"/>
  <c r="L4" i="244" s="1"/>
  <c r="C10" i="244" l="1"/>
  <c r="H7" i="244"/>
  <c r="D21" i="244"/>
  <c r="L6" i="244"/>
  <c r="K6" i="244"/>
  <c r="L7" i="244"/>
  <c r="K7" i="244"/>
  <c r="K8" i="244"/>
  <c r="K9" i="244"/>
  <c r="K4" i="244"/>
  <c r="K5" i="244"/>
  <c r="C7" i="243"/>
  <c r="H7" i="243" s="1"/>
  <c r="C6" i="243"/>
  <c r="H6" i="243" s="1"/>
  <c r="D20" i="243"/>
  <c r="D19" i="243"/>
  <c r="D18" i="243"/>
  <c r="D17" i="243"/>
  <c r="D16" i="243"/>
  <c r="D15" i="243"/>
  <c r="D14" i="243"/>
  <c r="D13" i="243"/>
  <c r="J10" i="243"/>
  <c r="G10" i="243"/>
  <c r="F10" i="243"/>
  <c r="E10" i="243"/>
  <c r="D10" i="243"/>
  <c r="B10" i="243"/>
  <c r="H9" i="243"/>
  <c r="L9" i="243" s="1"/>
  <c r="H8" i="243"/>
  <c r="L8" i="243" s="1"/>
  <c r="H5" i="243"/>
  <c r="L5" i="243" s="1"/>
  <c r="H4" i="243"/>
  <c r="L4" i="243" s="1"/>
  <c r="L10" i="244" l="1"/>
  <c r="K10" i="244"/>
  <c r="D21" i="243"/>
  <c r="L6" i="243"/>
  <c r="K6" i="243"/>
  <c r="L7" i="243"/>
  <c r="K7" i="243"/>
  <c r="K8" i="243"/>
  <c r="C10" i="243"/>
  <c r="K4" i="243"/>
  <c r="K5" i="243"/>
  <c r="K9" i="243"/>
  <c r="C7" i="242"/>
  <c r="H7" i="242" s="1"/>
  <c r="C6" i="242"/>
  <c r="D20" i="242"/>
  <c r="D19" i="242"/>
  <c r="D18" i="242"/>
  <c r="D17" i="242"/>
  <c r="D16" i="242"/>
  <c r="D15" i="242"/>
  <c r="D14" i="242"/>
  <c r="D13" i="242"/>
  <c r="J10" i="242"/>
  <c r="G10" i="242"/>
  <c r="F10" i="242"/>
  <c r="E10" i="242"/>
  <c r="D10" i="242"/>
  <c r="B10" i="242"/>
  <c r="H9" i="242"/>
  <c r="L9" i="242" s="1"/>
  <c r="H8" i="242"/>
  <c r="L8" i="242" s="1"/>
  <c r="H5" i="242"/>
  <c r="L5" i="242" s="1"/>
  <c r="H4" i="242"/>
  <c r="L4" i="242" s="1"/>
  <c r="C10" i="242" l="1"/>
  <c r="H6" i="242"/>
  <c r="K6" i="242" s="1"/>
  <c r="L10" i="243"/>
  <c r="K10" i="243"/>
  <c r="D21" i="242"/>
  <c r="L6" i="242"/>
  <c r="L7" i="242"/>
  <c r="K7" i="242"/>
  <c r="K4" i="242"/>
  <c r="K5" i="242"/>
  <c r="K8" i="242"/>
  <c r="K9" i="242"/>
  <c r="C7" i="241"/>
  <c r="H7" i="241"/>
  <c r="C6" i="241"/>
  <c r="D20" i="241"/>
  <c r="D19" i="241"/>
  <c r="D18" i="241"/>
  <c r="D17" i="241"/>
  <c r="D16" i="241"/>
  <c r="D15" i="241"/>
  <c r="D14" i="241"/>
  <c r="D13" i="241"/>
  <c r="J10" i="241"/>
  <c r="G10" i="241"/>
  <c r="F10" i="241"/>
  <c r="E10" i="241"/>
  <c r="D10" i="241"/>
  <c r="B10" i="241"/>
  <c r="H9" i="241"/>
  <c r="K9" i="241" s="1"/>
  <c r="H8" i="241"/>
  <c r="H5" i="241"/>
  <c r="K5" i="241" s="1"/>
  <c r="H4" i="241"/>
  <c r="L4" i="241" s="1"/>
  <c r="L8" i="241" l="1"/>
  <c r="K8" i="241"/>
  <c r="L10" i="242"/>
  <c r="K10" i="242"/>
  <c r="K4" i="241"/>
  <c r="C10" i="241"/>
  <c r="D21" i="241"/>
  <c r="L7" i="241"/>
  <c r="K7" i="241"/>
  <c r="L5" i="241"/>
  <c r="L9" i="241"/>
  <c r="H6" i="241"/>
  <c r="C6" i="240"/>
  <c r="C7" i="240"/>
  <c r="H7" i="240" s="1"/>
  <c r="D20" i="240"/>
  <c r="D19" i="240"/>
  <c r="D18" i="240"/>
  <c r="D17" i="240"/>
  <c r="D16" i="240"/>
  <c r="D15" i="240"/>
  <c r="D14" i="240"/>
  <c r="D13" i="240"/>
  <c r="J10" i="240"/>
  <c r="G10" i="240"/>
  <c r="F10" i="240"/>
  <c r="E10" i="240"/>
  <c r="D10" i="240"/>
  <c r="B10" i="240"/>
  <c r="H9" i="240"/>
  <c r="L9" i="240" s="1"/>
  <c r="H8" i="240"/>
  <c r="L8" i="240" s="1"/>
  <c r="H5" i="240"/>
  <c r="L5" i="240" s="1"/>
  <c r="H4" i="240"/>
  <c r="L4" i="240" s="1"/>
  <c r="C10" i="240" l="1"/>
  <c r="L6" i="241"/>
  <c r="L10" i="241" s="1"/>
  <c r="K6" i="241"/>
  <c r="K10" i="241" s="1"/>
  <c r="D21" i="240"/>
  <c r="K7" i="240"/>
  <c r="L7" i="240"/>
  <c r="H6" i="240"/>
  <c r="K8" i="240"/>
  <c r="K4" i="240"/>
  <c r="K5" i="240"/>
  <c r="K9" i="240"/>
  <c r="S22" i="237"/>
  <c r="S21" i="237"/>
  <c r="S20" i="237"/>
  <c r="S19" i="237"/>
  <c r="S18" i="237"/>
  <c r="S17" i="237"/>
  <c r="S16" i="237"/>
  <c r="S15" i="237"/>
  <c r="S23" i="237" l="1"/>
  <c r="L6" i="240"/>
  <c r="L10" i="240" s="1"/>
  <c r="K6" i="240"/>
  <c r="K10" i="240" s="1"/>
  <c r="C7" i="239"/>
  <c r="H7" i="239" s="1"/>
  <c r="C6" i="239"/>
  <c r="C10" i="239" s="1"/>
  <c r="D20" i="239"/>
  <c r="D19" i="239"/>
  <c r="D18" i="239"/>
  <c r="D17" i="239"/>
  <c r="D16" i="239"/>
  <c r="D15" i="239"/>
  <c r="D14" i="239"/>
  <c r="D13" i="239"/>
  <c r="D21" i="239" s="1"/>
  <c r="J10" i="239"/>
  <c r="G10" i="239"/>
  <c r="F10" i="239"/>
  <c r="E10" i="239"/>
  <c r="D10" i="239"/>
  <c r="B10" i="239"/>
  <c r="H9" i="239"/>
  <c r="K9" i="239" s="1"/>
  <c r="H8" i="239"/>
  <c r="L8" i="239" s="1"/>
  <c r="H5" i="239"/>
  <c r="K5" i="239" s="1"/>
  <c r="H4" i="239"/>
  <c r="L4" i="239" s="1"/>
  <c r="C7" i="238"/>
  <c r="C6" i="238"/>
  <c r="D20" i="238"/>
  <c r="D19" i="238"/>
  <c r="D18" i="238"/>
  <c r="D17" i="238"/>
  <c r="D16" i="238"/>
  <c r="D15" i="238"/>
  <c r="D14" i="238"/>
  <c r="D13" i="238"/>
  <c r="J10" i="238"/>
  <c r="G10" i="238"/>
  <c r="F10" i="238"/>
  <c r="E10" i="238"/>
  <c r="D10" i="238"/>
  <c r="B10" i="238"/>
  <c r="H9" i="238"/>
  <c r="H8" i="238"/>
  <c r="H5" i="238"/>
  <c r="L5" i="238" s="1"/>
  <c r="H4" i="238"/>
  <c r="C10" i="238" l="1"/>
  <c r="H6" i="238"/>
  <c r="L6" i="238" s="1"/>
  <c r="L4" i="238"/>
  <c r="K4" i="238"/>
  <c r="L7" i="239"/>
  <c r="K7" i="239"/>
  <c r="H6" i="239"/>
  <c r="K8" i="239"/>
  <c r="L5" i="239"/>
  <c r="L9" i="239"/>
  <c r="K4" i="239"/>
  <c r="D21" i="238"/>
  <c r="L9" i="238"/>
  <c r="K9" i="238"/>
  <c r="L8" i="238"/>
  <c r="K8" i="238"/>
  <c r="K5" i="238"/>
  <c r="K6" i="238"/>
  <c r="H7" i="238"/>
  <c r="C8" i="237"/>
  <c r="H8" i="237" s="1"/>
  <c r="K8" i="237" s="1"/>
  <c r="C9" i="237"/>
  <c r="C7" i="237"/>
  <c r="D20" i="237"/>
  <c r="D19" i="237"/>
  <c r="D18" i="237"/>
  <c r="D17" i="237"/>
  <c r="D16" i="237"/>
  <c r="D15" i="237"/>
  <c r="D14" i="237"/>
  <c r="D13" i="237"/>
  <c r="J10" i="237"/>
  <c r="G10" i="237"/>
  <c r="F10" i="237"/>
  <c r="E10" i="237"/>
  <c r="D10" i="237"/>
  <c r="B10" i="237"/>
  <c r="H6" i="237"/>
  <c r="H5" i="237"/>
  <c r="L5" i="237" s="1"/>
  <c r="H4" i="237"/>
  <c r="L4" i="237" s="1"/>
  <c r="H8" i="234"/>
  <c r="L8" i="234" s="1"/>
  <c r="C9" i="235"/>
  <c r="H7" i="235"/>
  <c r="H8" i="235"/>
  <c r="K8" i="235"/>
  <c r="H8" i="226"/>
  <c r="K8" i="226" s="1"/>
  <c r="C6" i="235"/>
  <c r="D20" i="235"/>
  <c r="D19" i="235"/>
  <c r="D18" i="235"/>
  <c r="D17" i="235"/>
  <c r="D16" i="235"/>
  <c r="D15" i="235"/>
  <c r="D14" i="235"/>
  <c r="D13" i="235"/>
  <c r="G10" i="235"/>
  <c r="F10" i="235"/>
  <c r="E10" i="235"/>
  <c r="D10" i="235"/>
  <c r="B10" i="235"/>
  <c r="H5" i="235"/>
  <c r="K5" i="235" s="1"/>
  <c r="H4" i="235"/>
  <c r="L4" i="235" s="1"/>
  <c r="C10" i="237" l="1"/>
  <c r="H7" i="237"/>
  <c r="L7" i="237" s="1"/>
  <c r="C10" i="235"/>
  <c r="H6" i="235"/>
  <c r="L6" i="239"/>
  <c r="L10" i="239" s="1"/>
  <c r="K6" i="239"/>
  <c r="K10" i="239" s="1"/>
  <c r="L7" i="238"/>
  <c r="L10" i="238" s="1"/>
  <c r="K7" i="238"/>
  <c r="K10" i="238" s="1"/>
  <c r="L8" i="237"/>
  <c r="D21" i="237"/>
  <c r="L6" i="237"/>
  <c r="K6" i="237"/>
  <c r="H9" i="237"/>
  <c r="K4" i="237"/>
  <c r="K5" i="237"/>
  <c r="K7" i="237"/>
  <c r="K8" i="234"/>
  <c r="L7" i="235"/>
  <c r="K7" i="235"/>
  <c r="L8" i="235"/>
  <c r="J10" i="235"/>
  <c r="D21" i="235"/>
  <c r="H9" i="235"/>
  <c r="L6" i="235"/>
  <c r="K6" i="235"/>
  <c r="K4" i="235"/>
  <c r="L5" i="235"/>
  <c r="D19" i="234"/>
  <c r="C6" i="234"/>
  <c r="C10" i="234"/>
  <c r="D20" i="234"/>
  <c r="D18" i="234"/>
  <c r="D17" i="234"/>
  <c r="D16" i="234"/>
  <c r="D15" i="234"/>
  <c r="D14" i="234"/>
  <c r="D13" i="234"/>
  <c r="J10" i="234"/>
  <c r="G10" i="234"/>
  <c r="F10" i="234"/>
  <c r="E10" i="234"/>
  <c r="D10" i="234"/>
  <c r="B10" i="234"/>
  <c r="H9" i="234"/>
  <c r="L9" i="234" s="1"/>
  <c r="K7" i="234"/>
  <c r="H7" i="234"/>
  <c r="L7" i="234" s="1"/>
  <c r="H5" i="234"/>
  <c r="L5" i="234" s="1"/>
  <c r="H4" i="234"/>
  <c r="L4" i="234" s="1"/>
  <c r="C6" i="233"/>
  <c r="C7" i="233"/>
  <c r="D20" i="233"/>
  <c r="D19" i="233"/>
  <c r="D18" i="233"/>
  <c r="D17" i="233"/>
  <c r="D16" i="233"/>
  <c r="D15" i="233"/>
  <c r="D14" i="233"/>
  <c r="D13" i="233"/>
  <c r="J10" i="233"/>
  <c r="G10" i="233"/>
  <c r="F10" i="233"/>
  <c r="E10" i="233"/>
  <c r="D10" i="233"/>
  <c r="B10" i="233"/>
  <c r="H9" i="233"/>
  <c r="L9" i="233" s="1"/>
  <c r="H8" i="233"/>
  <c r="L8" i="233" s="1"/>
  <c r="K7" i="233"/>
  <c r="H7" i="233"/>
  <c r="C10" i="233"/>
  <c r="H5" i="233"/>
  <c r="L5" i="233" s="1"/>
  <c r="H4" i="233"/>
  <c r="L4" i="233" s="1"/>
  <c r="K7" i="232"/>
  <c r="H7" i="232"/>
  <c r="C6" i="232"/>
  <c r="C10" i="232" s="1"/>
  <c r="D20" i="232"/>
  <c r="D19" i="232"/>
  <c r="D18" i="232"/>
  <c r="D17" i="232"/>
  <c r="D16" i="232"/>
  <c r="D15" i="232"/>
  <c r="D14" i="232"/>
  <c r="D13" i="232"/>
  <c r="J10" i="232"/>
  <c r="G10" i="232"/>
  <c r="F10" i="232"/>
  <c r="E10" i="232"/>
  <c r="D10" i="232"/>
  <c r="B10" i="232"/>
  <c r="H9" i="232"/>
  <c r="L9" i="232" s="1"/>
  <c r="H8" i="232"/>
  <c r="L8" i="232" s="1"/>
  <c r="H5" i="232"/>
  <c r="L5" i="232" s="1"/>
  <c r="H4" i="232"/>
  <c r="L4" i="232" s="1"/>
  <c r="C7" i="231"/>
  <c r="H7" i="231"/>
  <c r="C6" i="231"/>
  <c r="H6" i="231" s="1"/>
  <c r="L6" i="231" s="1"/>
  <c r="D20" i="231"/>
  <c r="D19" i="231"/>
  <c r="D18" i="231"/>
  <c r="D17" i="231"/>
  <c r="D16" i="231"/>
  <c r="D15" i="231"/>
  <c r="D14" i="231"/>
  <c r="D13" i="231"/>
  <c r="J10" i="231"/>
  <c r="G10" i="231"/>
  <c r="F10" i="231"/>
  <c r="E10" i="231"/>
  <c r="D10" i="231"/>
  <c r="B10" i="231"/>
  <c r="H9" i="231"/>
  <c r="L9" i="231" s="1"/>
  <c r="H8" i="231"/>
  <c r="L8" i="231" s="1"/>
  <c r="H5" i="231"/>
  <c r="L5" i="231" s="1"/>
  <c r="H4" i="231"/>
  <c r="L4" i="231" s="1"/>
  <c r="H8" i="230"/>
  <c r="K8" i="230" s="1"/>
  <c r="H9" i="230"/>
  <c r="C7" i="230"/>
  <c r="H7" i="230" s="1"/>
  <c r="D20" i="230"/>
  <c r="D19" i="230"/>
  <c r="D18" i="230"/>
  <c r="D17" i="230"/>
  <c r="D16" i="230"/>
  <c r="D15" i="230"/>
  <c r="D14" i="230"/>
  <c r="D13" i="230"/>
  <c r="G10" i="230"/>
  <c r="F10" i="230"/>
  <c r="E10" i="230"/>
  <c r="D10" i="230"/>
  <c r="B10" i="230"/>
  <c r="H6" i="230"/>
  <c r="K6" i="230" s="1"/>
  <c r="H5" i="230"/>
  <c r="L5" i="230" s="1"/>
  <c r="H4" i="230"/>
  <c r="L4" i="230" s="1"/>
  <c r="C6" i="228"/>
  <c r="J6" i="228"/>
  <c r="J7" i="228"/>
  <c r="J10" i="228"/>
  <c r="J8" i="228"/>
  <c r="J9" i="228"/>
  <c r="C9" i="228"/>
  <c r="H6" i="228"/>
  <c r="L6" i="228" s="1"/>
  <c r="H9" i="228"/>
  <c r="D20" i="228"/>
  <c r="D19" i="228"/>
  <c r="D18" i="228"/>
  <c r="D17" i="228"/>
  <c r="D16" i="228"/>
  <c r="D15" i="228"/>
  <c r="D14" i="228"/>
  <c r="D13" i="228"/>
  <c r="G10" i="228"/>
  <c r="F10" i="228"/>
  <c r="E10" i="228"/>
  <c r="D10" i="228"/>
  <c r="H8" i="228"/>
  <c r="K8" i="228" s="1"/>
  <c r="H7" i="228"/>
  <c r="H5" i="228"/>
  <c r="L5" i="228" s="1"/>
  <c r="H4" i="228"/>
  <c r="L4" i="228" s="1"/>
  <c r="C9" i="227"/>
  <c r="J9" i="227"/>
  <c r="J8" i="227"/>
  <c r="J15" i="227" s="1"/>
  <c r="D25" i="227"/>
  <c r="D24" i="227"/>
  <c r="D23" i="227"/>
  <c r="D22" i="227"/>
  <c r="D21" i="227"/>
  <c r="D20" i="227"/>
  <c r="D19" i="227"/>
  <c r="D18" i="227"/>
  <c r="G15" i="227"/>
  <c r="F15" i="227"/>
  <c r="E15" i="227"/>
  <c r="D15" i="227"/>
  <c r="B15" i="227"/>
  <c r="L14" i="227"/>
  <c r="K14" i="227"/>
  <c r="L13" i="227"/>
  <c r="K13" i="227"/>
  <c r="L12" i="227"/>
  <c r="K12" i="227"/>
  <c r="L11" i="227"/>
  <c r="K11" i="227"/>
  <c r="H10" i="227"/>
  <c r="L10" i="227" s="1"/>
  <c r="H7" i="227"/>
  <c r="L7" i="227" s="1"/>
  <c r="H6" i="227"/>
  <c r="L6" i="227" s="1"/>
  <c r="H5" i="227"/>
  <c r="L5" i="227" s="1"/>
  <c r="H4" i="227"/>
  <c r="L4" i="227" s="1"/>
  <c r="C15" i="227" l="1"/>
  <c r="H9" i="227"/>
  <c r="L9" i="237"/>
  <c r="L10" i="237" s="1"/>
  <c r="K9" i="237"/>
  <c r="K10" i="237" s="1"/>
  <c r="L9" i="235"/>
  <c r="L10" i="235" s="1"/>
  <c r="K9" i="235"/>
  <c r="K10" i="235"/>
  <c r="H6" i="234"/>
  <c r="L6" i="234" s="1"/>
  <c r="L10" i="234" s="1"/>
  <c r="D21" i="234"/>
  <c r="K9" i="234"/>
  <c r="K4" i="234"/>
  <c r="K5" i="234"/>
  <c r="D21" i="233"/>
  <c r="K4" i="233"/>
  <c r="K5" i="233"/>
  <c r="H6" i="233"/>
  <c r="K8" i="233"/>
  <c r="K9" i="233"/>
  <c r="D21" i="232"/>
  <c r="K8" i="232"/>
  <c r="K4" i="232"/>
  <c r="K5" i="232"/>
  <c r="H6" i="232"/>
  <c r="K9" i="232"/>
  <c r="D21" i="231"/>
  <c r="C10" i="231"/>
  <c r="L7" i="231"/>
  <c r="L10" i="231" s="1"/>
  <c r="K7" i="231"/>
  <c r="K4" i="231"/>
  <c r="K5" i="231"/>
  <c r="K8" i="231"/>
  <c r="K9" i="231"/>
  <c r="K6" i="231"/>
  <c r="L9" i="230"/>
  <c r="K9" i="230"/>
  <c r="L8" i="230"/>
  <c r="J10" i="230"/>
  <c r="D21" i="230"/>
  <c r="C10" i="230"/>
  <c r="L7" i="230"/>
  <c r="K7" i="230"/>
  <c r="L6" i="230"/>
  <c r="K4" i="230"/>
  <c r="K5" i="230"/>
  <c r="K7" i="228"/>
  <c r="L9" i="228"/>
  <c r="C10" i="228"/>
  <c r="D21" i="228"/>
  <c r="K5" i="228"/>
  <c r="L8" i="228"/>
  <c r="K4" i="228"/>
  <c r="L7" i="228"/>
  <c r="K9" i="228"/>
  <c r="K6" i="228"/>
  <c r="D26" i="227"/>
  <c r="K6" i="227"/>
  <c r="K7" i="227"/>
  <c r="H8" i="227"/>
  <c r="K8" i="227" s="1"/>
  <c r="K4" i="227"/>
  <c r="K5" i="227"/>
  <c r="K10" i="227"/>
  <c r="H9" i="226"/>
  <c r="K9" i="226" s="1"/>
  <c r="C16" i="226"/>
  <c r="D26" i="226"/>
  <c r="D25" i="226"/>
  <c r="D24" i="226"/>
  <c r="D23" i="226"/>
  <c r="D22" i="226"/>
  <c r="D21" i="226"/>
  <c r="D20" i="226"/>
  <c r="G16" i="226"/>
  <c r="F16" i="226"/>
  <c r="E16" i="226"/>
  <c r="D16" i="226"/>
  <c r="B16" i="226"/>
  <c r="L15" i="226"/>
  <c r="K15" i="226"/>
  <c r="L14" i="226"/>
  <c r="K14" i="226"/>
  <c r="L13" i="226"/>
  <c r="K13" i="226"/>
  <c r="L12" i="226"/>
  <c r="K12" i="226"/>
  <c r="H11" i="226"/>
  <c r="L11" i="226" s="1"/>
  <c r="H7" i="226"/>
  <c r="L7" i="226" s="1"/>
  <c r="H6" i="226"/>
  <c r="H5" i="226"/>
  <c r="L5" i="226" s="1"/>
  <c r="H4" i="226"/>
  <c r="J6" i="224"/>
  <c r="J11" i="224"/>
  <c r="J7" i="224"/>
  <c r="K10" i="224"/>
  <c r="C11" i="224"/>
  <c r="K12" i="224"/>
  <c r="K11" i="224"/>
  <c r="B6" i="223"/>
  <c r="B15" i="223" s="1"/>
  <c r="C9" i="225"/>
  <c r="C15" i="225" s="1"/>
  <c r="J15" i="225"/>
  <c r="D25" i="225"/>
  <c r="D24" i="225"/>
  <c r="D23" i="225"/>
  <c r="D22" i="225"/>
  <c r="D21" i="225"/>
  <c r="D20" i="225"/>
  <c r="D19" i="225"/>
  <c r="D18" i="225"/>
  <c r="G15" i="225"/>
  <c r="F15" i="225"/>
  <c r="E15" i="225"/>
  <c r="D15" i="225"/>
  <c r="B15" i="225"/>
  <c r="L14" i="225"/>
  <c r="K14" i="225"/>
  <c r="L13" i="225"/>
  <c r="K13" i="225"/>
  <c r="L12" i="225"/>
  <c r="K12" i="225"/>
  <c r="L11" i="225"/>
  <c r="K11" i="225"/>
  <c r="H10" i="225"/>
  <c r="K10" i="225" s="1"/>
  <c r="H8" i="225"/>
  <c r="H7" i="225"/>
  <c r="K7" i="225" s="1"/>
  <c r="H5" i="225"/>
  <c r="K5" i="225" s="1"/>
  <c r="H4" i="225"/>
  <c r="L4" i="225" s="1"/>
  <c r="H8" i="223"/>
  <c r="D25" i="223"/>
  <c r="D24" i="223"/>
  <c r="D23" i="223"/>
  <c r="D22" i="223"/>
  <c r="D21" i="223"/>
  <c r="D20" i="223"/>
  <c r="D19" i="223"/>
  <c r="D18" i="223"/>
  <c r="G15" i="223"/>
  <c r="F15" i="223"/>
  <c r="E15" i="223"/>
  <c r="D15" i="223"/>
  <c r="L14" i="223"/>
  <c r="K14" i="223"/>
  <c r="L13" i="223"/>
  <c r="K13" i="223"/>
  <c r="L12" i="223"/>
  <c r="K12" i="223"/>
  <c r="L11" i="223"/>
  <c r="K11" i="223"/>
  <c r="H10" i="223"/>
  <c r="L10" i="223" s="1"/>
  <c r="H9" i="223"/>
  <c r="L9" i="223" s="1"/>
  <c r="H7" i="223"/>
  <c r="L7" i="223" s="1"/>
  <c r="J15" i="223"/>
  <c r="C15" i="223"/>
  <c r="H5" i="223"/>
  <c r="L5" i="223" s="1"/>
  <c r="H4" i="223"/>
  <c r="K4" i="223" s="1"/>
  <c r="K9" i="227" l="1"/>
  <c r="L9" i="227"/>
  <c r="L8" i="223"/>
  <c r="K8" i="223"/>
  <c r="K6" i="234"/>
  <c r="K10" i="234" s="1"/>
  <c r="L6" i="233"/>
  <c r="L10" i="233" s="1"/>
  <c r="K6" i="233"/>
  <c r="K10" i="233" s="1"/>
  <c r="L6" i="232"/>
  <c r="L10" i="232" s="1"/>
  <c r="K6" i="232"/>
  <c r="K10" i="232" s="1"/>
  <c r="K10" i="231"/>
  <c r="K10" i="230"/>
  <c r="L10" i="230"/>
  <c r="K10" i="228"/>
  <c r="L10" i="228"/>
  <c r="L8" i="227"/>
  <c r="K15" i="227"/>
  <c r="D27" i="226"/>
  <c r="J16" i="226"/>
  <c r="L9" i="226"/>
  <c r="L6" i="226"/>
  <c r="L8" i="226"/>
  <c r="H10" i="226"/>
  <c r="K11" i="226"/>
  <c r="K4" i="226"/>
  <c r="L4" i="226"/>
  <c r="K5" i="226"/>
  <c r="K6" i="226"/>
  <c r="K7" i="226"/>
  <c r="L4" i="223"/>
  <c r="H9" i="225"/>
  <c r="L10" i="225"/>
  <c r="H6" i="223"/>
  <c r="K6" i="223" s="1"/>
  <c r="D26" i="223"/>
  <c r="K10" i="223"/>
  <c r="K9" i="225"/>
  <c r="L5" i="225"/>
  <c r="D26" i="225"/>
  <c r="L7" i="225"/>
  <c r="L9" i="225"/>
  <c r="L8" i="225"/>
  <c r="K8" i="225"/>
  <c r="H6" i="225"/>
  <c r="L6" i="225" s="1"/>
  <c r="K4" i="225"/>
  <c r="K5" i="223"/>
  <c r="K9" i="223"/>
  <c r="K7" i="223"/>
  <c r="D23" i="224"/>
  <c r="D22" i="224"/>
  <c r="D21" i="224"/>
  <c r="D20" i="224"/>
  <c r="D19" i="224"/>
  <c r="D18" i="224"/>
  <c r="D17" i="224"/>
  <c r="D16" i="224"/>
  <c r="G13" i="224"/>
  <c r="F13" i="224"/>
  <c r="E13" i="224"/>
  <c r="D13" i="224"/>
  <c r="L12" i="224"/>
  <c r="L9" i="224"/>
  <c r="K9" i="224"/>
  <c r="H8" i="224"/>
  <c r="K8" i="224" s="1"/>
  <c r="B13" i="224"/>
  <c r="H7" i="224"/>
  <c r="K7" i="224" s="1"/>
  <c r="H5" i="224"/>
  <c r="K5" i="224" s="1"/>
  <c r="H4" i="224"/>
  <c r="L4" i="224" s="1"/>
  <c r="L15" i="227" l="1"/>
  <c r="H16" i="226"/>
  <c r="L10" i="226"/>
  <c r="L16" i="226" s="1"/>
  <c r="K10" i="226"/>
  <c r="K16" i="226" s="1"/>
  <c r="D24" i="224"/>
  <c r="L5" i="224"/>
  <c r="L6" i="223"/>
  <c r="L15" i="223" s="1"/>
  <c r="H15" i="223"/>
  <c r="L8" i="224"/>
  <c r="C13" i="224"/>
  <c r="L15" i="225"/>
  <c r="H15" i="225"/>
  <c r="K6" i="225"/>
  <c r="K15" i="225" s="1"/>
  <c r="K15" i="223"/>
  <c r="L7" i="224"/>
  <c r="K4" i="224"/>
  <c r="H6" i="224"/>
  <c r="J13" i="224"/>
  <c r="C6" i="222"/>
  <c r="C9" i="222"/>
  <c r="C8" i="222"/>
  <c r="B8" i="222"/>
  <c r="C7" i="222"/>
  <c r="U24" i="222"/>
  <c r="U23" i="222"/>
  <c r="U22" i="222"/>
  <c r="U21" i="222"/>
  <c r="U20" i="222"/>
  <c r="U19" i="222"/>
  <c r="U18" i="222"/>
  <c r="U17" i="222"/>
  <c r="K6" i="224" l="1"/>
  <c r="H13" i="224"/>
  <c r="L6" i="224"/>
  <c r="L13" i="224" s="1"/>
  <c r="U25" i="222"/>
  <c r="J6" i="222"/>
  <c r="J9" i="222"/>
  <c r="J8" i="222"/>
  <c r="J7" i="222"/>
  <c r="D25" i="222"/>
  <c r="D24" i="222"/>
  <c r="D23" i="222"/>
  <c r="D22" i="222"/>
  <c r="D21" i="222"/>
  <c r="D20" i="222"/>
  <c r="D19" i="222"/>
  <c r="D18" i="222"/>
  <c r="G15" i="222"/>
  <c r="F15" i="222"/>
  <c r="E15" i="222"/>
  <c r="D15" i="222"/>
  <c r="B15" i="222"/>
  <c r="L14" i="222"/>
  <c r="K14" i="222"/>
  <c r="L13" i="222"/>
  <c r="K13" i="222"/>
  <c r="L12" i="222"/>
  <c r="K12" i="222"/>
  <c r="L11" i="222"/>
  <c r="K11" i="222"/>
  <c r="H10" i="222"/>
  <c r="H9" i="222"/>
  <c r="H8" i="222"/>
  <c r="C15" i="222"/>
  <c r="H6" i="222"/>
  <c r="H5" i="222"/>
  <c r="K5" i="222" s="1"/>
  <c r="H4" i="222"/>
  <c r="L4" i="222" s="1"/>
  <c r="K9" i="222" l="1"/>
  <c r="L10" i="222"/>
  <c r="K10" i="222"/>
  <c r="K8" i="222"/>
  <c r="D26" i="222"/>
  <c r="L5" i="222"/>
  <c r="L6" i="222"/>
  <c r="L8" i="222"/>
  <c r="L9" i="222"/>
  <c r="H7" i="222"/>
  <c r="K4" i="222"/>
  <c r="K6" i="222"/>
  <c r="J15" i="222"/>
  <c r="C9" i="221"/>
  <c r="C6" i="221"/>
  <c r="C8" i="221"/>
  <c r="C7" i="221"/>
  <c r="J8" i="221"/>
  <c r="J9" i="221"/>
  <c r="J7" i="221"/>
  <c r="J6" i="221"/>
  <c r="K7" i="222" l="1"/>
  <c r="K15" i="222" s="1"/>
  <c r="H15" i="222"/>
  <c r="L7" i="222"/>
  <c r="L15" i="222" s="1"/>
  <c r="H6" i="221"/>
  <c r="K6" i="221" s="1"/>
  <c r="D25" i="221"/>
  <c r="D24" i="221"/>
  <c r="D23" i="221"/>
  <c r="D22" i="221"/>
  <c r="D21" i="221"/>
  <c r="D20" i="221"/>
  <c r="D19" i="221"/>
  <c r="D18" i="221"/>
  <c r="D26" i="221" s="1"/>
  <c r="J15" i="221"/>
  <c r="G15" i="221"/>
  <c r="F15" i="221"/>
  <c r="E15" i="221"/>
  <c r="D15" i="221"/>
  <c r="B15" i="221"/>
  <c r="L14" i="221"/>
  <c r="K14" i="221"/>
  <c r="L13" i="221"/>
  <c r="K13" i="221"/>
  <c r="L12" i="221"/>
  <c r="K12" i="221"/>
  <c r="L11" i="221"/>
  <c r="K11" i="221"/>
  <c r="H10" i="221"/>
  <c r="L10" i="221" s="1"/>
  <c r="H9" i="221"/>
  <c r="K9" i="221" s="1"/>
  <c r="H8" i="221"/>
  <c r="K8" i="221" s="1"/>
  <c r="H7" i="221"/>
  <c r="H5" i="221"/>
  <c r="L5" i="221" s="1"/>
  <c r="H4" i="221"/>
  <c r="L4" i="221" s="1"/>
  <c r="L9" i="221" l="1"/>
  <c r="L8" i="221"/>
  <c r="L6" i="221"/>
  <c r="H15" i="221"/>
  <c r="K7" i="221"/>
  <c r="L7" i="221"/>
  <c r="C15" i="221"/>
  <c r="K4" i="221"/>
  <c r="K10" i="221"/>
  <c r="K5" i="221"/>
  <c r="C9" i="220"/>
  <c r="H9" i="220" s="1"/>
  <c r="C7" i="220"/>
  <c r="H7" i="220" s="1"/>
  <c r="H10" i="220"/>
  <c r="C8" i="220"/>
  <c r="H8" i="220" s="1"/>
  <c r="L8" i="220" s="1"/>
  <c r="C6" i="220"/>
  <c r="J9" i="220"/>
  <c r="J8" i="220"/>
  <c r="J7" i="220"/>
  <c r="J6" i="220"/>
  <c r="J15" i="220" s="1"/>
  <c r="D25" i="220"/>
  <c r="D24" i="220"/>
  <c r="D23" i="220"/>
  <c r="D22" i="220"/>
  <c r="D21" i="220"/>
  <c r="D20" i="220"/>
  <c r="D19" i="220"/>
  <c r="D18" i="220"/>
  <c r="G15" i="220"/>
  <c r="F15" i="220"/>
  <c r="E15" i="220"/>
  <c r="D15" i="220"/>
  <c r="B15" i="220"/>
  <c r="L14" i="220"/>
  <c r="K14" i="220"/>
  <c r="L13" i="220"/>
  <c r="K13" i="220"/>
  <c r="L12" i="220"/>
  <c r="K12" i="220"/>
  <c r="L11" i="220"/>
  <c r="K11" i="220"/>
  <c r="H5" i="220"/>
  <c r="H4" i="220"/>
  <c r="L10" i="220" l="1"/>
  <c r="K10" i="220"/>
  <c r="K4" i="220"/>
  <c r="L4" i="220"/>
  <c r="L15" i="221"/>
  <c r="K15" i="221"/>
  <c r="C15" i="220"/>
  <c r="L9" i="220"/>
  <c r="D26" i="220"/>
  <c r="K5" i="220"/>
  <c r="H6" i="220"/>
  <c r="L5" i="220"/>
  <c r="K7" i="220"/>
  <c r="L7" i="220"/>
  <c r="K8" i="220"/>
  <c r="K9" i="220"/>
  <c r="C6" i="219"/>
  <c r="H6" i="219" s="1"/>
  <c r="C7" i="219"/>
  <c r="H7" i="219" s="1"/>
  <c r="K7" i="219" s="1"/>
  <c r="J7" i="219"/>
  <c r="J15" i="219" s="1"/>
  <c r="J6" i="219"/>
  <c r="D25" i="219"/>
  <c r="D24" i="219"/>
  <c r="D23" i="219"/>
  <c r="D22" i="219"/>
  <c r="D21" i="219"/>
  <c r="D20" i="219"/>
  <c r="D19" i="219"/>
  <c r="D18" i="219"/>
  <c r="G15" i="219"/>
  <c r="F15" i="219"/>
  <c r="E15" i="219"/>
  <c r="D15" i="219"/>
  <c r="B15" i="219"/>
  <c r="L14" i="219"/>
  <c r="K14" i="219"/>
  <c r="L13" i="219"/>
  <c r="K13" i="219"/>
  <c r="L12" i="219"/>
  <c r="K12" i="219"/>
  <c r="L11" i="219"/>
  <c r="K11" i="219"/>
  <c r="L10" i="219"/>
  <c r="K10" i="219"/>
  <c r="H9" i="219"/>
  <c r="L9" i="219" s="1"/>
  <c r="H8" i="219"/>
  <c r="K8" i="219" s="1"/>
  <c r="H5" i="219"/>
  <c r="H4" i="219"/>
  <c r="K4" i="219" s="1"/>
  <c r="L5" i="219" l="1"/>
  <c r="K5" i="219"/>
  <c r="L6" i="220"/>
  <c r="L15" i="220" s="1"/>
  <c r="K6" i="220"/>
  <c r="K15" i="220" s="1"/>
  <c r="H15" i="220"/>
  <c r="D26" i="219"/>
  <c r="L7" i="219"/>
  <c r="L8" i="219"/>
  <c r="K6" i="219"/>
  <c r="H15" i="219"/>
  <c r="C15" i="219"/>
  <c r="L6" i="219"/>
  <c r="K9" i="219"/>
  <c r="L4" i="219"/>
  <c r="C6" i="218"/>
  <c r="C15" i="218" s="1"/>
  <c r="C7" i="218"/>
  <c r="C8" i="218"/>
  <c r="J8" i="218"/>
  <c r="J7" i="218"/>
  <c r="J6" i="218"/>
  <c r="J15" i="218" s="1"/>
  <c r="D25" i="218"/>
  <c r="D24" i="218"/>
  <c r="D23" i="218"/>
  <c r="D22" i="218"/>
  <c r="D21" i="218"/>
  <c r="D20" i="218"/>
  <c r="D19" i="218"/>
  <c r="D18" i="218"/>
  <c r="G15" i="218"/>
  <c r="F15" i="218"/>
  <c r="E15" i="218"/>
  <c r="D15" i="218"/>
  <c r="B15" i="218"/>
  <c r="L14" i="218"/>
  <c r="K14" i="218"/>
  <c r="L13" i="218"/>
  <c r="K13" i="218"/>
  <c r="L12" i="218"/>
  <c r="K12" i="218"/>
  <c r="L11" i="218"/>
  <c r="K11" i="218"/>
  <c r="L10" i="218"/>
  <c r="K10" i="218"/>
  <c r="H9" i="218"/>
  <c r="H8" i="218"/>
  <c r="H7" i="218"/>
  <c r="K7" i="218" s="1"/>
  <c r="H5" i="218"/>
  <c r="H4" i="218"/>
  <c r="K4" i="218" s="1"/>
  <c r="K9" i="218" l="1"/>
  <c r="L9" i="218"/>
  <c r="K15" i="219"/>
  <c r="L15" i="219"/>
  <c r="D26" i="218"/>
  <c r="L8" i="218"/>
  <c r="L4" i="218"/>
  <c r="L7" i="218"/>
  <c r="H6" i="218"/>
  <c r="K8" i="218"/>
  <c r="K5" i="218"/>
  <c r="L5" i="218"/>
  <c r="C6" i="217"/>
  <c r="K6" i="218" l="1"/>
  <c r="L6" i="218"/>
  <c r="K15" i="218"/>
  <c r="L15" i="218"/>
  <c r="H15" i="218"/>
  <c r="J7" i="217"/>
  <c r="J6" i="217"/>
  <c r="D25" i="217"/>
  <c r="D24" i="217"/>
  <c r="D23" i="217"/>
  <c r="D22" i="217"/>
  <c r="D21" i="217"/>
  <c r="D20" i="217"/>
  <c r="D19" i="217"/>
  <c r="D18" i="217"/>
  <c r="J15" i="217"/>
  <c r="G15" i="217"/>
  <c r="F15" i="217"/>
  <c r="E15" i="217"/>
  <c r="D15" i="217"/>
  <c r="C15" i="217"/>
  <c r="B15" i="217"/>
  <c r="L14" i="217"/>
  <c r="K14" i="217"/>
  <c r="L13" i="217"/>
  <c r="K13" i="217"/>
  <c r="L12" i="217"/>
  <c r="K12" i="217"/>
  <c r="L11" i="217"/>
  <c r="K11" i="217"/>
  <c r="L10" i="217"/>
  <c r="K10" i="217"/>
  <c r="H9" i="217"/>
  <c r="L9" i="217" s="1"/>
  <c r="H8" i="217"/>
  <c r="L8" i="217" s="1"/>
  <c r="H7" i="217"/>
  <c r="H6" i="217"/>
  <c r="H5" i="217"/>
  <c r="L5" i="217" s="1"/>
  <c r="H4" i="217"/>
  <c r="K4" i="217" s="1"/>
  <c r="L4" i="217" l="1"/>
  <c r="D26" i="217"/>
  <c r="L6" i="217"/>
  <c r="K6" i="217"/>
  <c r="L7" i="217"/>
  <c r="K7" i="217"/>
  <c r="K5" i="217"/>
  <c r="K8" i="217"/>
  <c r="K9" i="217"/>
  <c r="H15" i="217"/>
  <c r="C7" i="216"/>
  <c r="C6" i="216"/>
  <c r="K15" i="217" l="1"/>
  <c r="L15" i="217"/>
  <c r="D25" i="216"/>
  <c r="D24" i="216"/>
  <c r="D23" i="216"/>
  <c r="D22" i="216"/>
  <c r="D21" i="216"/>
  <c r="D20" i="216"/>
  <c r="D19" i="216"/>
  <c r="D18" i="216"/>
  <c r="G15" i="216"/>
  <c r="F15" i="216"/>
  <c r="E15" i="216"/>
  <c r="D15" i="216"/>
  <c r="C15" i="216"/>
  <c r="B15" i="216"/>
  <c r="L14" i="216"/>
  <c r="K14" i="216"/>
  <c r="L13" i="216"/>
  <c r="K13" i="216"/>
  <c r="L12" i="216"/>
  <c r="K12" i="216"/>
  <c r="L11" i="216"/>
  <c r="K11" i="216"/>
  <c r="L10" i="216"/>
  <c r="K10" i="216"/>
  <c r="H9" i="216"/>
  <c r="K9" i="216" s="1"/>
  <c r="H8" i="216"/>
  <c r="K8" i="216" s="1"/>
  <c r="H7" i="216"/>
  <c r="K7" i="216" s="1"/>
  <c r="J15" i="216"/>
  <c r="H6" i="216"/>
  <c r="K6" i="216" s="1"/>
  <c r="H5" i="216"/>
  <c r="H4" i="216"/>
  <c r="L4" i="216" s="1"/>
  <c r="D26" i="216" l="1"/>
  <c r="L8" i="216"/>
  <c r="H15" i="216"/>
  <c r="L9" i="216"/>
  <c r="L7" i="216"/>
  <c r="K5" i="216"/>
  <c r="L6" i="216"/>
  <c r="L5" i="216"/>
  <c r="K4" i="216"/>
  <c r="C9" i="215"/>
  <c r="H9" i="215" s="1"/>
  <c r="J9" i="215"/>
  <c r="J15" i="215" s="1"/>
  <c r="J8" i="215"/>
  <c r="J7" i="215"/>
  <c r="J6" i="215"/>
  <c r="H8" i="215"/>
  <c r="K8" i="215" s="1"/>
  <c r="H7" i="215"/>
  <c r="H6" i="215"/>
  <c r="H5" i="215"/>
  <c r="D25" i="215"/>
  <c r="D24" i="215"/>
  <c r="D23" i="215"/>
  <c r="D22" i="215"/>
  <c r="D21" i="215"/>
  <c r="D20" i="215"/>
  <c r="D19" i="215"/>
  <c r="D26" i="215" s="1"/>
  <c r="D18" i="215"/>
  <c r="G15" i="215"/>
  <c r="F15" i="215"/>
  <c r="E15" i="215"/>
  <c r="D15" i="215"/>
  <c r="B15" i="215"/>
  <c r="L14" i="215"/>
  <c r="K14" i="215"/>
  <c r="L13" i="215"/>
  <c r="K13" i="215"/>
  <c r="L12" i="215"/>
  <c r="K12" i="215"/>
  <c r="L11" i="215"/>
  <c r="K11" i="215"/>
  <c r="L10" i="215"/>
  <c r="K10" i="215"/>
  <c r="H4" i="215"/>
  <c r="L4" i="215" s="1"/>
  <c r="K15" i="216" l="1"/>
  <c r="L5" i="215"/>
  <c r="K5" i="215"/>
  <c r="L15" i="216"/>
  <c r="K9" i="215"/>
  <c r="L7" i="215"/>
  <c r="K7" i="215"/>
  <c r="L6" i="215"/>
  <c r="H15" i="215"/>
  <c r="K6" i="215"/>
  <c r="L9" i="215"/>
  <c r="C15" i="215"/>
  <c r="K4" i="215"/>
  <c r="L8" i="215"/>
  <c r="B9" i="214"/>
  <c r="B7" i="214"/>
  <c r="C6" i="214"/>
  <c r="H6" i="214" s="1"/>
  <c r="C7" i="214"/>
  <c r="H7" i="214" s="1"/>
  <c r="C8" i="214"/>
  <c r="H8" i="214" s="1"/>
  <c r="H5" i="214"/>
  <c r="H4" i="214"/>
  <c r="C9" i="214"/>
  <c r="H9" i="214" s="1"/>
  <c r="J9" i="214"/>
  <c r="J8" i="214"/>
  <c r="G15" i="214"/>
  <c r="K15" i="215" l="1"/>
  <c r="L15" i="215"/>
  <c r="D24" i="214"/>
  <c r="J15" i="214" l="1"/>
  <c r="C15" i="214"/>
  <c r="D25" i="214"/>
  <c r="D23" i="214"/>
  <c r="D22" i="214"/>
  <c r="D21" i="214"/>
  <c r="D20" i="214"/>
  <c r="D19" i="214"/>
  <c r="D18" i="214"/>
  <c r="F15" i="214"/>
  <c r="E15" i="214"/>
  <c r="D15" i="214"/>
  <c r="B15" i="214"/>
  <c r="D26" i="214" l="1"/>
  <c r="K8" i="214"/>
  <c r="L8" i="214"/>
  <c r="K9" i="214"/>
  <c r="L9" i="214"/>
  <c r="L10" i="214"/>
  <c r="K10" i="214"/>
  <c r="L11" i="214"/>
  <c r="K11" i="214"/>
  <c r="L12" i="214"/>
  <c r="K12" i="214"/>
  <c r="K14" i="214"/>
  <c r="L14" i="214"/>
  <c r="L13" i="214"/>
  <c r="K13" i="214"/>
  <c r="L6" i="214"/>
  <c r="H15" i="214"/>
  <c r="K4" i="214"/>
  <c r="K6" i="214"/>
  <c r="L4" i="214"/>
  <c r="K7" i="214"/>
  <c r="L7" i="214"/>
  <c r="L5" i="214" l="1"/>
  <c r="L15" i="214" s="1"/>
  <c r="K5" i="214"/>
  <c r="K15" i="214" s="1"/>
</calcChain>
</file>

<file path=xl/sharedStrings.xml><?xml version="1.0" encoding="utf-8"?>
<sst xmlns="http://schemas.openxmlformats.org/spreadsheetml/2006/main" count="1108" uniqueCount="80">
  <si>
    <t xml:space="preserve">               </t>
  </si>
  <si>
    <t>User</t>
  </si>
  <si>
    <t>Cash</t>
  </si>
  <si>
    <t>Credit Card</t>
  </si>
  <si>
    <t>Other</t>
  </si>
  <si>
    <t>Total</t>
  </si>
  <si>
    <t>Excess</t>
  </si>
  <si>
    <t>Shortage</t>
  </si>
  <si>
    <t>Comp</t>
  </si>
  <si>
    <t xml:space="preserve"> </t>
  </si>
  <si>
    <t>X</t>
  </si>
  <si>
    <t>Coins</t>
  </si>
  <si>
    <t>KIOSK (Online)</t>
  </si>
  <si>
    <t>Online</t>
  </si>
  <si>
    <t>As per Report Revenue</t>
  </si>
  <si>
    <t>NOIR CINEMA DCS BOX &amp; CONCESSION</t>
  </si>
  <si>
    <t>UNPUNCH</t>
  </si>
  <si>
    <t>Final Deposit Amount</t>
  </si>
  <si>
    <t>.</t>
  </si>
  <si>
    <t>Influncer Voucher</t>
  </si>
  <si>
    <t>Denomination 27/12/2024</t>
  </si>
  <si>
    <t>Gahala Abdullah</t>
  </si>
  <si>
    <t>Basil Abdullah</t>
  </si>
  <si>
    <t>Hossam Saif Alharbi</t>
  </si>
  <si>
    <t>Mohammed Almutari</t>
  </si>
  <si>
    <t>Denomination 28/12/2024</t>
  </si>
  <si>
    <t>Ghonim Abdulrahman</t>
  </si>
  <si>
    <t>Nawaf Hamdi Alharbi</t>
  </si>
  <si>
    <t>Ohoud Saeed</t>
  </si>
  <si>
    <t>Denomination 29/12/2024</t>
  </si>
  <si>
    <t>Beshari Ebrahim</t>
  </si>
  <si>
    <t>Denomination 30/12/2024</t>
  </si>
  <si>
    <t>Denomination 31/12/2024</t>
  </si>
  <si>
    <t>Denomination 01/01/2025</t>
  </si>
  <si>
    <t>Basil Abdullah Alnawfal</t>
  </si>
  <si>
    <t>Saja Majid Aldegai</t>
  </si>
  <si>
    <t>Denomination 01/02/2025</t>
  </si>
  <si>
    <t>Denomination 01/03/2025</t>
  </si>
  <si>
    <t>Ghonim Abdulrahman alghonim</t>
  </si>
  <si>
    <t>Denomination 01/04/2025</t>
  </si>
  <si>
    <t>Basil Abdullah
Alnawfal</t>
  </si>
  <si>
    <t>Denomination 27/12/2024 TO 04/01/2025</t>
  </si>
  <si>
    <t>Denomination 01/05/2025</t>
  </si>
  <si>
    <t>Mohameed Almutairi</t>
  </si>
  <si>
    <t>Denomination 01/07/2025</t>
  </si>
  <si>
    <t>Gahala Abdullah Alsultan</t>
  </si>
  <si>
    <t>(-269) cach for gala</t>
  </si>
  <si>
    <t>Denomination 01/08/2025</t>
  </si>
  <si>
    <t>Beshari Ebrahim Alnashmi</t>
  </si>
  <si>
    <t>Denomination 01/10/2025</t>
  </si>
  <si>
    <t>Denomination 01/11/2025</t>
  </si>
  <si>
    <t>Denomination 01/12/2025</t>
  </si>
  <si>
    <t xml:space="preserve">beshayer alnashmi </t>
  </si>
  <si>
    <t xml:space="preserve">mohammed almutari </t>
  </si>
  <si>
    <t>Denomination 01/13/2025</t>
  </si>
  <si>
    <t>Denomination 01/14/2025</t>
  </si>
  <si>
    <t xml:space="preserve">Ghonim alghonim </t>
  </si>
  <si>
    <t>Denomination 01/15/2025</t>
  </si>
  <si>
    <t>Denomination 01/16/2025</t>
  </si>
  <si>
    <t>Denomination 01/17/2025</t>
  </si>
  <si>
    <t>Denomination 01/18/2025</t>
  </si>
  <si>
    <t>Denomination 01/19/2025</t>
  </si>
  <si>
    <t>Denomination 06/01/2025</t>
  </si>
  <si>
    <t>Denomination 5/1/2024 TO 17/01/2025</t>
  </si>
  <si>
    <t>Denomination 01/20/2025</t>
  </si>
  <si>
    <t>Denomination 01/21/2025</t>
  </si>
  <si>
    <t>Denomination 01/22/2025</t>
  </si>
  <si>
    <t>Denomination 01/23/2025</t>
  </si>
  <si>
    <t>Denomination 01/24/2025</t>
  </si>
  <si>
    <t>Saja majid aldegaither</t>
  </si>
  <si>
    <t>Mohamed Fahad Alruoqi</t>
  </si>
  <si>
    <t>mohammed fahad</t>
  </si>
  <si>
    <t>Walid Salam</t>
  </si>
  <si>
    <t>Denomination 01/25/2025</t>
  </si>
  <si>
    <t>Denomination 01/26/2025</t>
  </si>
  <si>
    <t>Denomination 01/27/2025</t>
  </si>
  <si>
    <t>Denomination 01/28/2025</t>
  </si>
  <si>
    <t>Denomination 01/29/2025</t>
  </si>
  <si>
    <t>Denomination 01/30/2025</t>
  </si>
  <si>
    <t>Ohoud Saeed Almutairi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</si>
</sst>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m&quot; &quot;d&quot;, &quot;yyyy"/>
    <numFmt numFmtId="165" formatCode="[$-409]m\-d\-yyyy"/>
    <numFmt numFmtId="166" formatCode="d\-mmm\-yy;@"/>
    <numFmt numFmtId="167" formatCode="0.000"/>
    <numFmt numFmtId="168" formatCode="d/mmm/yy;@"/>
    <numFmt numFmtId="169" formatCode="#,##0.00&quot; &quot;;&quot; (&quot;#,##0.00&quot;)&quot;;&quot; -&quot;#&quot; &quot;;@&quot; &quot;"/>
    <numFmt numFmtId="170" formatCode="#,##0.000&quot; &quot;;&quot; (&quot;#,##0.000&quot;)&quot;;&quot; -&quot;#.0&quot; &quot;;@&quot; &quot;"/>
    <numFmt numFmtId="171" formatCode="#,##0.000"/>
    <numFmt numFmtId="172" formatCode="#,##0.0"/>
    <numFmt numFmtId="173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2"/>
    </font>
    <font>
      <sz val="11"/>
      <color rgb="FFFF000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  <scheme val="minor"/>
    </font>
    <font>
      <b/>
      <sz val="7"/>
      <color rgb="FF000000"/>
      <name val="Arial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48A54"/>
        <bgColor rgb="FF948A54"/>
      </patternFill>
    </fill>
    <fill>
      <patternFill patternType="solid">
        <fgColor theme="4" tint="0.59999389629810485"/>
        <bgColor rgb="FFB3A2C7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00B0F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rgb="FFFCD5B5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168" fontId="8" fillId="0" borderId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</cellStyleXfs>
  <cellXfs count="65">
    <xf numFmtId="0" fontId="0" fillId="0" borderId="0" xfId="0"/>
    <xf numFmtId="164" fontId="3" fillId="0" borderId="0" xfId="1" applyNumberFormat="1" applyFont="1" applyAlignment="1">
      <alignment horizontal="center"/>
    </xf>
    <xf numFmtId="165" fontId="4" fillId="2" borderId="0" xfId="1" applyNumberFormat="1" applyFont="1" applyFill="1"/>
    <xf numFmtId="0" fontId="1" fillId="0" borderId="0" xfId="0" applyFont="1"/>
    <xf numFmtId="0" fontId="4" fillId="0" borderId="0" xfId="1" applyFont="1"/>
    <xf numFmtId="0" fontId="6" fillId="0" borderId="0" xfId="0" applyFont="1"/>
    <xf numFmtId="167" fontId="7" fillId="0" borderId="1" xfId="0" applyNumberFormat="1" applyFont="1" applyBorder="1" applyAlignment="1">
      <alignment vertical="center"/>
    </xf>
    <xf numFmtId="167" fontId="9" fillId="2" borderId="2" xfId="2" applyNumberFormat="1" applyFont="1" applyFill="1" applyBorder="1"/>
    <xf numFmtId="167" fontId="6" fillId="0" borderId="2" xfId="2" applyNumberFormat="1" applyFont="1" applyBorder="1" applyAlignment="1">
      <alignment horizontal="right"/>
    </xf>
    <xf numFmtId="167" fontId="3" fillId="0" borderId="2" xfId="2" applyNumberFormat="1" applyFont="1" applyBorder="1"/>
    <xf numFmtId="167" fontId="3" fillId="0" borderId="3" xfId="2" applyNumberFormat="1" applyFont="1" applyBorder="1"/>
    <xf numFmtId="167" fontId="10" fillId="0" borderId="1" xfId="0" applyNumberFormat="1" applyFont="1" applyBorder="1"/>
    <xf numFmtId="167" fontId="3" fillId="6" borderId="5" xfId="1" applyNumberFormat="1" applyFont="1" applyFill="1" applyBorder="1"/>
    <xf numFmtId="167" fontId="3" fillId="6" borderId="6" xfId="2" applyNumberFormat="1" applyFont="1" applyFill="1" applyBorder="1"/>
    <xf numFmtId="167" fontId="3" fillId="7" borderId="6" xfId="2" applyNumberFormat="1" applyFont="1" applyFill="1" applyBorder="1" applyAlignment="1">
      <alignment horizontal="center" vertical="center"/>
    </xf>
    <xf numFmtId="167" fontId="4" fillId="0" borderId="0" xfId="1" applyNumberFormat="1" applyFont="1"/>
    <xf numFmtId="167" fontId="6" fillId="0" borderId="0" xfId="0" applyNumberFormat="1" applyFont="1"/>
    <xf numFmtId="4" fontId="4" fillId="0" borderId="0" xfId="1" applyNumberFormat="1" applyFont="1"/>
    <xf numFmtId="169" fontId="4" fillId="0" borderId="0" xfId="1" applyNumberFormat="1" applyFont="1"/>
    <xf numFmtId="0" fontId="4" fillId="0" borderId="9" xfId="1" applyFont="1" applyBorder="1"/>
    <xf numFmtId="0" fontId="4" fillId="0" borderId="10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170" fontId="4" fillId="0" borderId="12" xfId="2" applyNumberFormat="1" applyFont="1" applyBorder="1"/>
    <xf numFmtId="0" fontId="4" fillId="0" borderId="13" xfId="1" applyFont="1" applyBorder="1"/>
    <xf numFmtId="0" fontId="4" fillId="0" borderId="13" xfId="1" applyFont="1" applyBorder="1" applyAlignment="1">
      <alignment horizontal="right"/>
    </xf>
    <xf numFmtId="0" fontId="4" fillId="0" borderId="15" xfId="1" applyFont="1" applyBorder="1" applyAlignment="1">
      <alignment horizontal="center"/>
    </xf>
    <xf numFmtId="1" fontId="4" fillId="0" borderId="14" xfId="1" applyNumberFormat="1" applyFont="1" applyBorder="1" applyAlignment="1">
      <alignment horizontal="left" indent="3"/>
    </xf>
    <xf numFmtId="170" fontId="5" fillId="5" borderId="16" xfId="1" applyNumberFormat="1" applyFont="1" applyFill="1" applyBorder="1"/>
    <xf numFmtId="0" fontId="4" fillId="0" borderId="17" xfId="1" applyFont="1" applyBorder="1" applyAlignment="1">
      <alignment horizontal="center"/>
    </xf>
    <xf numFmtId="0" fontId="10" fillId="0" borderId="0" xfId="1" applyFont="1"/>
    <xf numFmtId="0" fontId="11" fillId="0" borderId="0" xfId="1" applyFont="1" applyAlignment="1">
      <alignment horizontal="center" vertical="top"/>
    </xf>
    <xf numFmtId="167" fontId="12" fillId="0" borderId="0" xfId="1" applyNumberFormat="1" applyFont="1" applyAlignment="1">
      <alignment horizontal="right" vertical="top"/>
    </xf>
    <xf numFmtId="167" fontId="9" fillId="0" borderId="0" xfId="1" applyNumberFormat="1" applyFont="1" applyAlignment="1">
      <alignment horizontal="right"/>
    </xf>
    <xf numFmtId="167" fontId="11" fillId="0" borderId="0" xfId="1" applyNumberFormat="1" applyFont="1" applyAlignment="1">
      <alignment horizontal="center" vertical="top"/>
    </xf>
    <xf numFmtId="167" fontId="13" fillId="0" borderId="0" xfId="0" applyNumberFormat="1" applyFont="1"/>
    <xf numFmtId="172" fontId="10" fillId="0" borderId="0" xfId="1" applyNumberFormat="1" applyFont="1"/>
    <xf numFmtId="14" fontId="11" fillId="0" borderId="0" xfId="1" applyNumberFormat="1" applyFont="1" applyAlignment="1">
      <alignment horizontal="center" vertical="top"/>
    </xf>
    <xf numFmtId="167" fontId="9" fillId="0" borderId="0" xfId="1" applyNumberFormat="1" applyFont="1"/>
    <xf numFmtId="14" fontId="10" fillId="0" borderId="0" xfId="1" applyNumberFormat="1" applyFont="1"/>
    <xf numFmtId="0" fontId="10" fillId="0" borderId="0" xfId="1" applyFont="1" applyAlignment="1">
      <alignment horizontal="center"/>
    </xf>
    <xf numFmtId="171" fontId="1" fillId="0" borderId="0" xfId="0" applyNumberFormat="1" applyFont="1"/>
    <xf numFmtId="0" fontId="14" fillId="0" borderId="0" xfId="1" applyFont="1" applyAlignment="1">
      <alignment horizontal="center"/>
    </xf>
    <xf numFmtId="0" fontId="4" fillId="0" borderId="0" xfId="1" applyFont="1" applyAlignment="1">
      <alignment vertical="center" wrapText="1"/>
    </xf>
    <xf numFmtId="173" fontId="9" fillId="0" borderId="0" xfId="1" applyNumberFormat="1" applyFont="1" applyAlignment="1">
      <alignment horizontal="right"/>
    </xf>
    <xf numFmtId="167" fontId="10" fillId="0" borderId="1" xfId="0" applyNumberFormat="1" applyFont="1" applyBorder="1" applyAlignment="1">
      <alignment wrapText="1"/>
    </xf>
    <xf numFmtId="167" fontId="9" fillId="0" borderId="2" xfId="2" applyNumberFormat="1" applyFont="1" applyBorder="1"/>
    <xf numFmtId="167" fontId="3" fillId="4" borderId="20" xfId="1" applyNumberFormat="1" applyFont="1" applyFill="1" applyBorder="1" applyAlignment="1">
      <alignment horizontal="center" vertical="center" wrapText="1"/>
    </xf>
    <xf numFmtId="167" fontId="3" fillId="4" borderId="11" xfId="1" applyNumberFormat="1" applyFont="1" applyFill="1" applyBorder="1" applyAlignment="1">
      <alignment horizontal="center" vertical="center" wrapText="1"/>
    </xf>
    <xf numFmtId="167" fontId="3" fillId="4" borderId="18" xfId="1" applyNumberFormat="1" applyFont="1" applyFill="1" applyBorder="1" applyAlignment="1">
      <alignment horizontal="center" vertical="center" wrapText="1"/>
    </xf>
    <xf numFmtId="167" fontId="1" fillId="0" borderId="0" xfId="0" applyNumberFormat="1" applyFont="1"/>
    <xf numFmtId="170" fontId="1" fillId="0" borderId="0" xfId="0" applyNumberFormat="1" applyFont="1"/>
    <xf numFmtId="0" fontId="0" fillId="0" borderId="2" xfId="0" applyBorder="1"/>
    <xf numFmtId="0" fontId="17" fillId="0" borderId="0" xfId="0" applyFont="1"/>
    <xf numFmtId="167" fontId="1" fillId="10" borderId="11" xfId="3" applyNumberFormat="1" applyFont="1" applyFill="1" applyBorder="1" applyAlignment="1">
      <alignment horizontal="center" vertical="center" wrapText="1"/>
    </xf>
    <xf numFmtId="167" fontId="16" fillId="9" borderId="2" xfId="4" applyNumberFormat="1" applyBorder="1" applyAlignment="1"/>
    <xf numFmtId="167" fontId="3" fillId="11" borderId="6" xfId="2" applyNumberFormat="1" applyFont="1" applyFill="1" applyBorder="1"/>
    <xf numFmtId="166" fontId="5" fillId="3" borderId="7" xfId="1" applyNumberFormat="1" applyFont="1" applyFill="1" applyBorder="1" applyAlignment="1">
      <alignment horizontal="center"/>
    </xf>
    <xf numFmtId="166" fontId="5" fillId="3" borderId="8" xfId="1" applyNumberFormat="1" applyFont="1" applyFill="1" applyBorder="1" applyAlignment="1">
      <alignment horizontal="center"/>
    </xf>
    <xf numFmtId="166" fontId="5" fillId="3" borderId="19" xfId="1" applyNumberFormat="1" applyFont="1" applyFill="1" applyBorder="1" applyAlignment="1">
      <alignment horizontal="center"/>
    </xf>
    <xf numFmtId="167" fontId="3" fillId="5" borderId="4" xfId="1" applyNumberFormat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/>
    </xf>
    <xf numFmtId="0" fontId="5" fillId="0" borderId="22" xfId="1" applyFont="1" applyBorder="1" applyAlignment="1">
      <alignment horizontal="center"/>
    </xf>
  </cellXfs>
  <cellStyles count="5">
    <cellStyle name="Bad" xfId="3" builtinId="27"/>
    <cellStyle name="Excel Built-in Normal" xfId="1" xr:uid="{00000000-0005-0000-0000-000000000000}"/>
    <cellStyle name="Excel_BuiltIn_Comma" xfId="2" xr:uid="{00000000-0005-0000-0000-000001000000}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workbookViewId="0">
      <selection activeCell="J21" sqref="J21"/>
    </sheetView>
  </sheetViews>
  <sheetFormatPr defaultRowHeight="15"/>
  <cols>
    <col min="1" max="1" width="18.28515625" style="3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384" width="9.140625" style="3"/>
  </cols>
  <sheetData>
    <row r="1" spans="1:15" ht="17.25" thickBot="1">
      <c r="A1" s="1">
        <v>45653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45">
        <v>0</v>
      </c>
      <c r="K4" s="9">
        <f>IF(H4&gt;J4,H4-J4,0)</f>
        <v>0</v>
      </c>
      <c r="L4" s="10">
        <f>IF(J4&gt;H4,J4-H4,0)</f>
        <v>0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84</v>
      </c>
      <c r="E5" s="7">
        <v>0</v>
      </c>
      <c r="F5" s="7">
        <v>0</v>
      </c>
      <c r="G5" s="7">
        <v>0</v>
      </c>
      <c r="H5" s="8">
        <f t="shared" ref="H5:H9" si="0">+G5+F5+E5+D5+C5+B5</f>
        <v>84</v>
      </c>
      <c r="I5" s="59"/>
      <c r="J5" s="45">
        <v>84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44" t="s">
        <v>21</v>
      </c>
      <c r="B6" s="7">
        <v>282</v>
      </c>
      <c r="C6" s="7">
        <f>0.42+122+20+35+64+20+67+103+80+24+103+48+88+24+78+20+166+96+120+24+26</f>
        <v>1328.42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1610.42</v>
      </c>
      <c r="I6" s="59"/>
      <c r="J6" s="45">
        <v>1642</v>
      </c>
      <c r="K6" s="9">
        <f>IF(H6&gt;J6,H6-J6,0)</f>
        <v>0</v>
      </c>
      <c r="L6" s="10">
        <f>IF(J6&gt;H6,J6-H6,0)</f>
        <v>31.579999999999927</v>
      </c>
      <c r="M6" s="42"/>
      <c r="N6" s="42"/>
    </row>
    <row r="7" spans="1:15" s="5" customFormat="1" ht="18" customHeight="1">
      <c r="A7" s="11" t="s">
        <v>22</v>
      </c>
      <c r="B7" s="7">
        <f>192+3</f>
        <v>195</v>
      </c>
      <c r="C7" s="7">
        <f>76+58+20+38+80+40+101+120+60+79+20+122+37+42+26+29+29+24+40+126+96+156+53+24+20+21+20+45+12+7+58+52+59+35</f>
        <v>1825</v>
      </c>
      <c r="D7" s="7">
        <v>160</v>
      </c>
      <c r="E7" s="7">
        <v>0</v>
      </c>
      <c r="F7" s="7">
        <v>0</v>
      </c>
      <c r="G7" s="7">
        <v>0</v>
      </c>
      <c r="H7" s="8">
        <f t="shared" si="0"/>
        <v>2180</v>
      </c>
      <c r="I7" s="59"/>
      <c r="J7" s="45">
        <v>2180</v>
      </c>
      <c r="K7" s="9">
        <f>IF(H7&gt;J7,H7-J7,0)</f>
        <v>0</v>
      </c>
      <c r="L7" s="10">
        <f>IF(J7&gt;H7,J7-H7,0)</f>
        <v>0</v>
      </c>
    </row>
    <row r="8" spans="1:15" s="5" customFormat="1" ht="18" customHeight="1">
      <c r="A8" s="11" t="s">
        <v>23</v>
      </c>
      <c r="B8" s="7">
        <v>10</v>
      </c>
      <c r="C8" s="7">
        <f>24+7+128+20+40+39+20+84+7+38+7+42+20+128+20+62+176+56+26+32</f>
        <v>976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986</v>
      </c>
      <c r="I8" s="59"/>
      <c r="J8" s="45">
        <f>558+428</f>
        <v>986</v>
      </c>
      <c r="K8" s="9">
        <f t="shared" ref="K8:K14" si="1">IF(H8&gt;J8,H8-J8,0)</f>
        <v>0</v>
      </c>
      <c r="L8" s="10">
        <f t="shared" ref="L8:L14" si="2">IF(J8&gt;H8,J8-H8,0)</f>
        <v>0</v>
      </c>
    </row>
    <row r="9" spans="1:15" s="5" customFormat="1" ht="18" customHeight="1">
      <c r="A9" s="11" t="s">
        <v>24</v>
      </c>
      <c r="B9" s="7">
        <f>86-3</f>
        <v>83</v>
      </c>
      <c r="C9" s="7">
        <f>40+20+19+7+40+44+40+21+104+256+42+113+14+90</f>
        <v>850</v>
      </c>
      <c r="D9" s="7">
        <v>64</v>
      </c>
      <c r="E9" s="7">
        <v>0</v>
      </c>
      <c r="F9" s="7">
        <v>0</v>
      </c>
      <c r="G9" s="7">
        <v>146</v>
      </c>
      <c r="H9" s="8">
        <f t="shared" si="0"/>
        <v>1143</v>
      </c>
      <c r="I9" s="59"/>
      <c r="J9" s="45">
        <f>416+662+64</f>
        <v>1142</v>
      </c>
      <c r="K9" s="9">
        <f t="shared" si="1"/>
        <v>1</v>
      </c>
      <c r="L9" s="10">
        <f t="shared" si="2"/>
        <v>0</v>
      </c>
    </row>
    <row r="10" spans="1:15" s="5" customFormat="1" ht="16.5" hidden="1" customHeight="1">
      <c r="A10" s="11"/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v>0</v>
      </c>
      <c r="I10" s="59"/>
      <c r="J10" s="45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570</v>
      </c>
      <c r="C15" s="13">
        <f t="shared" si="3"/>
        <v>4979.42</v>
      </c>
      <c r="D15" s="13">
        <f t="shared" si="3"/>
        <v>308</v>
      </c>
      <c r="E15" s="13">
        <f t="shared" si="3"/>
        <v>0</v>
      </c>
      <c r="F15" s="13">
        <f t="shared" si="3"/>
        <v>0</v>
      </c>
      <c r="G15" s="13">
        <f t="shared" si="3"/>
        <v>146</v>
      </c>
      <c r="H15" s="13">
        <f t="shared" si="3"/>
        <v>6003.42</v>
      </c>
      <c r="I15" s="14"/>
      <c r="J15" s="13">
        <f>SUM(J4:J14)</f>
        <v>6034</v>
      </c>
      <c r="K15" s="13">
        <f>SUM(K4:K14)</f>
        <v>1</v>
      </c>
      <c r="L15" s="13">
        <f>SUM(L4:L14)</f>
        <v>31.579999999999927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21" ht="18.75" customHeight="1" thickBot="1">
      <c r="A17" s="60" t="s">
        <v>20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</row>
    <row r="18" spans="1:21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</row>
    <row r="19" spans="1:21" ht="18.75" customHeight="1">
      <c r="A19" s="23">
        <v>100</v>
      </c>
      <c r="B19" s="20" t="s">
        <v>10</v>
      </c>
      <c r="C19" s="21">
        <v>5</v>
      </c>
      <c r="D19" s="22">
        <f t="shared" ref="D19" si="4">A19*C19</f>
        <v>500</v>
      </c>
      <c r="U19" s="49"/>
    </row>
    <row r="20" spans="1:21" ht="16.5">
      <c r="A20" s="23">
        <v>50</v>
      </c>
      <c r="B20" s="20" t="s">
        <v>10</v>
      </c>
      <c r="C20" s="21">
        <v>1</v>
      </c>
      <c r="D20" s="22">
        <f>A20*C20</f>
        <v>50</v>
      </c>
      <c r="N20" s="49"/>
      <c r="U20" s="49"/>
    </row>
    <row r="21" spans="1:21" ht="16.5">
      <c r="A21" s="23">
        <v>20</v>
      </c>
      <c r="B21" s="20" t="s">
        <v>10</v>
      </c>
      <c r="C21" s="21">
        <v>0</v>
      </c>
      <c r="D21" s="22">
        <f>A21*C21</f>
        <v>0</v>
      </c>
      <c r="N21" s="49"/>
    </row>
    <row r="22" spans="1:21" ht="16.5">
      <c r="A22" s="23">
        <v>10</v>
      </c>
      <c r="B22" s="20" t="s">
        <v>10</v>
      </c>
      <c r="C22" s="21">
        <v>2</v>
      </c>
      <c r="D22" s="22">
        <f>A22*C22</f>
        <v>20</v>
      </c>
      <c r="O22" s="49"/>
    </row>
    <row r="23" spans="1:21" ht="16.5">
      <c r="A23" s="23">
        <v>5</v>
      </c>
      <c r="B23" s="20" t="s">
        <v>10</v>
      </c>
      <c r="C23" s="21">
        <v>0</v>
      </c>
      <c r="D23" s="22">
        <f>A23*C23</f>
        <v>0</v>
      </c>
    </row>
    <row r="24" spans="1:21" ht="16.5">
      <c r="A24" s="24" t="s">
        <v>11</v>
      </c>
      <c r="B24" s="25" t="s">
        <v>10</v>
      </c>
      <c r="C24" s="21">
        <v>0</v>
      </c>
      <c r="D24" s="22">
        <f>+C24*1</f>
        <v>0</v>
      </c>
    </row>
    <row r="25" spans="1:21" ht="16.5">
      <c r="A25" s="24"/>
      <c r="B25" s="25"/>
      <c r="C25" s="21">
        <v>0</v>
      </c>
      <c r="D25" s="22">
        <f>+C25*0.025</f>
        <v>0</v>
      </c>
    </row>
    <row r="26" spans="1:21" ht="16.5">
      <c r="A26" s="63" t="s">
        <v>17</v>
      </c>
      <c r="B26" s="64"/>
      <c r="C26" s="26"/>
      <c r="D26" s="27">
        <f>SUM(D18:D25)</f>
        <v>570</v>
      </c>
    </row>
    <row r="27" spans="1:21" ht="16.5">
      <c r="A27" s="4"/>
    </row>
    <row r="28" spans="1:21" ht="16.5">
      <c r="A28" s="4"/>
    </row>
    <row r="29" spans="1:21" ht="16.5">
      <c r="A29" s="4"/>
    </row>
    <row r="30" spans="1:21" ht="16.5">
      <c r="A30" s="31"/>
    </row>
    <row r="31" spans="1:21" ht="16.5">
      <c r="A31" s="32"/>
    </row>
    <row r="32" spans="1:21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rintOptions horizontalCentered="1" verticalCentered="1"/>
  <pageMargins left="0.15748031496062992" right="0.15748031496062992" top="0.31496062992125984" bottom="0.23622047244094491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D801-A976-4AC1-9C96-BBE46DF92C65}">
  <dimension ref="A1:U50"/>
  <sheetViews>
    <sheetView workbookViewId="0">
      <selection activeCell="J5" sqref="J5"/>
    </sheetView>
  </sheetViews>
  <sheetFormatPr defaultRowHeight="15"/>
  <cols>
    <col min="1" max="1" width="18.28515625" style="3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7" width="9.140625" style="3"/>
    <col min="18" max="18" width="9.5703125" style="3" bestFit="1" customWidth="1"/>
    <col min="19" max="16384" width="9.140625" style="3"/>
  </cols>
  <sheetData>
    <row r="1" spans="1:15" ht="17.25" thickBot="1">
      <c r="A1" s="1">
        <v>45654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45">
        <v>0</v>
      </c>
      <c r="K4" s="9">
        <f>IF(H4&gt;J4,H4-J4,0)</f>
        <v>0</v>
      </c>
      <c r="L4" s="10">
        <f>IF(J4&gt;H4,J4-H4,0)</f>
        <v>0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8">
        <f t="shared" ref="H5:H9" si="0">+G5+F5+E5+D5+C5+B5</f>
        <v>0</v>
      </c>
      <c r="I5" s="59"/>
      <c r="J5" s="45">
        <v>0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44" t="s">
        <v>26</v>
      </c>
      <c r="B6" s="7">
        <v>129</v>
      </c>
      <c r="C6" s="7">
        <v>183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312</v>
      </c>
      <c r="I6" s="59"/>
      <c r="J6" s="45">
        <f>128+184</f>
        <v>312</v>
      </c>
      <c r="K6" s="9">
        <f>IF(H6&gt;J6,H6-J6,0)</f>
        <v>0</v>
      </c>
      <c r="L6" s="10">
        <f>IF(J6&gt;H6,J6-H6,0)</f>
        <v>0</v>
      </c>
      <c r="M6" s="42"/>
      <c r="N6" s="42"/>
    </row>
    <row r="7" spans="1:15" s="5" customFormat="1" ht="18" customHeight="1">
      <c r="A7" s="11" t="s">
        <v>27</v>
      </c>
      <c r="B7" s="7">
        <v>60</v>
      </c>
      <c r="C7" s="7">
        <v>389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449</v>
      </c>
      <c r="I7" s="59"/>
      <c r="J7" s="45">
        <f>212+237</f>
        <v>449</v>
      </c>
      <c r="K7" s="9">
        <f>IF(H7&gt;J7,H7-J7,0)</f>
        <v>0</v>
      </c>
      <c r="L7" s="10">
        <f>IF(J7&gt;H7,J7-H7,0)</f>
        <v>0</v>
      </c>
    </row>
    <row r="8" spans="1:15" s="5" customFormat="1" ht="18" customHeight="1">
      <c r="A8" s="11" t="s">
        <v>22</v>
      </c>
      <c r="B8" s="7">
        <v>178</v>
      </c>
      <c r="C8" s="7">
        <v>544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722</v>
      </c>
      <c r="I8" s="59"/>
      <c r="J8" s="45">
        <f>466+256</f>
        <v>722</v>
      </c>
      <c r="K8" s="9">
        <f t="shared" ref="K8:K14" si="1">IF(H8&gt;J8,H8-J8,0)</f>
        <v>0</v>
      </c>
      <c r="L8" s="10">
        <f t="shared" ref="L8:L14" si="2">IF(J8&gt;H8,J8-H8,0)</f>
        <v>0</v>
      </c>
    </row>
    <row r="9" spans="1:15" s="5" customFormat="1" ht="18" customHeight="1">
      <c r="A9" s="11" t="s">
        <v>28</v>
      </c>
      <c r="B9" s="7">
        <v>207</v>
      </c>
      <c r="C9" s="7">
        <f>244+40+87+32+27+40+39+148+7+20</f>
        <v>684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891</v>
      </c>
      <c r="I9" s="59"/>
      <c r="J9" s="45">
        <f>501+390</f>
        <v>891</v>
      </c>
      <c r="K9" s="9">
        <f t="shared" si="1"/>
        <v>0</v>
      </c>
      <c r="L9" s="10">
        <f t="shared" si="2"/>
        <v>0</v>
      </c>
    </row>
    <row r="10" spans="1:15" s="5" customFormat="1" ht="16.5" hidden="1" customHeight="1">
      <c r="A10" s="11"/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v>0</v>
      </c>
      <c r="I10" s="59"/>
      <c r="J10" s="45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574</v>
      </c>
      <c r="C15" s="13">
        <f t="shared" si="3"/>
        <v>1800</v>
      </c>
      <c r="D15" s="13">
        <f t="shared" si="3"/>
        <v>0</v>
      </c>
      <c r="E15" s="13">
        <f t="shared" si="3"/>
        <v>0</v>
      </c>
      <c r="F15" s="13">
        <f t="shared" si="3"/>
        <v>0</v>
      </c>
      <c r="G15" s="13">
        <f t="shared" si="3"/>
        <v>0</v>
      </c>
      <c r="H15" s="13">
        <f t="shared" si="3"/>
        <v>2374</v>
      </c>
      <c r="I15" s="14"/>
      <c r="J15" s="13">
        <f>SUM(J4:J14)</f>
        <v>2374</v>
      </c>
      <c r="K15" s="13">
        <f>SUM(K4:K14)</f>
        <v>0</v>
      </c>
      <c r="L15" s="13">
        <f>SUM(L4:L14)</f>
        <v>0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21" ht="18.75" customHeight="1" thickBot="1">
      <c r="A17" s="60" t="s">
        <v>25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</row>
    <row r="18" spans="1:21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</row>
    <row r="19" spans="1:21" ht="18.75" customHeight="1">
      <c r="A19" s="23">
        <v>100</v>
      </c>
      <c r="B19" s="20" t="s">
        <v>10</v>
      </c>
      <c r="C19" s="21">
        <v>3</v>
      </c>
      <c r="D19" s="22">
        <f t="shared" ref="D19" si="4">A19*C19</f>
        <v>300</v>
      </c>
      <c r="U19" s="49"/>
    </row>
    <row r="20" spans="1:21" ht="16.5">
      <c r="A20" s="23">
        <v>50</v>
      </c>
      <c r="B20" s="20" t="s">
        <v>10</v>
      </c>
      <c r="C20" s="21">
        <v>1</v>
      </c>
      <c r="D20" s="22">
        <f>A20*C20</f>
        <v>50</v>
      </c>
      <c r="N20" s="49"/>
      <c r="U20" s="49"/>
    </row>
    <row r="21" spans="1:21" ht="16.5">
      <c r="A21" s="23">
        <v>20</v>
      </c>
      <c r="B21" s="20" t="s">
        <v>10</v>
      </c>
      <c r="C21" s="21">
        <v>0</v>
      </c>
      <c r="D21" s="22">
        <f>A21*C21</f>
        <v>0</v>
      </c>
      <c r="N21" s="49"/>
    </row>
    <row r="22" spans="1:21" ht="16.5">
      <c r="A22" s="23">
        <v>10</v>
      </c>
      <c r="B22" s="20" t="s">
        <v>10</v>
      </c>
      <c r="C22" s="21">
        <v>0</v>
      </c>
      <c r="D22" s="22">
        <f>A22*C22</f>
        <v>0</v>
      </c>
      <c r="O22" s="49"/>
    </row>
    <row r="23" spans="1:21" ht="16.5">
      <c r="A23" s="23">
        <v>5</v>
      </c>
      <c r="B23" s="20" t="s">
        <v>10</v>
      </c>
      <c r="C23" s="21">
        <v>42</v>
      </c>
      <c r="D23" s="22">
        <f>A23*C23</f>
        <v>210</v>
      </c>
    </row>
    <row r="24" spans="1:21" ht="16.5">
      <c r="A24" s="24" t="s">
        <v>11</v>
      </c>
      <c r="B24" s="25" t="s">
        <v>10</v>
      </c>
      <c r="C24" s="21">
        <v>14</v>
      </c>
      <c r="D24" s="22">
        <f>+C24*1</f>
        <v>14</v>
      </c>
    </row>
    <row r="25" spans="1:21" ht="16.5">
      <c r="A25" s="24"/>
      <c r="B25" s="25"/>
      <c r="C25" s="21">
        <v>0</v>
      </c>
      <c r="D25" s="22">
        <f>+C25*0.025</f>
        <v>0</v>
      </c>
    </row>
    <row r="26" spans="1:21" ht="16.5">
      <c r="A26" s="63" t="s">
        <v>17</v>
      </c>
      <c r="B26" s="64"/>
      <c r="C26" s="26"/>
      <c r="D26" s="27">
        <f>SUM(D18:D25)</f>
        <v>574</v>
      </c>
    </row>
    <row r="27" spans="1:21" ht="16.5">
      <c r="A27" s="4"/>
      <c r="R27" s="50"/>
    </row>
    <row r="28" spans="1:21" ht="16.5">
      <c r="A28" s="4"/>
    </row>
    <row r="29" spans="1:21" ht="16.5">
      <c r="A29" s="4"/>
    </row>
    <row r="30" spans="1:21" ht="16.5">
      <c r="A30" s="31"/>
    </row>
    <row r="31" spans="1:21" ht="16.5">
      <c r="A31" s="32"/>
    </row>
    <row r="32" spans="1:21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rintOptions horizontalCentered="1" verticalCentered="1"/>
  <pageMargins left="0.15748031496062992" right="0.15748031496062992" top="0.31496062992125984" bottom="0.23622047244094491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E5A4-0DFF-4473-BCBE-18D9DD608C56}">
  <dimension ref="A1:U50"/>
  <sheetViews>
    <sheetView workbookViewId="0">
      <selection activeCell="O19" sqref="O19"/>
    </sheetView>
  </sheetViews>
  <sheetFormatPr defaultRowHeight="15"/>
  <cols>
    <col min="1" max="1" width="18.28515625" style="3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" width="9.140625" style="3"/>
    <col min="17" max="18" width="9.5703125" style="3" bestFit="1" customWidth="1"/>
    <col min="19" max="16384" width="9.140625" style="3"/>
  </cols>
  <sheetData>
    <row r="1" spans="1:15" ht="17.25" thickBot="1">
      <c r="A1" s="1">
        <v>45655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45">
        <v>0</v>
      </c>
      <c r="K4" s="9">
        <f>IF(H4&gt;J4,H4-J4,0)</f>
        <v>0</v>
      </c>
      <c r="L4" s="10">
        <f>IF(J4&gt;H4,J4-H4,0)</f>
        <v>0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264</v>
      </c>
      <c r="E5" s="7">
        <v>0</v>
      </c>
      <c r="F5" s="7">
        <v>0</v>
      </c>
      <c r="G5" s="7">
        <v>0</v>
      </c>
      <c r="H5" s="8">
        <f t="shared" ref="H5:H9" si="0">+G5+F5+E5+D5+C5+B5</f>
        <v>264</v>
      </c>
      <c r="I5" s="59"/>
      <c r="J5" s="45">
        <v>264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44" t="s">
        <v>30</v>
      </c>
      <c r="B6" s="7">
        <v>27</v>
      </c>
      <c r="C6" s="7">
        <f>14+190+40</f>
        <v>244</v>
      </c>
      <c r="D6" s="7">
        <v>46</v>
      </c>
      <c r="E6" s="7">
        <v>0</v>
      </c>
      <c r="F6" s="7">
        <v>0</v>
      </c>
      <c r="G6" s="7">
        <v>0</v>
      </c>
      <c r="H6" s="8">
        <f t="shared" si="0"/>
        <v>317</v>
      </c>
      <c r="I6" s="59"/>
      <c r="J6" s="45">
        <v>317</v>
      </c>
      <c r="K6" s="9">
        <f>IF(H6&gt;J6,H6-J6,0)</f>
        <v>0</v>
      </c>
      <c r="L6" s="10">
        <f>IF(J6&gt;H6,J6-H6,0)</f>
        <v>0</v>
      </c>
      <c r="M6" s="42"/>
      <c r="N6" s="42"/>
    </row>
    <row r="7" spans="1:15" s="5" customFormat="1" ht="18" customHeight="1">
      <c r="A7" s="11" t="s">
        <v>27</v>
      </c>
      <c r="B7" s="7">
        <v>20</v>
      </c>
      <c r="C7" s="7">
        <f>20+26+20</f>
        <v>66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86</v>
      </c>
      <c r="I7" s="59"/>
      <c r="J7" s="45">
        <v>86</v>
      </c>
      <c r="K7" s="9">
        <f>IF(H7&gt;J7,H7-J7,0)</f>
        <v>0</v>
      </c>
      <c r="L7" s="10">
        <f>IF(J7&gt;H7,J7-H7,0)</f>
        <v>0</v>
      </c>
    </row>
    <row r="8" spans="1:15" s="5" customFormat="1" ht="18" hidden="1" customHeight="1">
      <c r="A8" s="11" t="s">
        <v>22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0</v>
      </c>
      <c r="I8" s="59"/>
      <c r="J8" s="45">
        <v>0</v>
      </c>
      <c r="K8" s="9">
        <f t="shared" ref="K8:K14" si="1">IF(H8&gt;J8,H8-J8,0)</f>
        <v>0</v>
      </c>
      <c r="L8" s="10">
        <f t="shared" ref="L8:L14" si="2">IF(J8&gt;H8,J8-H8,0)</f>
        <v>0</v>
      </c>
    </row>
    <row r="9" spans="1:15" s="5" customFormat="1" ht="18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45">
        <v>0</v>
      </c>
      <c r="K9" s="9">
        <f t="shared" si="1"/>
        <v>0</v>
      </c>
      <c r="L9" s="10">
        <f t="shared" si="2"/>
        <v>0</v>
      </c>
    </row>
    <row r="10" spans="1:15" s="5" customFormat="1" ht="16.5" hidden="1" customHeight="1">
      <c r="A10" s="11"/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v>0</v>
      </c>
      <c r="I10" s="59"/>
      <c r="J10" s="45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47</v>
      </c>
      <c r="C15" s="13">
        <f t="shared" si="3"/>
        <v>310</v>
      </c>
      <c r="D15" s="13">
        <f t="shared" si="3"/>
        <v>310</v>
      </c>
      <c r="E15" s="13">
        <f t="shared" si="3"/>
        <v>0</v>
      </c>
      <c r="F15" s="13">
        <f t="shared" si="3"/>
        <v>0</v>
      </c>
      <c r="G15" s="13">
        <f t="shared" si="3"/>
        <v>0</v>
      </c>
      <c r="H15" s="13">
        <f t="shared" si="3"/>
        <v>667</v>
      </c>
      <c r="I15" s="14"/>
      <c r="J15" s="13">
        <f>SUM(J4:J14)</f>
        <v>667</v>
      </c>
      <c r="K15" s="13">
        <f>SUM(K4:K14)</f>
        <v>0</v>
      </c>
      <c r="L15" s="13">
        <f>SUM(L4:L14)</f>
        <v>0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21" ht="18.75" customHeight="1" thickBot="1">
      <c r="A17" s="60" t="s">
        <v>29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</row>
    <row r="18" spans="1:21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</row>
    <row r="19" spans="1:21" ht="18.75" customHeight="1">
      <c r="A19" s="23">
        <v>100</v>
      </c>
      <c r="B19" s="20" t="s">
        <v>10</v>
      </c>
      <c r="C19" s="21">
        <v>0</v>
      </c>
      <c r="D19" s="22">
        <f t="shared" ref="D19" si="4">A19*C19</f>
        <v>0</v>
      </c>
      <c r="U19" s="49"/>
    </row>
    <row r="20" spans="1:21" ht="16.5">
      <c r="A20" s="23">
        <v>50</v>
      </c>
      <c r="B20" s="20" t="s">
        <v>10</v>
      </c>
      <c r="C20" s="21">
        <v>0</v>
      </c>
      <c r="D20" s="22">
        <f>A20*C20</f>
        <v>0</v>
      </c>
      <c r="N20" s="49"/>
      <c r="U20" s="49"/>
    </row>
    <row r="21" spans="1:21" ht="16.5">
      <c r="A21" s="23">
        <v>20</v>
      </c>
      <c r="B21" s="20" t="s">
        <v>10</v>
      </c>
      <c r="C21" s="21">
        <v>0</v>
      </c>
      <c r="D21" s="22">
        <f>A21*C21</f>
        <v>0</v>
      </c>
      <c r="N21" s="49"/>
    </row>
    <row r="22" spans="1:21" ht="16.5">
      <c r="A22" s="23">
        <v>10</v>
      </c>
      <c r="B22" s="20" t="s">
        <v>10</v>
      </c>
      <c r="C22" s="21">
        <v>4</v>
      </c>
      <c r="D22" s="22">
        <f>A22*C22</f>
        <v>40</v>
      </c>
      <c r="O22" s="49"/>
    </row>
    <row r="23" spans="1:21" ht="16.5">
      <c r="A23" s="23">
        <v>5</v>
      </c>
      <c r="B23" s="20" t="s">
        <v>10</v>
      </c>
      <c r="C23" s="21">
        <v>1</v>
      </c>
      <c r="D23" s="22">
        <f>A23*C23</f>
        <v>5</v>
      </c>
      <c r="Q23" s="50"/>
    </row>
    <row r="24" spans="1:21" ht="16.5">
      <c r="A24" s="24" t="s">
        <v>11</v>
      </c>
      <c r="B24" s="25" t="s">
        <v>10</v>
      </c>
      <c r="C24" s="21">
        <v>2</v>
      </c>
      <c r="D24" s="22">
        <f>+C24*1</f>
        <v>2</v>
      </c>
    </row>
    <row r="25" spans="1:21" ht="16.5">
      <c r="A25" s="24"/>
      <c r="B25" s="25"/>
      <c r="C25" s="21">
        <v>0</v>
      </c>
      <c r="D25" s="22">
        <f>+C25*0.025</f>
        <v>0</v>
      </c>
    </row>
    <row r="26" spans="1:21" ht="16.5">
      <c r="A26" s="63" t="s">
        <v>17</v>
      </c>
      <c r="B26" s="64"/>
      <c r="C26" s="26"/>
      <c r="D26" s="27">
        <f>SUM(D18:D25)</f>
        <v>47</v>
      </c>
    </row>
    <row r="27" spans="1:21" ht="16.5">
      <c r="A27" s="4"/>
      <c r="R27" s="50"/>
    </row>
    <row r="28" spans="1:21" ht="16.5">
      <c r="A28" s="4"/>
    </row>
    <row r="29" spans="1:21" ht="16.5">
      <c r="A29" s="4"/>
    </row>
    <row r="30" spans="1:21" ht="16.5">
      <c r="A30" s="31"/>
    </row>
    <row r="31" spans="1:21" ht="16.5">
      <c r="A31" s="32"/>
    </row>
    <row r="32" spans="1:21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rintOptions horizontalCentered="1" verticalCentered="1"/>
  <pageMargins left="0.15748031496062992" right="0.15748031496062992" top="0.31496062992125984" bottom="0.23622047244094491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B688-507F-4F0D-A7F0-0817A26DABD1}">
  <dimension ref="A1:U50"/>
  <sheetViews>
    <sheetView workbookViewId="0">
      <selection activeCell="G27" sqref="G27"/>
    </sheetView>
  </sheetViews>
  <sheetFormatPr defaultRowHeight="15"/>
  <cols>
    <col min="1" max="1" width="18.28515625" style="3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" width="9.140625" style="3"/>
    <col min="17" max="18" width="9.5703125" style="3" bestFit="1" customWidth="1"/>
    <col min="19" max="16384" width="9.140625" style="3"/>
  </cols>
  <sheetData>
    <row r="1" spans="1:15" ht="17.25" thickBot="1">
      <c r="A1" s="1">
        <v>45656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45">
        <v>16</v>
      </c>
      <c r="K4" s="9">
        <f>IF(H4&gt;J4,H4-J4,0)</f>
        <v>0</v>
      </c>
      <c r="L4" s="10">
        <f>IF(J4&gt;H4,J4-H4,0)</f>
        <v>16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152</v>
      </c>
      <c r="E5" s="7">
        <v>0</v>
      </c>
      <c r="F5" s="7">
        <v>0</v>
      </c>
      <c r="G5" s="7">
        <v>0</v>
      </c>
      <c r="H5" s="8">
        <f t="shared" ref="H5:H9" si="0">+G5+F5+E5+D5+C5+B5</f>
        <v>152</v>
      </c>
      <c r="I5" s="59"/>
      <c r="J5" s="45">
        <v>152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44" t="s">
        <v>23</v>
      </c>
      <c r="B6" s="7">
        <v>67</v>
      </c>
      <c r="C6" s="7">
        <f>160+40+64+50+12+32+20+38+20+24</f>
        <v>460</v>
      </c>
      <c r="D6" s="7">
        <v>0</v>
      </c>
      <c r="E6" s="7">
        <v>0</v>
      </c>
      <c r="F6" s="7">
        <v>0</v>
      </c>
      <c r="G6" s="7">
        <v>64</v>
      </c>
      <c r="H6" s="8">
        <f t="shared" si="0"/>
        <v>591</v>
      </c>
      <c r="I6" s="59"/>
      <c r="J6" s="45">
        <f>320+271</f>
        <v>591</v>
      </c>
      <c r="K6" s="9">
        <f>IF(H6&gt;J6,H6-J6,0)</f>
        <v>0</v>
      </c>
      <c r="L6" s="10">
        <f>IF(J6&gt;H6,J6-H6,0)</f>
        <v>0</v>
      </c>
      <c r="M6" s="42"/>
      <c r="N6" s="42"/>
    </row>
    <row r="7" spans="1:15" s="5" customFormat="1" ht="18" customHeight="1">
      <c r="A7" s="11" t="s">
        <v>30</v>
      </c>
      <c r="B7" s="7">
        <v>0</v>
      </c>
      <c r="C7" s="7">
        <v>956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956</v>
      </c>
      <c r="I7" s="59"/>
      <c r="J7" s="45">
        <f>512+415</f>
        <v>927</v>
      </c>
      <c r="K7" s="9">
        <f>IF(H7&gt;J7,H7-J7,0)</f>
        <v>29</v>
      </c>
      <c r="L7" s="10">
        <f>IF(J7&gt;H7,J7-H7,0)</f>
        <v>0</v>
      </c>
    </row>
    <row r="8" spans="1:15" s="5" customFormat="1" ht="18" hidden="1" customHeight="1">
      <c r="A8" s="11" t="s">
        <v>22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0</v>
      </c>
      <c r="I8" s="59"/>
      <c r="J8" s="45">
        <v>0</v>
      </c>
      <c r="K8" s="9">
        <f t="shared" ref="K8:K14" si="1">IF(H8&gt;J8,H8-J8,0)</f>
        <v>0</v>
      </c>
      <c r="L8" s="10">
        <f t="shared" ref="L8:L14" si="2">IF(J8&gt;H8,J8-H8,0)</f>
        <v>0</v>
      </c>
    </row>
    <row r="9" spans="1:15" s="5" customFormat="1" ht="18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45">
        <v>0</v>
      </c>
      <c r="K9" s="9">
        <f t="shared" si="1"/>
        <v>0</v>
      </c>
      <c r="L9" s="10">
        <f t="shared" si="2"/>
        <v>0</v>
      </c>
    </row>
    <row r="10" spans="1:15" s="5" customFormat="1" ht="16.5" hidden="1" customHeight="1">
      <c r="A10" s="11"/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v>0</v>
      </c>
      <c r="I10" s="59"/>
      <c r="J10" s="45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67</v>
      </c>
      <c r="C15" s="13">
        <f t="shared" si="3"/>
        <v>1416</v>
      </c>
      <c r="D15" s="13">
        <f t="shared" si="3"/>
        <v>152</v>
      </c>
      <c r="E15" s="13">
        <f t="shared" si="3"/>
        <v>0</v>
      </c>
      <c r="F15" s="13">
        <f t="shared" si="3"/>
        <v>0</v>
      </c>
      <c r="G15" s="13">
        <f t="shared" si="3"/>
        <v>64</v>
      </c>
      <c r="H15" s="13">
        <f t="shared" si="3"/>
        <v>1699</v>
      </c>
      <c r="I15" s="14"/>
      <c r="J15" s="13">
        <f>SUM(J4:J14)</f>
        <v>1686</v>
      </c>
      <c r="K15" s="13">
        <f>SUM(K4:K14)</f>
        <v>29</v>
      </c>
      <c r="L15" s="13">
        <f>SUM(L4:L14)</f>
        <v>16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21" ht="18.75" customHeight="1" thickBot="1">
      <c r="A17" s="60" t="s">
        <v>31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</row>
    <row r="18" spans="1:21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</row>
    <row r="19" spans="1:21" ht="18.75" customHeight="1">
      <c r="A19" s="23">
        <v>100</v>
      </c>
      <c r="B19" s="20" t="s">
        <v>10</v>
      </c>
      <c r="C19" s="21">
        <v>0</v>
      </c>
      <c r="D19" s="22">
        <f t="shared" ref="D19" si="4">A19*C19</f>
        <v>0</v>
      </c>
      <c r="U19" s="49"/>
    </row>
    <row r="20" spans="1:21" ht="16.5">
      <c r="A20" s="23">
        <v>50</v>
      </c>
      <c r="B20" s="20" t="s">
        <v>10</v>
      </c>
      <c r="C20" s="21">
        <v>0</v>
      </c>
      <c r="D20" s="22">
        <f>A20*C20</f>
        <v>0</v>
      </c>
      <c r="N20" s="49"/>
      <c r="U20" s="49"/>
    </row>
    <row r="21" spans="1:21" ht="16.5">
      <c r="A21" s="23">
        <v>20</v>
      </c>
      <c r="B21" s="20" t="s">
        <v>10</v>
      </c>
      <c r="C21" s="21">
        <v>0</v>
      </c>
      <c r="D21" s="22">
        <f>A21*C21</f>
        <v>0</v>
      </c>
      <c r="N21" s="49"/>
    </row>
    <row r="22" spans="1:21" ht="16.5">
      <c r="A22" s="23">
        <v>10</v>
      </c>
      <c r="B22" s="20" t="s">
        <v>10</v>
      </c>
      <c r="C22" s="21">
        <v>0</v>
      </c>
      <c r="D22" s="22">
        <f>A22*C22</f>
        <v>0</v>
      </c>
      <c r="O22" s="49"/>
    </row>
    <row r="23" spans="1:21" ht="16.5">
      <c r="A23" s="23">
        <v>5</v>
      </c>
      <c r="B23" s="20" t="s">
        <v>10</v>
      </c>
      <c r="C23" s="21">
        <v>11</v>
      </c>
      <c r="D23" s="22">
        <f>A23*C23</f>
        <v>55</v>
      </c>
      <c r="Q23" s="50"/>
    </row>
    <row r="24" spans="1:21" ht="16.5">
      <c r="A24" s="24" t="s">
        <v>11</v>
      </c>
      <c r="B24" s="25" t="s">
        <v>10</v>
      </c>
      <c r="C24" s="21">
        <v>12</v>
      </c>
      <c r="D24" s="22">
        <f>+C24*1</f>
        <v>12</v>
      </c>
    </row>
    <row r="25" spans="1:21" ht="16.5">
      <c r="A25" s="24"/>
      <c r="B25" s="25"/>
      <c r="C25" s="21">
        <v>0</v>
      </c>
      <c r="D25" s="22">
        <f>+C25*0.025</f>
        <v>0</v>
      </c>
    </row>
    <row r="26" spans="1:21" ht="16.5">
      <c r="A26" s="63" t="s">
        <v>17</v>
      </c>
      <c r="B26" s="64"/>
      <c r="C26" s="26"/>
      <c r="D26" s="27">
        <f>SUM(D18:D25)</f>
        <v>67</v>
      </c>
    </row>
    <row r="27" spans="1:21" ht="16.5">
      <c r="A27" s="4"/>
      <c r="R27" s="50"/>
    </row>
    <row r="28" spans="1:21" ht="16.5">
      <c r="A28" s="4"/>
    </row>
    <row r="29" spans="1:21" ht="16.5">
      <c r="A29" s="4"/>
    </row>
    <row r="30" spans="1:21" ht="16.5">
      <c r="A30" s="31"/>
    </row>
    <row r="31" spans="1:21" ht="16.5">
      <c r="A31" s="32"/>
    </row>
    <row r="32" spans="1:21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rintOptions horizontalCentered="1" verticalCentered="1"/>
  <pageMargins left="0.15748031496062992" right="0.15748031496062992" top="0.31496062992125984" bottom="0.23622047244094491" header="0.31496062992125984" footer="0.31496062992125984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0B83-4884-4576-A0F2-41F4242693D1}">
  <dimension ref="A1:U50"/>
  <sheetViews>
    <sheetView workbookViewId="0">
      <selection activeCell="A8" sqref="A8"/>
    </sheetView>
  </sheetViews>
  <sheetFormatPr defaultRowHeight="15"/>
  <cols>
    <col min="1" max="1" width="18.28515625" style="3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" width="9.140625" style="3"/>
    <col min="17" max="18" width="9.5703125" style="3" bestFit="1" customWidth="1"/>
    <col min="19" max="16384" width="9.140625" style="3"/>
  </cols>
  <sheetData>
    <row r="1" spans="1:15" ht="17.25" thickBot="1">
      <c r="A1" s="1">
        <v>45657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45">
        <v>16</v>
      </c>
      <c r="K4" s="9">
        <f>IF(H4&gt;J4,H4-J4,0)</f>
        <v>0</v>
      </c>
      <c r="L4" s="10">
        <f>IF(J4&gt;H4,J4-H4,0)</f>
        <v>16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84</v>
      </c>
      <c r="E5" s="7">
        <v>0</v>
      </c>
      <c r="F5" s="7">
        <v>0</v>
      </c>
      <c r="G5" s="7">
        <v>0</v>
      </c>
      <c r="H5" s="8">
        <f t="shared" ref="H5:H9" si="0">+G5+F5+E5+D5+C5+B5</f>
        <v>84</v>
      </c>
      <c r="I5" s="59"/>
      <c r="J5" s="45">
        <v>84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44" t="s">
        <v>26</v>
      </c>
      <c r="B6" s="7">
        <v>80</v>
      </c>
      <c r="C6" s="7">
        <f>20+20+154+38</f>
        <v>232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312</v>
      </c>
      <c r="I6" s="59"/>
      <c r="J6" s="45">
        <f>64+248</f>
        <v>312</v>
      </c>
      <c r="K6" s="9">
        <f>IF(H6&gt;J6,H6-J6,0)</f>
        <v>0</v>
      </c>
      <c r="L6" s="10">
        <f>IF(J6&gt;H6,J6-H6,0)</f>
        <v>0</v>
      </c>
      <c r="M6" s="42"/>
      <c r="N6" s="42"/>
    </row>
    <row r="7" spans="1:15" s="5" customFormat="1" ht="18" customHeight="1">
      <c r="A7" s="11" t="s">
        <v>22</v>
      </c>
      <c r="B7" s="7">
        <v>72</v>
      </c>
      <c r="C7" s="7">
        <f>49+49+15+20+25+84+48+24+74+157+121+7+92+20</f>
        <v>785</v>
      </c>
      <c r="D7" s="7">
        <v>0</v>
      </c>
      <c r="E7" s="7">
        <v>0</v>
      </c>
      <c r="F7" s="7">
        <v>0</v>
      </c>
      <c r="G7" s="7">
        <v>64</v>
      </c>
      <c r="H7" s="8">
        <f t="shared" si="0"/>
        <v>921</v>
      </c>
      <c r="I7" s="59"/>
      <c r="J7" s="45">
        <f>398+511</f>
        <v>909</v>
      </c>
      <c r="K7" s="9">
        <f>IF(H7&gt;J7,H7-J7,0)</f>
        <v>12</v>
      </c>
      <c r="L7" s="10">
        <f>IF(J7&gt;H7,J7-H7,0)</f>
        <v>0</v>
      </c>
    </row>
    <row r="8" spans="1:15" s="5" customFormat="1" ht="18" customHeight="1">
      <c r="A8" s="11" t="s">
        <v>28</v>
      </c>
      <c r="B8" s="7">
        <v>15</v>
      </c>
      <c r="C8" s="7">
        <f>148+195+172+136+136+20</f>
        <v>807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822</v>
      </c>
      <c r="I8" s="59"/>
      <c r="J8" s="45">
        <f>414+408</f>
        <v>822</v>
      </c>
      <c r="K8" s="9">
        <f t="shared" ref="K8:K14" si="1">IF(H8&gt;J8,H8-J8,0)</f>
        <v>0</v>
      </c>
      <c r="L8" s="10">
        <f t="shared" ref="L8:L14" si="2">IF(J8&gt;H8,J8-H8,0)</f>
        <v>0</v>
      </c>
    </row>
    <row r="9" spans="1:15" s="5" customFormat="1" ht="18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45">
        <v>0</v>
      </c>
      <c r="K9" s="9">
        <f t="shared" si="1"/>
        <v>0</v>
      </c>
      <c r="L9" s="10">
        <f t="shared" si="2"/>
        <v>0</v>
      </c>
    </row>
    <row r="10" spans="1:15" s="5" customFormat="1" ht="16.5" hidden="1" customHeight="1">
      <c r="A10" s="11"/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v>0</v>
      </c>
      <c r="I10" s="59"/>
      <c r="J10" s="45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167</v>
      </c>
      <c r="C15" s="13">
        <f t="shared" si="3"/>
        <v>1824</v>
      </c>
      <c r="D15" s="13">
        <f t="shared" si="3"/>
        <v>84</v>
      </c>
      <c r="E15" s="13">
        <f t="shared" si="3"/>
        <v>0</v>
      </c>
      <c r="F15" s="13">
        <f t="shared" si="3"/>
        <v>0</v>
      </c>
      <c r="G15" s="13">
        <f t="shared" si="3"/>
        <v>64</v>
      </c>
      <c r="H15" s="13">
        <f t="shared" si="3"/>
        <v>2139</v>
      </c>
      <c r="I15" s="14"/>
      <c r="J15" s="13">
        <f>SUM(J4:J14)</f>
        <v>2143</v>
      </c>
      <c r="K15" s="13">
        <f>SUM(K4:K14)</f>
        <v>12</v>
      </c>
      <c r="L15" s="13">
        <f>SUM(L4:L14)</f>
        <v>16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21" ht="18.75" customHeight="1" thickBot="1">
      <c r="A17" s="60" t="s">
        <v>32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</row>
    <row r="18" spans="1:21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</row>
    <row r="19" spans="1:21" ht="18.75" customHeight="1">
      <c r="A19" s="23">
        <v>100</v>
      </c>
      <c r="B19" s="20" t="s">
        <v>10</v>
      </c>
      <c r="C19" s="21">
        <v>0</v>
      </c>
      <c r="D19" s="22">
        <f t="shared" ref="D19" si="4">A19*C19</f>
        <v>0</v>
      </c>
      <c r="U19" s="49"/>
    </row>
    <row r="20" spans="1:21" ht="16.5">
      <c r="A20" s="23">
        <v>50</v>
      </c>
      <c r="B20" s="20" t="s">
        <v>10</v>
      </c>
      <c r="C20" s="21">
        <v>1</v>
      </c>
      <c r="D20" s="22">
        <f>A20*C20</f>
        <v>50</v>
      </c>
      <c r="N20" s="49"/>
      <c r="U20" s="49"/>
    </row>
    <row r="21" spans="1:21" ht="16.5">
      <c r="A21" s="23">
        <v>20</v>
      </c>
      <c r="B21" s="20" t="s">
        <v>10</v>
      </c>
      <c r="C21" s="21">
        <v>0</v>
      </c>
      <c r="D21" s="22">
        <f>A21*C21</f>
        <v>0</v>
      </c>
      <c r="N21" s="49"/>
    </row>
    <row r="22" spans="1:21" ht="16.5">
      <c r="A22" s="23">
        <v>10</v>
      </c>
      <c r="B22" s="20" t="s">
        <v>10</v>
      </c>
      <c r="C22" s="21">
        <v>2</v>
      </c>
      <c r="D22" s="22">
        <f>A22*C22</f>
        <v>20</v>
      </c>
      <c r="O22" s="49"/>
    </row>
    <row r="23" spans="1:21" ht="16.5">
      <c r="A23" s="23">
        <v>5</v>
      </c>
      <c r="B23" s="20" t="s">
        <v>10</v>
      </c>
      <c r="C23" s="21">
        <v>19</v>
      </c>
      <c r="D23" s="22">
        <f>A23*C23</f>
        <v>95</v>
      </c>
      <c r="Q23" s="50"/>
    </row>
    <row r="24" spans="1:21" ht="16.5">
      <c r="A24" s="24" t="s">
        <v>11</v>
      </c>
      <c r="B24" s="25" t="s">
        <v>10</v>
      </c>
      <c r="C24" s="21">
        <v>2</v>
      </c>
      <c r="D24" s="22">
        <f>+C24*1</f>
        <v>2</v>
      </c>
    </row>
    <row r="25" spans="1:21" ht="16.5">
      <c r="A25" s="24"/>
      <c r="B25" s="25"/>
      <c r="C25" s="21">
        <v>0</v>
      </c>
      <c r="D25" s="22">
        <f>+C25*0.025</f>
        <v>0</v>
      </c>
    </row>
    <row r="26" spans="1:21" ht="16.5">
      <c r="A26" s="63" t="s">
        <v>17</v>
      </c>
      <c r="B26" s="64"/>
      <c r="C26" s="26"/>
      <c r="D26" s="27">
        <f>SUM(D18:D25)</f>
        <v>167</v>
      </c>
    </row>
    <row r="27" spans="1:21" ht="16.5">
      <c r="A27" s="4"/>
      <c r="R27" s="50"/>
    </row>
    <row r="28" spans="1:21" ht="16.5">
      <c r="A28" s="4"/>
    </row>
    <row r="29" spans="1:21" ht="16.5">
      <c r="A29" s="4"/>
    </row>
    <row r="30" spans="1:21" ht="16.5">
      <c r="A30" s="31"/>
    </row>
    <row r="31" spans="1:21" ht="16.5">
      <c r="A31" s="32"/>
    </row>
    <row r="32" spans="1:21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rintOptions horizontalCentered="1" verticalCentered="1"/>
  <pageMargins left="0.15748031496062992" right="0.15748031496062992" top="0.31496062992125984" bottom="0.23622047244094491" header="0.31496062992125984" footer="0.31496062992125984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1DB1-34CC-413A-ADAC-5660E899FF42}">
  <dimension ref="A1:Q50"/>
  <sheetViews>
    <sheetView workbookViewId="0">
      <selection activeCell="B6" sqref="B6"/>
    </sheetView>
  </sheetViews>
  <sheetFormatPr defaultRowHeight="15"/>
  <cols>
    <col min="1" max="1" width="18.28515625" style="3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16384" width="9.140625" style="3"/>
  </cols>
  <sheetData>
    <row r="1" spans="1:15" ht="17.25" thickBot="1">
      <c r="A1" s="1">
        <v>45658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45">
        <v>47</v>
      </c>
      <c r="K4" s="9">
        <f>IF(H4&gt;J4,H4-J4,0)</f>
        <v>0</v>
      </c>
      <c r="L4" s="10">
        <f>IF(J4&gt;H4,J4-H4,0)</f>
        <v>47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8">
        <f t="shared" ref="H5:H9" si="0">+G5+F5+E5+D5+C5+B5</f>
        <v>0</v>
      </c>
      <c r="I5" s="59"/>
      <c r="J5" s="45">
        <v>0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51" t="s">
        <v>21</v>
      </c>
      <c r="B6" s="7">
        <v>86</v>
      </c>
      <c r="C6" s="7">
        <f>4+114+104+15+20+15+20+84+20+46+20+26+20+26+20+20+182+42+81</f>
        <v>879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965</v>
      </c>
      <c r="I6" s="59"/>
      <c r="J6" s="45">
        <f>332+609</f>
        <v>941</v>
      </c>
      <c r="K6" s="9">
        <f>IF(H6&gt;J6,H6-J6,0)</f>
        <v>24</v>
      </c>
      <c r="L6" s="10">
        <f>IF(J6&gt;H6,J6-H6,0)</f>
        <v>0</v>
      </c>
      <c r="M6" s="42"/>
      <c r="N6" s="42"/>
    </row>
    <row r="7" spans="1:15" s="5" customFormat="1" ht="18" customHeight="1">
      <c r="A7" s="51" t="s">
        <v>23</v>
      </c>
      <c r="B7" s="7">
        <v>42</v>
      </c>
      <c r="C7" s="7">
        <f>64+40+20+48+87+29+110+20+58+20</f>
        <v>496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538</v>
      </c>
      <c r="I7" s="59"/>
      <c r="J7" s="45">
        <f>280+238</f>
        <v>518</v>
      </c>
      <c r="K7" s="9">
        <f>IF(H7&gt;J7,H7-J7,0)</f>
        <v>20</v>
      </c>
      <c r="L7" s="10">
        <f>IF(J7&gt;H7,J7-H7,0)</f>
        <v>0</v>
      </c>
    </row>
    <row r="8" spans="1:15" s="5" customFormat="1" ht="18" hidden="1" customHeight="1">
      <c r="A8" s="11" t="s">
        <v>28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0</v>
      </c>
      <c r="I8" s="59"/>
      <c r="J8" s="45">
        <v>0</v>
      </c>
      <c r="K8" s="9">
        <f t="shared" ref="K8:K14" si="1">IF(H8&gt;J8,H8-J8,0)</f>
        <v>0</v>
      </c>
      <c r="L8" s="10">
        <f t="shared" ref="L8:L14" si="2">IF(J8&gt;H8,J8-H8,0)</f>
        <v>0</v>
      </c>
    </row>
    <row r="9" spans="1:15" s="5" customFormat="1" ht="18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45">
        <v>0</v>
      </c>
      <c r="K9" s="9">
        <f t="shared" si="1"/>
        <v>0</v>
      </c>
      <c r="L9" s="10">
        <f t="shared" si="2"/>
        <v>0</v>
      </c>
    </row>
    <row r="10" spans="1:15" s="5" customFormat="1" ht="16.5" hidden="1" customHeight="1">
      <c r="A10" s="11"/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v>0</v>
      </c>
      <c r="I10" s="59"/>
      <c r="J10" s="45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128</v>
      </c>
      <c r="C15" s="13">
        <f t="shared" si="3"/>
        <v>1375</v>
      </c>
      <c r="D15" s="13">
        <f t="shared" si="3"/>
        <v>0</v>
      </c>
      <c r="E15" s="13">
        <f t="shared" si="3"/>
        <v>0</v>
      </c>
      <c r="F15" s="13">
        <f t="shared" si="3"/>
        <v>0</v>
      </c>
      <c r="G15" s="13">
        <f t="shared" si="3"/>
        <v>0</v>
      </c>
      <c r="H15" s="13">
        <f t="shared" si="3"/>
        <v>1503</v>
      </c>
      <c r="I15" s="14"/>
      <c r="J15" s="13">
        <f>SUM(J4:J14)</f>
        <v>1506</v>
      </c>
      <c r="K15" s="13">
        <f>SUM(K4:K14)</f>
        <v>44</v>
      </c>
      <c r="L15" s="13">
        <f>SUM(L4:L14)</f>
        <v>47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17" ht="18.75" customHeight="1" thickBot="1">
      <c r="A17" s="60" t="s">
        <v>33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</row>
    <row r="18" spans="1:17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</row>
    <row r="19" spans="1:17" ht="18.75" customHeight="1">
      <c r="A19" s="23">
        <v>100</v>
      </c>
      <c r="B19" s="20" t="s">
        <v>10</v>
      </c>
      <c r="C19" s="21">
        <v>0</v>
      </c>
      <c r="D19" s="22">
        <f t="shared" ref="D19" si="4">A19*C19</f>
        <v>0</v>
      </c>
    </row>
    <row r="20" spans="1:17" ht="16.5">
      <c r="A20" s="23">
        <v>50</v>
      </c>
      <c r="B20" s="20" t="s">
        <v>10</v>
      </c>
      <c r="C20" s="21">
        <v>1</v>
      </c>
      <c r="D20" s="22">
        <f>A20*C20</f>
        <v>50</v>
      </c>
      <c r="N20" s="49"/>
    </row>
    <row r="21" spans="1:17" ht="16.5">
      <c r="A21" s="23">
        <v>20</v>
      </c>
      <c r="B21" s="20" t="s">
        <v>10</v>
      </c>
      <c r="C21" s="21">
        <v>0</v>
      </c>
      <c r="D21" s="22">
        <f>A21*C21</f>
        <v>0</v>
      </c>
      <c r="N21" s="49"/>
    </row>
    <row r="22" spans="1:17" ht="16.5">
      <c r="A22" s="23">
        <v>10</v>
      </c>
      <c r="B22" s="20" t="s">
        <v>10</v>
      </c>
      <c r="C22" s="21">
        <v>0</v>
      </c>
      <c r="D22" s="22">
        <f>A22*C22</f>
        <v>0</v>
      </c>
      <c r="O22" s="49"/>
    </row>
    <row r="23" spans="1:17" ht="16.5">
      <c r="A23" s="23">
        <v>5</v>
      </c>
      <c r="B23" s="20" t="s">
        <v>10</v>
      </c>
      <c r="C23" s="21">
        <v>12</v>
      </c>
      <c r="D23" s="22">
        <f>A23*C23</f>
        <v>60</v>
      </c>
      <c r="Q23" s="50"/>
    </row>
    <row r="24" spans="1:17" ht="16.5">
      <c r="A24" s="24" t="s">
        <v>11</v>
      </c>
      <c r="B24" s="25" t="s">
        <v>10</v>
      </c>
      <c r="C24" s="21">
        <v>18</v>
      </c>
      <c r="D24" s="22">
        <f>+C24*1</f>
        <v>18</v>
      </c>
    </row>
    <row r="25" spans="1:17" ht="16.5">
      <c r="A25" s="24"/>
      <c r="B25" s="25"/>
      <c r="C25" s="21">
        <v>0</v>
      </c>
      <c r="D25" s="22">
        <f>+C25*0.025</f>
        <v>0</v>
      </c>
    </row>
    <row r="26" spans="1:17" ht="16.5">
      <c r="A26" s="63" t="s">
        <v>17</v>
      </c>
      <c r="B26" s="64"/>
      <c r="C26" s="26"/>
      <c r="D26" s="27">
        <f>SUM(D18:D25)</f>
        <v>128</v>
      </c>
    </row>
    <row r="27" spans="1:17" ht="16.5">
      <c r="A27" s="4"/>
    </row>
    <row r="28" spans="1:17" ht="16.5">
      <c r="A28" s="4"/>
    </row>
    <row r="29" spans="1:17" ht="16.5">
      <c r="A29" s="4"/>
    </row>
    <row r="30" spans="1:17" ht="16.5">
      <c r="A30" s="31"/>
    </row>
    <row r="31" spans="1:17" ht="16.5">
      <c r="A31" s="32"/>
    </row>
    <row r="32" spans="1:17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rintOptions horizontalCentered="1" verticalCentered="1"/>
  <pageMargins left="0.15748031496062992" right="0.15748031496062992" top="0.31496062992125984" bottom="0.23622047244094491" header="0.31496062992125984" footer="0.31496062992125984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56FB-E536-4A4F-8FDF-0FEFDC09D5BA}">
  <dimension ref="A1:Q50"/>
  <sheetViews>
    <sheetView workbookViewId="0">
      <selection activeCell="J5" sqref="J5"/>
    </sheetView>
  </sheetViews>
  <sheetFormatPr defaultRowHeight="15"/>
  <cols>
    <col min="1" max="1" width="18.28515625" style="3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16384" width="9.140625" style="3"/>
  </cols>
  <sheetData>
    <row r="1" spans="1:15" ht="17.25" thickBot="1">
      <c r="A1" s="1">
        <v>45659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74</v>
      </c>
      <c r="K4" s="9">
        <f>IF(H4&gt;J4,H4-J4,0)</f>
        <v>0</v>
      </c>
      <c r="L4" s="10">
        <f>IF(J4&gt;H4,J4-H4,0)</f>
        <v>74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362</v>
      </c>
      <c r="E5" s="7">
        <v>0</v>
      </c>
      <c r="F5" s="7">
        <v>0</v>
      </c>
      <c r="G5" s="7">
        <v>0</v>
      </c>
      <c r="H5" s="8">
        <f t="shared" ref="H5:H10" si="0">+G5+F5+E5+D5+C5+B5</f>
        <v>362</v>
      </c>
      <c r="I5" s="59"/>
      <c r="J5" s="45">
        <v>362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51" t="s">
        <v>21</v>
      </c>
      <c r="B6" s="7">
        <v>20</v>
      </c>
      <c r="C6" s="7">
        <f>20+7+103+114+122+90+12+98+132+26</f>
        <v>724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744</v>
      </c>
      <c r="I6" s="59"/>
      <c r="J6" s="7">
        <f>390+354</f>
        <v>744</v>
      </c>
      <c r="K6" s="9">
        <f>IF(H6&gt;J6,H6-J6,0)</f>
        <v>0</v>
      </c>
      <c r="L6" s="10">
        <f>IF(J6&gt;H6,J6-H6,0)</f>
        <v>0</v>
      </c>
      <c r="M6" s="42"/>
      <c r="N6" s="42"/>
    </row>
    <row r="7" spans="1:15" s="5" customFormat="1" ht="18" customHeight="1">
      <c r="A7" t="s">
        <v>34</v>
      </c>
      <c r="B7" s="7">
        <v>194</v>
      </c>
      <c r="C7" s="7">
        <f>76+38+40+27+47+40+20+143+151+131+29+29+186+20+62+54+24+20+29+64+53+20+26+84</f>
        <v>1413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1607</v>
      </c>
      <c r="I7" s="59"/>
      <c r="J7" s="7">
        <f>840+767</f>
        <v>1607</v>
      </c>
      <c r="K7" s="9">
        <f>IF(H7&gt;J7,H7-J7,0)</f>
        <v>0</v>
      </c>
      <c r="L7" s="10">
        <f>IF(J7&gt;H7,J7-H7,0)</f>
        <v>0</v>
      </c>
    </row>
    <row r="8" spans="1:15" s="5" customFormat="1" ht="18" customHeight="1">
      <c r="A8" s="11" t="s">
        <v>28</v>
      </c>
      <c r="B8" s="7">
        <v>70</v>
      </c>
      <c r="C8" s="7">
        <f>40+96+76+122+27+38.5+38.5</f>
        <v>438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508</v>
      </c>
      <c r="I8" s="59"/>
      <c r="J8" s="45">
        <f>212+296</f>
        <v>508</v>
      </c>
      <c r="K8" s="9">
        <f t="shared" ref="K8:K14" si="1">IF(H8&gt;J8,H8-J8,0)</f>
        <v>0</v>
      </c>
      <c r="L8" s="10">
        <f t="shared" ref="L8:L14" si="2">IF(J8&gt;H8,J8-H8,0)</f>
        <v>0</v>
      </c>
    </row>
    <row r="9" spans="1:15" s="5" customFormat="1" ht="18" customHeight="1">
      <c r="A9" t="s">
        <v>24</v>
      </c>
      <c r="B9" s="7">
        <v>341</v>
      </c>
      <c r="C9" s="7">
        <f>18+1+307+246+30+87+203+190+40+131+56+26+20+20+20+154+11+69+11+29+28+20</f>
        <v>1717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2058</v>
      </c>
      <c r="I9" s="59"/>
      <c r="J9" s="45">
        <f>1331+667</f>
        <v>1998</v>
      </c>
      <c r="K9" s="9">
        <f t="shared" si="1"/>
        <v>60</v>
      </c>
      <c r="L9" s="10">
        <f t="shared" si="2"/>
        <v>0</v>
      </c>
    </row>
    <row r="10" spans="1:15" s="5" customFormat="1" ht="16.5" customHeight="1">
      <c r="A10" s="11" t="s">
        <v>35</v>
      </c>
      <c r="B10" s="7">
        <v>0</v>
      </c>
      <c r="C10" s="7">
        <v>0</v>
      </c>
      <c r="D10" s="7">
        <v>87</v>
      </c>
      <c r="E10" s="7">
        <v>0</v>
      </c>
      <c r="F10" s="7">
        <v>0</v>
      </c>
      <c r="G10" s="7">
        <v>0</v>
      </c>
      <c r="H10" s="8">
        <f t="shared" si="0"/>
        <v>87</v>
      </c>
      <c r="I10" s="59"/>
      <c r="J10" s="45">
        <v>87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625</v>
      </c>
      <c r="C15" s="13">
        <f t="shared" si="3"/>
        <v>4292</v>
      </c>
      <c r="D15" s="13">
        <f t="shared" si="3"/>
        <v>449</v>
      </c>
      <c r="E15" s="13">
        <f t="shared" si="3"/>
        <v>0</v>
      </c>
      <c r="F15" s="13">
        <f t="shared" si="3"/>
        <v>0</v>
      </c>
      <c r="G15" s="13">
        <f t="shared" si="3"/>
        <v>0</v>
      </c>
      <c r="H15" s="13">
        <f t="shared" si="3"/>
        <v>5366</v>
      </c>
      <c r="I15" s="14"/>
      <c r="J15" s="13">
        <f>SUM(J4:J14)</f>
        <v>5380</v>
      </c>
      <c r="K15" s="13">
        <f>SUM(K4:K14)</f>
        <v>60</v>
      </c>
      <c r="L15" s="13">
        <f>SUM(L4:L14)</f>
        <v>74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17" ht="18.75" customHeight="1" thickBot="1">
      <c r="A17" s="60" t="s">
        <v>36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</row>
    <row r="18" spans="1:17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</row>
    <row r="19" spans="1:17" ht="18.75" customHeight="1">
      <c r="A19" s="23">
        <v>100</v>
      </c>
      <c r="B19" s="20" t="s">
        <v>10</v>
      </c>
      <c r="C19" s="21">
        <v>2</v>
      </c>
      <c r="D19" s="22">
        <f t="shared" ref="D19" si="4">A19*C19</f>
        <v>200</v>
      </c>
    </row>
    <row r="20" spans="1:17" ht="16.5">
      <c r="A20" s="23">
        <v>50</v>
      </c>
      <c r="B20" s="20" t="s">
        <v>10</v>
      </c>
      <c r="C20" s="21">
        <v>5</v>
      </c>
      <c r="D20" s="22">
        <f>A20*C20</f>
        <v>250</v>
      </c>
      <c r="N20" s="49"/>
    </row>
    <row r="21" spans="1:17" ht="16.5">
      <c r="A21" s="23">
        <v>20</v>
      </c>
      <c r="B21" s="20" t="s">
        <v>10</v>
      </c>
      <c r="C21" s="21">
        <v>0</v>
      </c>
      <c r="D21" s="22">
        <f>A21*C21</f>
        <v>0</v>
      </c>
      <c r="N21" s="49"/>
    </row>
    <row r="22" spans="1:17" ht="16.5">
      <c r="A22" s="23">
        <v>10</v>
      </c>
      <c r="B22" s="20" t="s">
        <v>10</v>
      </c>
      <c r="C22" s="21">
        <v>10</v>
      </c>
      <c r="D22" s="22">
        <f>A22*C22</f>
        <v>100</v>
      </c>
      <c r="O22" s="49"/>
    </row>
    <row r="23" spans="1:17" ht="16.5">
      <c r="A23" s="23">
        <v>5</v>
      </c>
      <c r="B23" s="20" t="s">
        <v>10</v>
      </c>
      <c r="C23" s="21">
        <v>14</v>
      </c>
      <c r="D23" s="22">
        <f>A23*C23</f>
        <v>70</v>
      </c>
      <c r="Q23" s="50"/>
    </row>
    <row r="24" spans="1:17" ht="16.5">
      <c r="A24" s="24" t="s">
        <v>11</v>
      </c>
      <c r="B24" s="25" t="s">
        <v>10</v>
      </c>
      <c r="C24" s="21">
        <v>5</v>
      </c>
      <c r="D24" s="22">
        <f>+C24*1</f>
        <v>5</v>
      </c>
    </row>
    <row r="25" spans="1:17" ht="16.5">
      <c r="A25" s="24"/>
      <c r="B25" s="25"/>
      <c r="C25" s="21">
        <v>0</v>
      </c>
      <c r="D25" s="22">
        <f>+C25*0.025</f>
        <v>0</v>
      </c>
    </row>
    <row r="26" spans="1:17" ht="16.5">
      <c r="A26" s="63" t="s">
        <v>17</v>
      </c>
      <c r="B26" s="64"/>
      <c r="C26" s="26"/>
      <c r="D26" s="27">
        <f>SUM(D18:D25)</f>
        <v>625</v>
      </c>
    </row>
    <row r="27" spans="1:17" ht="16.5">
      <c r="A27" s="4"/>
    </row>
    <row r="28" spans="1:17" ht="16.5">
      <c r="A28" s="4"/>
    </row>
    <row r="29" spans="1:17" ht="16.5">
      <c r="A29" s="4"/>
    </row>
    <row r="30" spans="1:17" ht="16.5">
      <c r="A30" s="31"/>
    </row>
    <row r="31" spans="1:17" ht="16.5">
      <c r="A31" s="32"/>
    </row>
    <row r="32" spans="1:17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36E9-D9B9-450A-9FF3-0F9E7835576F}">
  <dimension ref="A1:T50"/>
  <sheetViews>
    <sheetView workbookViewId="0">
      <selection activeCell="A7" sqref="A7"/>
    </sheetView>
  </sheetViews>
  <sheetFormatPr defaultRowHeight="15"/>
  <cols>
    <col min="1" max="1" width="29.85546875" style="3" bestFit="1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16384" width="9.140625" style="3"/>
  </cols>
  <sheetData>
    <row r="1" spans="1:15" ht="17.25" thickBot="1">
      <c r="A1" s="1">
        <v>45660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73</v>
      </c>
      <c r="K4" s="9">
        <f>IF(H4&gt;J4,H4-J4,0)</f>
        <v>0</v>
      </c>
      <c r="L4" s="10">
        <f>IF(J4&gt;H4,J4-H4,0)</f>
        <v>73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8">
        <f t="shared" ref="H5:H10" si="0">+G5+F5+E5+D5+C5+B5</f>
        <v>0</v>
      </c>
      <c r="I5" s="59"/>
      <c r="J5" s="7">
        <v>0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51" t="s">
        <v>21</v>
      </c>
      <c r="B6" s="7">
        <v>89</v>
      </c>
      <c r="C6" s="7">
        <f>24+104+162+88+40+111+122+134+196+24+26+14+88+26</f>
        <v>1159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1248</v>
      </c>
      <c r="I6" s="59"/>
      <c r="J6" s="7">
        <f>715+526</f>
        <v>1241</v>
      </c>
      <c r="K6" s="9">
        <f>IF(H6&gt;J6,H6-J6,0)</f>
        <v>7</v>
      </c>
      <c r="L6" s="10">
        <f>IF(J6&gt;H6,J6-H6,0)</f>
        <v>0</v>
      </c>
      <c r="M6" s="42"/>
      <c r="N6" s="42"/>
    </row>
    <row r="7" spans="1:15" s="5" customFormat="1" ht="18" customHeight="1">
      <c r="A7" s="51" t="s">
        <v>38</v>
      </c>
      <c r="B7" s="7">
        <v>200</v>
      </c>
      <c r="C7" s="7">
        <f>24+110+176+64+7+39+7+58+42+14+152+152+190+171+145+7+58+58</f>
        <v>1474</v>
      </c>
      <c r="D7" s="7">
        <v>0</v>
      </c>
      <c r="E7" s="7">
        <v>0</v>
      </c>
      <c r="F7" s="7">
        <v>0</v>
      </c>
      <c r="G7" s="7">
        <v>128</v>
      </c>
      <c r="H7" s="8">
        <f t="shared" si="0"/>
        <v>1802</v>
      </c>
      <c r="I7" s="59"/>
      <c r="J7" s="7">
        <f>1441+299</f>
        <v>1740</v>
      </c>
      <c r="K7" s="9">
        <f>IF(H7&gt;J7,H7-J7,0)</f>
        <v>62</v>
      </c>
      <c r="L7" s="10">
        <f>IF(J7&gt;H7,J7-H7,0)</f>
        <v>0</v>
      </c>
    </row>
    <row r="8" spans="1:15" s="5" customFormat="1" ht="18" customHeight="1">
      <c r="A8" s="51" t="s">
        <v>27</v>
      </c>
      <c r="B8" s="7">
        <v>128</v>
      </c>
      <c r="C8" s="7">
        <f>82+24+52+87+26+162+7+64+80+20+58+38+32+32+26+70+60+32</f>
        <v>952</v>
      </c>
      <c r="D8" s="7">
        <v>454</v>
      </c>
      <c r="E8" s="7">
        <v>0</v>
      </c>
      <c r="F8" s="7">
        <v>0</v>
      </c>
      <c r="G8" s="7">
        <v>0</v>
      </c>
      <c r="H8" s="8">
        <f t="shared" si="0"/>
        <v>1534</v>
      </c>
      <c r="I8" s="59"/>
      <c r="J8" s="7">
        <f>591+571+454</f>
        <v>1616</v>
      </c>
      <c r="K8" s="9">
        <f t="shared" ref="K8:K14" si="1">IF(H8&gt;J8,H8-J8,0)</f>
        <v>0</v>
      </c>
      <c r="L8" s="10">
        <f t="shared" ref="L8:L14" si="2">IF(J8&gt;H8,J8-H8,0)</f>
        <v>82</v>
      </c>
    </row>
    <row r="9" spans="1:15" s="5" customFormat="1" ht="18" customHeight="1">
      <c r="A9" s="51" t="s">
        <v>30</v>
      </c>
      <c r="B9" s="7">
        <v>7</v>
      </c>
      <c r="C9" s="7">
        <f>52+121+26+15+426+69+69+115+24+128+20+52+29</f>
        <v>1146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1153</v>
      </c>
      <c r="I9" s="59"/>
      <c r="J9" s="7">
        <f>657+664</f>
        <v>1321</v>
      </c>
      <c r="K9" s="9">
        <f t="shared" si="1"/>
        <v>0</v>
      </c>
      <c r="L9" s="10">
        <f t="shared" si="2"/>
        <v>168</v>
      </c>
    </row>
    <row r="10" spans="1:15" s="5" customFormat="1" ht="16.5" hidden="1" customHeight="1">
      <c r="A10" s="11" t="s">
        <v>35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f t="shared" si="0"/>
        <v>0</v>
      </c>
      <c r="I10" s="59"/>
      <c r="J10" s="7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424</v>
      </c>
      <c r="C15" s="13">
        <f t="shared" si="3"/>
        <v>4731</v>
      </c>
      <c r="D15" s="13">
        <f t="shared" si="3"/>
        <v>454</v>
      </c>
      <c r="E15" s="13">
        <f t="shared" si="3"/>
        <v>0</v>
      </c>
      <c r="F15" s="13">
        <f t="shared" si="3"/>
        <v>0</v>
      </c>
      <c r="G15" s="13">
        <f t="shared" si="3"/>
        <v>128</v>
      </c>
      <c r="H15" s="13">
        <f t="shared" si="3"/>
        <v>5737</v>
      </c>
      <c r="I15" s="14"/>
      <c r="J15" s="13">
        <f>SUM(J4:J14)</f>
        <v>5991</v>
      </c>
      <c r="K15" s="13">
        <f>SUM(K4:K14)</f>
        <v>69</v>
      </c>
      <c r="L15" s="13">
        <f>SUM(L4:L14)</f>
        <v>323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20" ht="18.75" customHeight="1" thickBot="1">
      <c r="A17" s="60" t="s">
        <v>37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</row>
    <row r="18" spans="1:20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</row>
    <row r="19" spans="1:20" ht="18.75" customHeight="1">
      <c r="A19" s="23">
        <v>100</v>
      </c>
      <c r="B19" s="20" t="s">
        <v>10</v>
      </c>
      <c r="C19" s="21">
        <v>0</v>
      </c>
      <c r="D19" s="22">
        <f t="shared" ref="D19" si="4">A19*C19</f>
        <v>0</v>
      </c>
    </row>
    <row r="20" spans="1:20" ht="16.5">
      <c r="A20" s="23">
        <v>50</v>
      </c>
      <c r="B20" s="20" t="s">
        <v>10</v>
      </c>
      <c r="C20" s="21">
        <v>2</v>
      </c>
      <c r="D20" s="22">
        <f>A20*C20</f>
        <v>100</v>
      </c>
      <c r="N20" s="49"/>
      <c r="T20" t="s">
        <v>9</v>
      </c>
    </row>
    <row r="21" spans="1:20" ht="16.5">
      <c r="A21" s="23">
        <v>20</v>
      </c>
      <c r="B21" s="20" t="s">
        <v>10</v>
      </c>
      <c r="C21" s="21">
        <v>0</v>
      </c>
      <c r="D21" s="22">
        <f>A21*C21</f>
        <v>0</v>
      </c>
      <c r="N21" s="49"/>
    </row>
    <row r="22" spans="1:20" ht="16.5">
      <c r="A22" s="23">
        <v>10</v>
      </c>
      <c r="B22" s="20" t="s">
        <v>10</v>
      </c>
      <c r="C22" s="21">
        <v>7</v>
      </c>
      <c r="D22" s="22">
        <f>A22*C22</f>
        <v>70</v>
      </c>
      <c r="O22" s="49"/>
    </row>
    <row r="23" spans="1:20" ht="16.5">
      <c r="A23" s="23">
        <v>5</v>
      </c>
      <c r="B23" s="20" t="s">
        <v>10</v>
      </c>
      <c r="C23" s="21">
        <v>48</v>
      </c>
      <c r="D23" s="22">
        <f>A23*C23</f>
        <v>240</v>
      </c>
      <c r="Q23" s="50"/>
    </row>
    <row r="24" spans="1:20" ht="16.5">
      <c r="A24" s="24" t="s">
        <v>11</v>
      </c>
      <c r="B24" s="25" t="s">
        <v>10</v>
      </c>
      <c r="C24" s="21">
        <v>14</v>
      </c>
      <c r="D24" s="22">
        <f>+C24*1</f>
        <v>14</v>
      </c>
      <c r="O24" s="50"/>
    </row>
    <row r="25" spans="1:20" ht="16.5">
      <c r="A25" s="24"/>
      <c r="B25" s="25"/>
      <c r="C25" s="21">
        <v>0</v>
      </c>
      <c r="D25" s="22">
        <f>+C25*0.025</f>
        <v>0</v>
      </c>
    </row>
    <row r="26" spans="1:20" ht="16.5">
      <c r="A26" s="63" t="s">
        <v>17</v>
      </c>
      <c r="B26" s="64"/>
      <c r="C26" s="26"/>
      <c r="D26" s="27">
        <f>SUM(D18:D25)</f>
        <v>424</v>
      </c>
    </row>
    <row r="27" spans="1:20" ht="16.5">
      <c r="A27" s="4"/>
    </row>
    <row r="28" spans="1:20" ht="16.5">
      <c r="A28" s="4"/>
    </row>
    <row r="29" spans="1:20" ht="16.5">
      <c r="A29" s="4"/>
    </row>
    <row r="30" spans="1:20" ht="16.5">
      <c r="A30" s="31"/>
    </row>
    <row r="31" spans="1:20" ht="16.5">
      <c r="A31" s="32"/>
    </row>
    <row r="32" spans="1:20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A47C-9A29-4ABC-BB09-AAAB32B773B2}">
  <dimension ref="A1:U50"/>
  <sheetViews>
    <sheetView workbookViewId="0">
      <selection activeCell="R15" sqref="R15:U26"/>
    </sheetView>
  </sheetViews>
  <sheetFormatPr defaultRowHeight="15"/>
  <cols>
    <col min="1" max="1" width="29.85546875" style="3" bestFit="1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20" width="9.140625" style="3"/>
    <col min="21" max="21" width="9.5703125" style="3" bestFit="1" customWidth="1"/>
    <col min="22" max="16384" width="9.140625" style="3"/>
  </cols>
  <sheetData>
    <row r="1" spans="1:21" ht="17.25" thickBot="1">
      <c r="A1" s="1">
        <v>45661</v>
      </c>
      <c r="B1" s="2"/>
      <c r="L1" s="4" t="s">
        <v>0</v>
      </c>
    </row>
    <row r="2" spans="1:21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21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21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-43</v>
      </c>
      <c r="K4" s="9">
        <f>IF(H4&gt;J4,H4-J4,0)</f>
        <v>43</v>
      </c>
      <c r="L4" s="10">
        <f>IF(J4&gt;H4,J4-H4,0)</f>
        <v>0</v>
      </c>
      <c r="M4" s="42"/>
      <c r="N4" s="42"/>
    </row>
    <row r="5" spans="1:21" s="5" customFormat="1" ht="18" customHeight="1">
      <c r="A5" s="6" t="s">
        <v>12</v>
      </c>
      <c r="B5" s="7">
        <v>0</v>
      </c>
      <c r="C5" s="7">
        <v>0</v>
      </c>
      <c r="D5" s="7">
        <v>1361</v>
      </c>
      <c r="E5" s="7">
        <v>0</v>
      </c>
      <c r="F5" s="7">
        <v>0</v>
      </c>
      <c r="G5" s="7">
        <v>0</v>
      </c>
      <c r="H5" s="8">
        <f t="shared" ref="H5:H10" si="0">+G5+F5+E5+D5+C5+B5</f>
        <v>1361</v>
      </c>
      <c r="I5" s="59"/>
      <c r="J5" s="7">
        <v>1361</v>
      </c>
      <c r="K5" s="9">
        <f>IF(H5&gt;J5,H5-J5,0)</f>
        <v>0</v>
      </c>
      <c r="L5" s="10">
        <f>IF(J5&gt;H5,J5-H5,0)</f>
        <v>0</v>
      </c>
      <c r="M5" s="42"/>
      <c r="N5" s="42"/>
    </row>
    <row r="6" spans="1:21" s="5" customFormat="1" ht="18" customHeight="1">
      <c r="A6" s="51" t="s">
        <v>40</v>
      </c>
      <c r="B6" s="7">
        <v>0</v>
      </c>
      <c r="C6" s="7">
        <f>87+7+46+29+87+98+20+58+7+20+84+84+20+20+84+29</f>
        <v>780</v>
      </c>
      <c r="D6" s="7">
        <v>96</v>
      </c>
      <c r="E6" s="7">
        <v>0</v>
      </c>
      <c r="F6" s="7">
        <v>0</v>
      </c>
      <c r="G6" s="7">
        <v>0</v>
      </c>
      <c r="H6" s="8">
        <f t="shared" si="0"/>
        <v>876</v>
      </c>
      <c r="I6" s="59"/>
      <c r="J6" s="7">
        <f>458+322+96</f>
        <v>876</v>
      </c>
      <c r="K6" s="9">
        <f>IF(H6&gt;J6,H6-J6,0)</f>
        <v>0</v>
      </c>
      <c r="L6" s="10">
        <f>IF(J6&gt;H6,J6-H6,0)</f>
        <v>0</v>
      </c>
      <c r="M6" s="42"/>
      <c r="N6" s="42"/>
    </row>
    <row r="7" spans="1:21" s="5" customFormat="1" ht="18" customHeight="1">
      <c r="A7" s="51" t="s">
        <v>23</v>
      </c>
      <c r="B7" s="7">
        <v>64</v>
      </c>
      <c r="C7" s="7">
        <f>123+58+42+84+32+26+164+133+7+108+113+20+76</f>
        <v>986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1050</v>
      </c>
      <c r="I7" s="59"/>
      <c r="J7" s="7">
        <f>398+652</f>
        <v>1050</v>
      </c>
      <c r="K7" s="9">
        <f>IF(H7&gt;J7,H7-J7,0)</f>
        <v>0</v>
      </c>
      <c r="L7" s="10">
        <f>IF(J7&gt;H7,J7-H7,0)</f>
        <v>0</v>
      </c>
    </row>
    <row r="8" spans="1:21" s="5" customFormat="1" ht="18" customHeight="1">
      <c r="A8" s="51" t="s">
        <v>28</v>
      </c>
      <c r="B8" s="7">
        <f>278-20</f>
        <v>258</v>
      </c>
      <c r="C8" s="7">
        <f>59+20+71+71+20+96+90+62+26+69+20+26+58+32+118+55+55+156+92+52+60+78+40+70</f>
        <v>1496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1754</v>
      </c>
      <c r="I8" s="59"/>
      <c r="J8" s="7">
        <f>927+827</f>
        <v>1754</v>
      </c>
      <c r="K8" s="9">
        <f t="shared" ref="K8:K14" si="1">IF(H8&gt;J8,H8-J8,0)</f>
        <v>0</v>
      </c>
      <c r="L8" s="10">
        <f t="shared" ref="L8:L14" si="2">IF(J8&gt;H8,J8-H8,0)</f>
        <v>0</v>
      </c>
    </row>
    <row r="9" spans="1:21" s="5" customFormat="1" ht="18" customHeight="1">
      <c r="A9" s="51" t="s">
        <v>30</v>
      </c>
      <c r="B9" s="7">
        <v>662.5</v>
      </c>
      <c r="C9" s="7">
        <f>43+72+328+116+30+116+20+116+42.5+42.5+38+38+4+58+94+160+38+29+50+32+116+32+32+64+87+109+185</f>
        <v>2092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2754.5</v>
      </c>
      <c r="I9" s="59"/>
      <c r="J9" s="7">
        <f>1812+942</f>
        <v>2754</v>
      </c>
      <c r="K9" s="9">
        <f t="shared" si="1"/>
        <v>0.5</v>
      </c>
      <c r="L9" s="10">
        <f t="shared" si="2"/>
        <v>0</v>
      </c>
    </row>
    <row r="10" spans="1:21" s="5" customFormat="1" ht="16.5" hidden="1" customHeight="1">
      <c r="A10" s="11" t="s">
        <v>35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f t="shared" si="0"/>
        <v>0</v>
      </c>
      <c r="I10" s="59"/>
      <c r="J10" s="7">
        <v>0</v>
      </c>
      <c r="K10" s="9">
        <f t="shared" si="1"/>
        <v>0</v>
      </c>
      <c r="L10" s="10">
        <f t="shared" si="2"/>
        <v>0</v>
      </c>
    </row>
    <row r="11" spans="1:21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21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21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21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21" s="5" customFormat="1" ht="18" customHeight="1" thickBot="1">
      <c r="A15" s="12"/>
      <c r="B15" s="13">
        <f t="shared" ref="B15:H15" si="3">SUM(B4:B14)</f>
        <v>984.5</v>
      </c>
      <c r="C15" s="13">
        <f t="shared" si="3"/>
        <v>5354</v>
      </c>
      <c r="D15" s="13">
        <f t="shared" si="3"/>
        <v>1457</v>
      </c>
      <c r="E15" s="13">
        <f t="shared" si="3"/>
        <v>0</v>
      </c>
      <c r="F15" s="13">
        <f t="shared" si="3"/>
        <v>0</v>
      </c>
      <c r="G15" s="13">
        <f t="shared" si="3"/>
        <v>0</v>
      </c>
      <c r="H15" s="13">
        <f t="shared" si="3"/>
        <v>7795.5</v>
      </c>
      <c r="I15" s="14"/>
      <c r="J15" s="13">
        <f>SUM(J4:J14)</f>
        <v>7752</v>
      </c>
      <c r="K15" s="13">
        <f>SUM(K4:K14)</f>
        <v>43.5</v>
      </c>
      <c r="L15" s="13">
        <f>SUM(L4:L14)</f>
        <v>0</v>
      </c>
      <c r="M15" s="16"/>
      <c r="N15" s="16"/>
      <c r="O15" s="16"/>
    </row>
    <row r="16" spans="1:21" ht="17.25" thickBot="1">
      <c r="A16" s="41"/>
      <c r="B16" s="15"/>
      <c r="C16" s="15"/>
      <c r="E16" s="15"/>
      <c r="F16" s="15"/>
      <c r="G16" s="15"/>
      <c r="H16" s="15"/>
      <c r="R16" s="60" t="s">
        <v>41</v>
      </c>
      <c r="S16" s="61"/>
      <c r="T16" s="61"/>
      <c r="U16" s="62"/>
    </row>
    <row r="17" spans="1:21" ht="18.75" customHeight="1" thickBot="1">
      <c r="A17" s="60" t="s">
        <v>39</v>
      </c>
      <c r="B17" s="61"/>
      <c r="C17" s="61"/>
      <c r="D17" s="62"/>
      <c r="E17" s="15"/>
      <c r="F17" s="15" t="s">
        <v>9</v>
      </c>
      <c r="G17" s="15"/>
      <c r="H17" s="18"/>
      <c r="I17" s="17"/>
      <c r="N17"/>
      <c r="R17" s="19">
        <v>500</v>
      </c>
      <c r="S17" s="28" t="s">
        <v>10</v>
      </c>
      <c r="T17" s="21">
        <v>0</v>
      </c>
      <c r="U17" s="22">
        <f>R17*T17</f>
        <v>0</v>
      </c>
    </row>
    <row r="18" spans="1:21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N18"/>
      <c r="R18" s="23">
        <v>100</v>
      </c>
      <c r="S18" s="20" t="s">
        <v>10</v>
      </c>
      <c r="T18" s="21">
        <v>22</v>
      </c>
      <c r="U18" s="22">
        <f t="shared" ref="U18" si="4">R18*T18</f>
        <v>2200</v>
      </c>
    </row>
    <row r="19" spans="1:21" ht="18.75" customHeight="1">
      <c r="A19" s="23">
        <v>100</v>
      </c>
      <c r="B19" s="20" t="s">
        <v>10</v>
      </c>
      <c r="C19" s="21">
        <v>8</v>
      </c>
      <c r="D19" s="22">
        <f t="shared" ref="D19" si="5">A19*C19</f>
        <v>800</v>
      </c>
      <c r="R19" s="23">
        <v>50</v>
      </c>
      <c r="S19" s="20" t="s">
        <v>10</v>
      </c>
      <c r="T19" s="21">
        <v>16</v>
      </c>
      <c r="U19" s="22">
        <f>R19*T19</f>
        <v>800</v>
      </c>
    </row>
    <row r="20" spans="1:21" ht="16.5">
      <c r="A20" s="23">
        <v>50</v>
      </c>
      <c r="B20" s="20" t="s">
        <v>10</v>
      </c>
      <c r="C20" s="21">
        <v>2</v>
      </c>
      <c r="D20" s="22">
        <f>A20*C20</f>
        <v>100</v>
      </c>
      <c r="N20" s="49"/>
      <c r="R20" s="23">
        <v>20</v>
      </c>
      <c r="S20" s="20" t="s">
        <v>10</v>
      </c>
      <c r="T20" s="21">
        <v>1</v>
      </c>
      <c r="U20" s="22">
        <f>R20*T20</f>
        <v>20</v>
      </c>
    </row>
    <row r="21" spans="1:21" ht="16.5">
      <c r="A21" s="23">
        <v>20</v>
      </c>
      <c r="B21" s="20" t="s">
        <v>10</v>
      </c>
      <c r="C21" s="21">
        <v>1</v>
      </c>
      <c r="D21" s="22">
        <f>A21*C21</f>
        <v>20</v>
      </c>
      <c r="N21" s="49"/>
      <c r="R21" s="23">
        <v>10</v>
      </c>
      <c r="S21" s="20" t="s">
        <v>10</v>
      </c>
      <c r="T21" s="21">
        <v>18</v>
      </c>
      <c r="U21" s="22">
        <f>R21*T21</f>
        <v>180</v>
      </c>
    </row>
    <row r="22" spans="1:21" ht="16.5">
      <c r="A22" s="23">
        <v>10</v>
      </c>
      <c r="B22" s="20" t="s">
        <v>10</v>
      </c>
      <c r="C22" s="21">
        <v>1</v>
      </c>
      <c r="D22" s="22">
        <f>A22*C22</f>
        <v>10</v>
      </c>
      <c r="O22" s="49"/>
      <c r="R22" s="23">
        <v>5</v>
      </c>
      <c r="S22" s="20" t="s">
        <v>10</v>
      </c>
      <c r="T22" s="21">
        <v>70</v>
      </c>
      <c r="U22" s="22">
        <f>R22*T22</f>
        <v>350</v>
      </c>
    </row>
    <row r="23" spans="1:21" ht="16.5">
      <c r="A23" s="23">
        <v>5</v>
      </c>
      <c r="B23" s="20" t="s">
        <v>10</v>
      </c>
      <c r="C23" s="21">
        <v>8</v>
      </c>
      <c r="D23" s="22">
        <f>A23*C23</f>
        <v>40</v>
      </c>
      <c r="Q23" s="50"/>
      <c r="R23" s="24" t="s">
        <v>11</v>
      </c>
      <c r="S23" s="25" t="s">
        <v>10</v>
      </c>
      <c r="T23" s="21">
        <v>36.5</v>
      </c>
      <c r="U23" s="22">
        <f>+T23*1</f>
        <v>36.5</v>
      </c>
    </row>
    <row r="24" spans="1:21" ht="16.5">
      <c r="A24" s="24" t="s">
        <v>11</v>
      </c>
      <c r="B24" s="25" t="s">
        <v>10</v>
      </c>
      <c r="C24" s="21">
        <v>14.5</v>
      </c>
      <c r="D24" s="22">
        <f>+C24*1</f>
        <v>14.5</v>
      </c>
      <c r="O24" s="50"/>
      <c r="R24" s="24"/>
      <c r="S24" s="25"/>
      <c r="T24" s="21">
        <v>0</v>
      </c>
      <c r="U24" s="22">
        <f>+T24*0.025</f>
        <v>0</v>
      </c>
    </row>
    <row r="25" spans="1:21" ht="16.5">
      <c r="A25" s="24"/>
      <c r="B25" s="25"/>
      <c r="C25" s="21">
        <v>0</v>
      </c>
      <c r="D25" s="22">
        <f>+C25*0.025</f>
        <v>0</v>
      </c>
      <c r="R25" s="63" t="s">
        <v>17</v>
      </c>
      <c r="S25" s="64"/>
      <c r="T25" s="26"/>
      <c r="U25" s="27">
        <f>SUM(U17:U24)</f>
        <v>3586.5</v>
      </c>
    </row>
    <row r="26" spans="1:21" ht="16.5">
      <c r="A26" s="63" t="s">
        <v>17</v>
      </c>
      <c r="B26" s="64"/>
      <c r="C26" s="26"/>
      <c r="D26" s="27">
        <f>SUM(D18:D25)</f>
        <v>984.5</v>
      </c>
    </row>
    <row r="27" spans="1:21" ht="16.5">
      <c r="A27" s="4"/>
      <c r="U27" s="50"/>
    </row>
    <row r="28" spans="1:21" ht="16.5">
      <c r="A28" s="4"/>
    </row>
    <row r="29" spans="1:21" ht="16.5">
      <c r="A29" s="4"/>
    </row>
    <row r="30" spans="1:21" ht="16.5">
      <c r="A30" s="31"/>
    </row>
    <row r="31" spans="1:21" ht="16.5">
      <c r="A31" s="32"/>
    </row>
    <row r="32" spans="1:21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6">
    <mergeCell ref="A2:L2"/>
    <mergeCell ref="I3:I14"/>
    <mergeCell ref="A17:D17"/>
    <mergeCell ref="A26:B26"/>
    <mergeCell ref="R16:U16"/>
    <mergeCell ref="R25:S2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D5C7-8613-4580-BA12-18F12D25694C}">
  <dimension ref="A1:Q50"/>
  <sheetViews>
    <sheetView workbookViewId="0">
      <selection activeCell="F22" sqref="F22"/>
    </sheetView>
  </sheetViews>
  <sheetFormatPr defaultRowHeight="15"/>
  <cols>
    <col min="1" max="1" width="29.85546875" style="3" bestFit="1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9.42578125" style="3" bestFit="1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7.85546875" style="3" bestFit="1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16384" width="9.140625" style="3"/>
  </cols>
  <sheetData>
    <row r="1" spans="1:15" ht="17.25" thickBot="1">
      <c r="A1" s="1">
        <v>45662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53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17</v>
      </c>
      <c r="K4" s="9">
        <f>IF(H4&gt;J4,H4-J4,0)</f>
        <v>0</v>
      </c>
      <c r="L4" s="10">
        <f>IF(J4&gt;H4,J4-H4,0)</f>
        <v>17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1149</v>
      </c>
      <c r="E5" s="7">
        <v>0</v>
      </c>
      <c r="F5" s="7">
        <v>0</v>
      </c>
      <c r="G5" s="7">
        <v>0</v>
      </c>
      <c r="H5" s="8">
        <f t="shared" ref="H5:H10" si="0">+G5+F5+E5+D5+C5+B5</f>
        <v>1149</v>
      </c>
      <c r="I5" s="59"/>
      <c r="J5" s="7">
        <v>1149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s="11" t="s">
        <v>27</v>
      </c>
      <c r="B6" s="7">
        <f>263+15</f>
        <v>278</v>
      </c>
      <c r="C6" s="7">
        <v>3092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3370</v>
      </c>
      <c r="I6" s="59"/>
      <c r="J6" s="7">
        <v>3489</v>
      </c>
      <c r="K6" s="9">
        <f>IF(H6&gt;J6,H6-J6,0)</f>
        <v>0</v>
      </c>
      <c r="L6" s="10">
        <f>IF(J6&gt;H6,J6-H6,0)</f>
        <v>119</v>
      </c>
      <c r="M6" s="42"/>
      <c r="N6" s="42"/>
    </row>
    <row r="7" spans="1:15" s="5" customFormat="1" ht="18" customHeight="1">
      <c r="A7" s="51" t="s">
        <v>38</v>
      </c>
      <c r="B7" s="7">
        <v>0</v>
      </c>
      <c r="C7" s="7">
        <v>169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169</v>
      </c>
      <c r="I7" s="59"/>
      <c r="J7" s="7">
        <v>169</v>
      </c>
      <c r="K7" s="9">
        <f>IF(H7&gt;J7,H7-J7,0)</f>
        <v>0</v>
      </c>
      <c r="L7" s="10">
        <f>IF(J7&gt;H7,J7-H7,0)</f>
        <v>0</v>
      </c>
    </row>
    <row r="8" spans="1:15" s="5" customFormat="1" ht="18" customHeight="1">
      <c r="A8" t="s">
        <v>24</v>
      </c>
      <c r="B8" s="7">
        <v>438</v>
      </c>
      <c r="C8" s="7">
        <v>3089</v>
      </c>
      <c r="D8" s="7">
        <v>582</v>
      </c>
      <c r="E8" s="7">
        <v>0</v>
      </c>
      <c r="F8" s="7">
        <v>0</v>
      </c>
      <c r="G8" s="7">
        <v>0</v>
      </c>
      <c r="H8" s="8">
        <f t="shared" si="0"/>
        <v>4109</v>
      </c>
      <c r="I8" s="59"/>
      <c r="J8" s="7">
        <v>4005</v>
      </c>
      <c r="K8" s="9">
        <f>IF(H8&gt;J8,H8-J8,0)</f>
        <v>104</v>
      </c>
      <c r="L8" s="10">
        <f t="shared" ref="L8:L14" si="1">IF(J8&gt;H8,J8-H8,0)</f>
        <v>0</v>
      </c>
    </row>
    <row r="9" spans="1:15" s="5" customFormat="1" ht="18" customHeight="1">
      <c r="A9" s="51" t="s">
        <v>30</v>
      </c>
      <c r="B9" s="7">
        <v>429</v>
      </c>
      <c r="C9" s="7">
        <v>1689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2118</v>
      </c>
      <c r="I9" s="59"/>
      <c r="J9" s="7">
        <v>2118</v>
      </c>
      <c r="K9" s="9">
        <f t="shared" ref="K9:K14" si="2">IF(H9&gt;J9,H9-J9,0)</f>
        <v>0</v>
      </c>
      <c r="L9" s="10">
        <f t="shared" si="1"/>
        <v>0</v>
      </c>
    </row>
    <row r="10" spans="1:15" s="5" customFormat="1" ht="16.5" hidden="1" customHeight="1">
      <c r="A10" s="11" t="s">
        <v>35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f t="shared" si="0"/>
        <v>0</v>
      </c>
      <c r="I10" s="59"/>
      <c r="J10" s="7">
        <v>0</v>
      </c>
      <c r="K10" s="9">
        <f t="shared" si="2"/>
        <v>0</v>
      </c>
      <c r="L10" s="10">
        <f t="shared" si="1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2"/>
        <v>0</v>
      </c>
      <c r="L11" s="10">
        <f t="shared" si="1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2"/>
        <v>0</v>
      </c>
      <c r="L12" s="10">
        <f t="shared" si="1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2"/>
        <v>0</v>
      </c>
      <c r="L13" s="10">
        <f t="shared" si="1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2"/>
        <v>0</v>
      </c>
      <c r="L14" s="10">
        <f t="shared" si="1"/>
        <v>0</v>
      </c>
    </row>
    <row r="15" spans="1:15" s="5" customFormat="1" ht="18" customHeight="1" thickBot="1">
      <c r="A15" s="12"/>
      <c r="B15" s="13">
        <f t="shared" ref="B15:H15" si="3">SUM(B4:B14)</f>
        <v>1145</v>
      </c>
      <c r="C15" s="13">
        <f t="shared" si="3"/>
        <v>8039</v>
      </c>
      <c r="D15" s="13">
        <f t="shared" si="3"/>
        <v>1731</v>
      </c>
      <c r="E15" s="13">
        <f t="shared" si="3"/>
        <v>0</v>
      </c>
      <c r="F15" s="13">
        <f t="shared" si="3"/>
        <v>0</v>
      </c>
      <c r="G15" s="13">
        <f t="shared" si="3"/>
        <v>0</v>
      </c>
      <c r="H15" s="13">
        <f t="shared" si="3"/>
        <v>10915</v>
      </c>
      <c r="I15" s="14"/>
      <c r="J15" s="13">
        <f>SUM(J4:J14)</f>
        <v>10947</v>
      </c>
      <c r="K15" s="13">
        <f>SUM(K4:K14)</f>
        <v>104</v>
      </c>
      <c r="L15" s="13">
        <f>SUM(L4:L14)</f>
        <v>136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17" ht="18.75" customHeight="1" thickBot="1">
      <c r="A17" s="60" t="s">
        <v>42</v>
      </c>
      <c r="B17" s="61"/>
      <c r="C17" s="61"/>
      <c r="D17" s="62"/>
      <c r="E17" s="15"/>
      <c r="F17" s="15" t="s">
        <v>9</v>
      </c>
      <c r="G17" s="15"/>
      <c r="H17" s="18"/>
      <c r="I17" s="17"/>
      <c r="J17"/>
    </row>
    <row r="18" spans="1:17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J18"/>
      <c r="N18"/>
      <c r="O18"/>
      <c r="P18"/>
      <c r="Q18"/>
    </row>
    <row r="19" spans="1:17" ht="18.75" customHeight="1">
      <c r="A19" s="23">
        <v>100</v>
      </c>
      <c r="B19" s="20" t="s">
        <v>10</v>
      </c>
      <c r="C19" s="21">
        <v>8</v>
      </c>
      <c r="D19" s="22">
        <f t="shared" ref="D19" si="4">A19*C19</f>
        <v>800</v>
      </c>
      <c r="N19"/>
      <c r="O19"/>
      <c r="P19"/>
      <c r="Q19"/>
    </row>
    <row r="20" spans="1:17" ht="16.5">
      <c r="A20" s="23">
        <v>50</v>
      </c>
      <c r="B20" s="20" t="s">
        <v>10</v>
      </c>
      <c r="C20" s="21">
        <v>5</v>
      </c>
      <c r="D20" s="22">
        <f>A20*C20</f>
        <v>250</v>
      </c>
      <c r="J20" s="49"/>
      <c r="N20"/>
      <c r="O20"/>
      <c r="P20"/>
      <c r="Q20"/>
    </row>
    <row r="21" spans="1:17" ht="16.5">
      <c r="A21" s="23">
        <v>20</v>
      </c>
      <c r="B21" s="20" t="s">
        <v>10</v>
      </c>
      <c r="C21" s="21">
        <v>0</v>
      </c>
      <c r="D21" s="22">
        <f>A21*C21</f>
        <v>0</v>
      </c>
      <c r="J21" s="49"/>
      <c r="N21"/>
      <c r="O21"/>
      <c r="P21"/>
      <c r="Q21"/>
    </row>
    <row r="22" spans="1:17" ht="16.5">
      <c r="A22" s="23">
        <v>10</v>
      </c>
      <c r="B22" s="20" t="s">
        <v>10</v>
      </c>
      <c r="C22" s="21">
        <v>5</v>
      </c>
      <c r="D22" s="22">
        <f>A22*C22</f>
        <v>50</v>
      </c>
      <c r="K22" s="49"/>
      <c r="N22"/>
      <c r="O22"/>
      <c r="P22"/>
      <c r="Q22"/>
    </row>
    <row r="23" spans="1:17" ht="16.5">
      <c r="A23" s="23">
        <v>5</v>
      </c>
      <c r="B23" s="20" t="s">
        <v>10</v>
      </c>
      <c r="C23" s="21">
        <v>7</v>
      </c>
      <c r="D23" s="22">
        <f>A23*C23</f>
        <v>35</v>
      </c>
      <c r="M23" s="50"/>
      <c r="N23"/>
      <c r="O23"/>
      <c r="P23"/>
      <c r="Q23"/>
    </row>
    <row r="24" spans="1:17" ht="16.5">
      <c r="A24" s="24" t="s">
        <v>11</v>
      </c>
      <c r="B24" s="25" t="s">
        <v>10</v>
      </c>
      <c r="C24" s="21">
        <v>10</v>
      </c>
      <c r="D24" s="22">
        <f>+C24*1</f>
        <v>10</v>
      </c>
      <c r="K24" s="50"/>
    </row>
    <row r="25" spans="1:17" ht="16.5">
      <c r="A25" s="24"/>
      <c r="B25" s="25"/>
      <c r="C25" s="21">
        <v>0</v>
      </c>
      <c r="D25" s="22">
        <f>+C25*0.025</f>
        <v>0</v>
      </c>
    </row>
    <row r="26" spans="1:17" ht="16.5">
      <c r="A26" s="63" t="s">
        <v>17</v>
      </c>
      <c r="B26" s="64"/>
      <c r="C26" s="26"/>
      <c r="D26" s="27">
        <f>SUM(D18:D25)</f>
        <v>1145</v>
      </c>
    </row>
    <row r="27" spans="1:17" ht="16.5">
      <c r="A27" s="4"/>
    </row>
    <row r="28" spans="1:17" ht="16.5">
      <c r="A28" s="4"/>
    </row>
    <row r="29" spans="1:17" ht="16.5">
      <c r="A29" s="4"/>
    </row>
    <row r="30" spans="1:17" ht="16.5">
      <c r="A30" s="31"/>
      <c r="D30" s="40"/>
    </row>
    <row r="31" spans="1:17" ht="16.5">
      <c r="A31" s="32"/>
    </row>
    <row r="32" spans="1:17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08CC-608A-4E6F-A263-163BFF733A5C}">
  <dimension ref="A1:Q48"/>
  <sheetViews>
    <sheetView workbookViewId="0">
      <selection activeCell="Q11" sqref="Q11"/>
    </sheetView>
  </sheetViews>
  <sheetFormatPr defaultRowHeight="15"/>
  <cols>
    <col min="1" max="1" width="29.85546875" style="3" bestFit="1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42578125" style="3" bestFit="1" customWidth="1"/>
    <col min="12" max="12" width="9" style="3" customWidth="1"/>
    <col min="13" max="13" width="5.42578125" style="3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16384" width="9.140625" style="3"/>
  </cols>
  <sheetData>
    <row r="1" spans="1:15" ht="17.25" thickBot="1">
      <c r="A1" s="1">
        <v>45663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76</v>
      </c>
      <c r="K4" s="9">
        <f>IF(H4&gt;J4,H4-J4,0)</f>
        <v>0</v>
      </c>
      <c r="L4" s="10">
        <f>IF(J4&gt;H4,J4-H4,0)</f>
        <v>76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8">
        <f t="shared" ref="H5:H8" si="0">+G5+F5+E5+D5+C5+B5</f>
        <v>0</v>
      </c>
      <c r="I5" s="59"/>
      <c r="J5" s="7">
        <v>0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t="s">
        <v>38</v>
      </c>
      <c r="B6" s="7">
        <v>33</v>
      </c>
      <c r="C6" s="7">
        <v>2630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2663</v>
      </c>
      <c r="I6" s="59"/>
      <c r="J6" s="7">
        <f>986+1631</f>
        <v>2617</v>
      </c>
      <c r="K6" s="9">
        <f>IF(H6&gt;J6,H6-J6,0)</f>
        <v>46</v>
      </c>
      <c r="L6" s="10">
        <f>IF(J6&gt;H6,J6-H6,0)</f>
        <v>0</v>
      </c>
      <c r="M6" s="42"/>
      <c r="N6" s="42"/>
    </row>
    <row r="7" spans="1:15" s="5" customFormat="1" ht="18" customHeight="1">
      <c r="A7" s="51" t="s">
        <v>23</v>
      </c>
      <c r="B7" s="7">
        <v>542</v>
      </c>
      <c r="C7" s="7">
        <v>3290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3832</v>
      </c>
      <c r="I7" s="59"/>
      <c r="J7" s="7">
        <f>2522+1282</f>
        <v>3804</v>
      </c>
      <c r="K7" s="9">
        <f>IF(H7&gt;J7,H7-J7,0)</f>
        <v>28</v>
      </c>
      <c r="L7" s="10">
        <f>IF(J7&gt;H7,J7-H7,0)</f>
        <v>0</v>
      </c>
    </row>
    <row r="8" spans="1:15" s="5" customFormat="1" ht="16.5" hidden="1" customHeight="1">
      <c r="A8" s="11" t="s">
        <v>35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0</v>
      </c>
      <c r="I8" s="59"/>
      <c r="J8" s="7">
        <v>0</v>
      </c>
      <c r="K8" s="9">
        <f t="shared" ref="K8:K9" si="1">IF(H8&gt;J8,H8-J8,0)</f>
        <v>0</v>
      </c>
      <c r="L8" s="10">
        <f t="shared" ref="L8:L12" si="2">IF(J8&gt;H8,J8-H8,0)</f>
        <v>0</v>
      </c>
    </row>
    <row r="9" spans="1:15" s="5" customFormat="1" ht="9.75" hidden="1" customHeight="1">
      <c r="A9" s="11"/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v>0</v>
      </c>
      <c r="I9" s="59"/>
      <c r="J9" s="45">
        <v>0</v>
      </c>
      <c r="K9" s="9">
        <f t="shared" si="1"/>
        <v>0</v>
      </c>
      <c r="L9" s="10">
        <f t="shared" si="2"/>
        <v>0</v>
      </c>
    </row>
    <row r="10" spans="1:15" s="5" customFormat="1" ht="3.75" hidden="1" customHeight="1">
      <c r="A10" s="11"/>
      <c r="B10" s="7"/>
      <c r="C10" s="7"/>
      <c r="D10" s="7"/>
      <c r="E10" s="7"/>
      <c r="F10" s="7"/>
      <c r="G10" s="7"/>
      <c r="H10" s="8"/>
      <c r="I10" s="59"/>
      <c r="J10" s="45"/>
      <c r="K10" s="9" t="e">
        <f>IF(H10&gt;O15J10,H10-J10,0)</f>
        <v>#NAME?</v>
      </c>
      <c r="L10" s="10"/>
    </row>
    <row r="11" spans="1:15" s="5" customFormat="1" ht="20.25" customHeight="1">
      <c r="A11" t="s">
        <v>45</v>
      </c>
      <c r="B11" s="7">
        <v>269</v>
      </c>
      <c r="C11" s="7">
        <f>76+24+308+38+32+53+2+38+76+34+109+20+39+20+78+20+112+96+58+7+195+121+40+20</f>
        <v>1616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f>1362+851</f>
        <v>2213</v>
      </c>
      <c r="K11" s="10">
        <f t="shared" ref="K11:K12" si="3">IF(I11&gt;G11,I11-G11,0)</f>
        <v>0</v>
      </c>
      <c r="L11" s="10">
        <v>0</v>
      </c>
    </row>
    <row r="12" spans="1:15" s="5" customFormat="1" ht="16.5" hidden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10">
        <f t="shared" si="3"/>
        <v>0</v>
      </c>
      <c r="L12" s="10">
        <f t="shared" si="2"/>
        <v>0</v>
      </c>
    </row>
    <row r="13" spans="1:15" s="5" customFormat="1" ht="18" customHeight="1" thickBot="1">
      <c r="A13" s="12"/>
      <c r="B13" s="13">
        <f t="shared" ref="B13:H13" si="4">SUM(B4:B12)</f>
        <v>844</v>
      </c>
      <c r="C13" s="13">
        <f t="shared" si="4"/>
        <v>7536</v>
      </c>
      <c r="D13" s="13">
        <f t="shared" si="4"/>
        <v>0</v>
      </c>
      <c r="E13" s="13">
        <f t="shared" si="4"/>
        <v>0</v>
      </c>
      <c r="F13" s="13">
        <f t="shared" si="4"/>
        <v>0</v>
      </c>
      <c r="G13" s="13">
        <f t="shared" si="4"/>
        <v>0</v>
      </c>
      <c r="H13" s="13">
        <f t="shared" si="4"/>
        <v>6495</v>
      </c>
      <c r="I13" s="14"/>
      <c r="J13" s="13">
        <f>SUM(J4:J12)</f>
        <v>8710</v>
      </c>
      <c r="K13" s="13">
        <v>0</v>
      </c>
      <c r="L13" s="13">
        <f>SUM(L4:L12)</f>
        <v>76</v>
      </c>
      <c r="M13" s="16"/>
      <c r="N13" s="16"/>
      <c r="O13" s="16"/>
    </row>
    <row r="14" spans="1:15" ht="17.25" thickBot="1">
      <c r="A14" s="41"/>
      <c r="B14" s="15"/>
      <c r="C14" s="15"/>
      <c r="E14" s="15"/>
      <c r="F14" s="15"/>
      <c r="G14" s="15"/>
      <c r="H14" s="15"/>
    </row>
    <row r="15" spans="1:15" ht="18.75" customHeight="1" thickBot="1">
      <c r="A15" s="60" t="s">
        <v>62</v>
      </c>
      <c r="B15" s="61"/>
      <c r="C15" s="61"/>
      <c r="D15" s="62"/>
      <c r="E15" s="15"/>
      <c r="F15" s="15" t="s">
        <v>9</v>
      </c>
      <c r="G15" s="15"/>
      <c r="H15" s="18"/>
      <c r="I15" s="17"/>
      <c r="N15"/>
    </row>
    <row r="16" spans="1:15" ht="18.75" customHeight="1">
      <c r="A16" s="19">
        <v>500</v>
      </c>
      <c r="B16" s="28" t="s">
        <v>10</v>
      </c>
      <c r="C16" s="21">
        <v>0</v>
      </c>
      <c r="D16" s="22">
        <f>A16*C16</f>
        <v>0</v>
      </c>
      <c r="N16"/>
    </row>
    <row r="17" spans="1:17" ht="18.75" customHeight="1">
      <c r="A17" s="23">
        <v>100</v>
      </c>
      <c r="B17" s="20" t="s">
        <v>10</v>
      </c>
      <c r="C17" s="21">
        <v>6</v>
      </c>
      <c r="D17" s="22">
        <f t="shared" ref="D17" si="5">A17*C17</f>
        <v>600</v>
      </c>
      <c r="M17"/>
      <c r="N17"/>
      <c r="O17"/>
      <c r="P17"/>
    </row>
    <row r="18" spans="1:17" ht="16.5">
      <c r="A18" s="23">
        <v>50</v>
      </c>
      <c r="B18" s="20" t="s">
        <v>10</v>
      </c>
      <c r="C18" s="21">
        <v>3</v>
      </c>
      <c r="D18" s="22">
        <f>A18*C18</f>
        <v>150</v>
      </c>
      <c r="M18"/>
      <c r="N18"/>
      <c r="O18"/>
      <c r="P18"/>
    </row>
    <row r="19" spans="1:17" ht="16.5">
      <c r="A19" s="23">
        <v>20</v>
      </c>
      <c r="B19" s="20" t="s">
        <v>10</v>
      </c>
      <c r="C19" s="21">
        <v>0</v>
      </c>
      <c r="D19" s="22">
        <f>A19*C19</f>
        <v>0</v>
      </c>
      <c r="M19"/>
      <c r="N19"/>
      <c r="O19"/>
      <c r="P19"/>
    </row>
    <row r="20" spans="1:17" ht="16.5">
      <c r="A20" s="23">
        <v>10</v>
      </c>
      <c r="B20" s="20" t="s">
        <v>10</v>
      </c>
      <c r="C20" s="21">
        <v>5</v>
      </c>
      <c r="D20" s="22">
        <f>A20*C20</f>
        <v>50</v>
      </c>
      <c r="M20"/>
      <c r="N20"/>
      <c r="O20"/>
      <c r="P20"/>
    </row>
    <row r="21" spans="1:17" ht="16.5">
      <c r="A21" s="23">
        <v>5</v>
      </c>
      <c r="B21" s="20" t="s">
        <v>10</v>
      </c>
      <c r="C21" s="21">
        <v>3</v>
      </c>
      <c r="D21" s="22">
        <f>A21*C21</f>
        <v>15</v>
      </c>
      <c r="M21"/>
      <c r="N21"/>
      <c r="O21"/>
      <c r="P21"/>
      <c r="Q21" s="50"/>
    </row>
    <row r="22" spans="1:17" ht="16.5">
      <c r="A22" s="24" t="s">
        <v>11</v>
      </c>
      <c r="B22" s="25" t="s">
        <v>10</v>
      </c>
      <c r="C22" s="21">
        <v>29</v>
      </c>
      <c r="D22" s="22">
        <f>+C22*1</f>
        <v>29</v>
      </c>
      <c r="M22"/>
      <c r="N22"/>
      <c r="O22"/>
      <c r="P22"/>
    </row>
    <row r="23" spans="1:17" ht="16.5">
      <c r="A23" s="24"/>
      <c r="B23" s="25"/>
      <c r="C23" s="21">
        <v>0</v>
      </c>
      <c r="D23" s="22">
        <f>+C23*0.025</f>
        <v>0</v>
      </c>
      <c r="M23"/>
      <c r="N23"/>
      <c r="O23"/>
      <c r="P23"/>
    </row>
    <row r="24" spans="1:17" ht="16.5">
      <c r="A24" s="63" t="s">
        <v>17</v>
      </c>
      <c r="B24" s="64"/>
      <c r="C24" s="26"/>
      <c r="D24" s="27">
        <f>SUM(D16:D23)</f>
        <v>844</v>
      </c>
      <c r="M24"/>
      <c r="N24"/>
      <c r="O24"/>
      <c r="P24"/>
    </row>
    <row r="25" spans="1:17" ht="16.5">
      <c r="A25" s="4" t="s">
        <v>46</v>
      </c>
    </row>
    <row r="26" spans="1:17" ht="16.5">
      <c r="A26" s="4"/>
    </row>
    <row r="27" spans="1:17" ht="16.5">
      <c r="A27" s="4"/>
    </row>
    <row r="28" spans="1:17" ht="16.5">
      <c r="A28" s="31"/>
    </row>
    <row r="29" spans="1:17" ht="16.5">
      <c r="A29" s="32"/>
    </row>
    <row r="30" spans="1:17" ht="16.5">
      <c r="A30" s="32"/>
    </row>
    <row r="31" spans="1:17" ht="16.5">
      <c r="A31" s="4"/>
    </row>
    <row r="32" spans="1:17" ht="16.5">
      <c r="A32" s="4"/>
    </row>
    <row r="33" spans="1:8" ht="16.5">
      <c r="A33" s="4"/>
      <c r="F33" t="s">
        <v>18</v>
      </c>
      <c r="G33"/>
    </row>
    <row r="42" spans="1:8">
      <c r="D42" s="40"/>
    </row>
    <row r="44" spans="1:8" ht="16.5">
      <c r="B44" s="29"/>
      <c r="C44" s="29"/>
      <c r="D44" s="29"/>
      <c r="E44" s="33"/>
      <c r="F44" s="43"/>
      <c r="G44" s="43"/>
      <c r="H44" s="4"/>
    </row>
    <row r="45" spans="1:8" ht="16.5">
      <c r="B45" s="29"/>
      <c r="C45" s="29"/>
      <c r="D45" s="29"/>
      <c r="F45" s="32"/>
      <c r="G45" s="32"/>
      <c r="H45" s="4"/>
    </row>
    <row r="46" spans="1:8" ht="16.5">
      <c r="B46" s="29"/>
      <c r="C46" s="29"/>
      <c r="D46" s="29"/>
      <c r="F46" s="34"/>
      <c r="G46" s="34"/>
      <c r="H46" s="4"/>
    </row>
    <row r="47" spans="1:8" ht="18.75" customHeight="1">
      <c r="B47" s="29"/>
      <c r="C47" s="35"/>
      <c r="D47" s="36"/>
      <c r="E47" s="30"/>
      <c r="F47" s="37"/>
      <c r="G47" s="37"/>
      <c r="H47" s="4"/>
    </row>
    <row r="48" spans="1:8" ht="16.5">
      <c r="B48" s="29"/>
      <c r="C48" s="29"/>
      <c r="D48" s="38"/>
      <c r="E48" s="39"/>
      <c r="F48" s="37"/>
      <c r="G48" s="37"/>
    </row>
  </sheetData>
  <mergeCells count="4">
    <mergeCell ref="A24:B24"/>
    <mergeCell ref="A2:L2"/>
    <mergeCell ref="I3:I12"/>
    <mergeCell ref="A15:D1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4241-195A-4FCD-A9B8-79EA124333CD}">
  <dimension ref="A1:P50"/>
  <sheetViews>
    <sheetView workbookViewId="0">
      <selection activeCell="D38" sqref="D38"/>
    </sheetView>
  </sheetViews>
  <sheetFormatPr defaultRowHeight="15"/>
  <cols>
    <col min="1" max="1" width="29.85546875" style="3" bestFit="1" customWidth="1"/>
    <col min="2" max="2" width="8.7109375" style="3" customWidth="1"/>
    <col min="3" max="3" width="9" style="3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7.85546875" style="3" bestFit="1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16384" width="9.140625" style="3"/>
  </cols>
  <sheetData>
    <row r="1" spans="1:15" ht="17.25" thickBot="1">
      <c r="A1" s="1">
        <v>45664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73</v>
      </c>
      <c r="K4" s="9">
        <f>IF(H4&gt;J4,H4-J4,0)</f>
        <v>0</v>
      </c>
      <c r="L4" s="10">
        <f>IF(J4&gt;H4,J4-H4,0)</f>
        <v>73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1015</v>
      </c>
      <c r="E5" s="7">
        <v>0</v>
      </c>
      <c r="F5" s="7">
        <v>0</v>
      </c>
      <c r="G5" s="7">
        <v>0</v>
      </c>
      <c r="H5" s="8">
        <f t="shared" ref="H5:H10" si="0">+G5+F5+E5+D5+C5+B5</f>
        <v>1015</v>
      </c>
      <c r="I5" s="59"/>
      <c r="J5" s="7">
        <v>1015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t="s">
        <v>34</v>
      </c>
      <c r="B6" s="7">
        <v>313</v>
      </c>
      <c r="C6" s="7">
        <v>2506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2819</v>
      </c>
      <c r="I6" s="59"/>
      <c r="J6" s="7">
        <v>2819</v>
      </c>
      <c r="K6" s="9">
        <f>IF(H6&gt;J6,H6-J6,0)</f>
        <v>0</v>
      </c>
      <c r="L6" s="10">
        <f>IF(J6&gt;H6,J6-H6,0)</f>
        <v>0</v>
      </c>
      <c r="M6" s="42"/>
      <c r="N6" s="42"/>
    </row>
    <row r="7" spans="1:15" s="5" customFormat="1" ht="18" hidden="1" customHeight="1">
      <c r="A7" s="51" t="s">
        <v>23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0</v>
      </c>
      <c r="I7" s="59"/>
      <c r="J7" s="7">
        <v>0</v>
      </c>
      <c r="K7" s="9">
        <f>IF(H7&gt;J7,H7-J7,0)</f>
        <v>0</v>
      </c>
      <c r="L7" s="10">
        <f>IF(J7&gt;H7,J7-H7,0)</f>
        <v>0</v>
      </c>
    </row>
    <row r="8" spans="1:15" s="5" customFormat="1" ht="18" customHeight="1">
      <c r="A8" s="51" t="s">
        <v>28</v>
      </c>
      <c r="B8" s="7">
        <v>113</v>
      </c>
      <c r="C8" s="7">
        <v>2365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2478</v>
      </c>
      <c r="I8" s="59"/>
      <c r="J8" s="7">
        <v>2586</v>
      </c>
      <c r="K8" s="9">
        <f t="shared" ref="K8:K14" si="1">IF(H8&gt;J8,H8-J8,0)</f>
        <v>0</v>
      </c>
      <c r="L8" s="10">
        <f t="shared" ref="L8:L14" si="2">IF(J8&gt;H8,J8-H8,0)</f>
        <v>108</v>
      </c>
    </row>
    <row r="9" spans="1:15" s="5" customFormat="1" ht="18" customHeight="1">
      <c r="A9" s="51" t="s">
        <v>43</v>
      </c>
      <c r="B9" s="7">
        <v>324</v>
      </c>
      <c r="C9" s="7">
        <f>1542+29</f>
        <v>1571</v>
      </c>
      <c r="D9" s="7">
        <v>136</v>
      </c>
      <c r="E9" s="7">
        <v>0</v>
      </c>
      <c r="F9" s="7">
        <v>0</v>
      </c>
      <c r="G9" s="7">
        <v>0</v>
      </c>
      <c r="H9" s="8">
        <f t="shared" si="0"/>
        <v>2031</v>
      </c>
      <c r="I9" s="59"/>
      <c r="J9" s="7">
        <v>2031</v>
      </c>
      <c r="K9" s="9">
        <f t="shared" si="1"/>
        <v>0</v>
      </c>
      <c r="L9" s="10">
        <f t="shared" si="2"/>
        <v>0</v>
      </c>
    </row>
    <row r="10" spans="1:15" s="5" customFormat="1" ht="16.5" hidden="1" customHeight="1">
      <c r="A10" s="11" t="s">
        <v>35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f t="shared" si="0"/>
        <v>0</v>
      </c>
      <c r="I10" s="59"/>
      <c r="J10" s="7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H15" si="3">SUM(B4:B14)</f>
        <v>750</v>
      </c>
      <c r="C15" s="13">
        <f t="shared" si="3"/>
        <v>6442</v>
      </c>
      <c r="D15" s="13">
        <f t="shared" si="3"/>
        <v>1151</v>
      </c>
      <c r="E15" s="13">
        <f t="shared" si="3"/>
        <v>0</v>
      </c>
      <c r="F15" s="13">
        <f t="shared" si="3"/>
        <v>0</v>
      </c>
      <c r="G15" s="13">
        <f t="shared" si="3"/>
        <v>0</v>
      </c>
      <c r="H15" s="13">
        <f t="shared" si="3"/>
        <v>8343</v>
      </c>
      <c r="I15" s="14"/>
      <c r="J15" s="13">
        <f>SUM(J4:J14)</f>
        <v>8524</v>
      </c>
      <c r="K15" s="13">
        <f>SUM(K4:K14)</f>
        <v>0</v>
      </c>
      <c r="L15" s="13">
        <f>SUM(L4:L14)</f>
        <v>181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16" ht="18.75" customHeight="1" thickBot="1">
      <c r="A17" s="60" t="s">
        <v>44</v>
      </c>
      <c r="B17" s="61"/>
      <c r="C17" s="61"/>
      <c r="D17" s="62"/>
      <c r="E17" s="15"/>
      <c r="F17" s="15" t="s">
        <v>9</v>
      </c>
      <c r="G17" s="15"/>
      <c r="H17" s="18"/>
      <c r="I17" s="17"/>
      <c r="J17"/>
    </row>
    <row r="18" spans="1:16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J18"/>
    </row>
    <row r="19" spans="1:16" ht="18.75" customHeight="1">
      <c r="A19" s="23">
        <v>100</v>
      </c>
      <c r="B19" s="20" t="s">
        <v>10</v>
      </c>
      <c r="C19" s="21">
        <v>3</v>
      </c>
      <c r="D19" s="22">
        <f t="shared" ref="D19" si="4">A19*C19</f>
        <v>300</v>
      </c>
    </row>
    <row r="20" spans="1:16" ht="16.5">
      <c r="A20" s="23">
        <v>50</v>
      </c>
      <c r="B20" s="20" t="s">
        <v>10</v>
      </c>
      <c r="C20" s="21">
        <v>6</v>
      </c>
      <c r="D20" s="22">
        <f>A20*C20</f>
        <v>300</v>
      </c>
      <c r="J20" s="49"/>
      <c r="N20"/>
      <c r="O20"/>
      <c r="P20"/>
    </row>
    <row r="21" spans="1:16" ht="16.5">
      <c r="A21" s="23">
        <v>20</v>
      </c>
      <c r="B21" s="20" t="s">
        <v>10</v>
      </c>
      <c r="C21" s="21">
        <v>0</v>
      </c>
      <c r="D21" s="22">
        <f>A21*C21</f>
        <v>0</v>
      </c>
      <c r="J21" s="49"/>
      <c r="N21"/>
      <c r="O21"/>
      <c r="P21"/>
    </row>
    <row r="22" spans="1:16" ht="16.5">
      <c r="A22" s="23">
        <v>10</v>
      </c>
      <c r="B22" s="20" t="s">
        <v>10</v>
      </c>
      <c r="C22" s="21">
        <v>6</v>
      </c>
      <c r="D22" s="22">
        <f>A22*C22</f>
        <v>60</v>
      </c>
      <c r="K22" s="49"/>
      <c r="N22"/>
      <c r="O22"/>
      <c r="P22"/>
    </row>
    <row r="23" spans="1:16" ht="16.5">
      <c r="A23" s="23">
        <v>5</v>
      </c>
      <c r="B23" s="20" t="s">
        <v>10</v>
      </c>
      <c r="C23" s="21">
        <v>18</v>
      </c>
      <c r="D23" s="22">
        <f>A23*C23</f>
        <v>90</v>
      </c>
      <c r="M23" s="50"/>
      <c r="N23"/>
      <c r="O23"/>
      <c r="P23"/>
    </row>
    <row r="24" spans="1:16" ht="16.5">
      <c r="A24" s="24" t="s">
        <v>11</v>
      </c>
      <c r="B24" s="25" t="s">
        <v>10</v>
      </c>
      <c r="C24" s="21">
        <v>0</v>
      </c>
      <c r="D24" s="22">
        <f>+C24*1</f>
        <v>0</v>
      </c>
      <c r="K24" s="50"/>
      <c r="N24"/>
      <c r="O24"/>
      <c r="P24"/>
    </row>
    <row r="25" spans="1:16" ht="16.5">
      <c r="A25" s="24"/>
      <c r="B25" s="25"/>
      <c r="C25" s="21">
        <v>0</v>
      </c>
      <c r="D25" s="22">
        <f>+C25*0.025</f>
        <v>0</v>
      </c>
      <c r="N25"/>
      <c r="O25"/>
      <c r="P25"/>
    </row>
    <row r="26" spans="1:16" ht="16.5">
      <c r="A26" s="63" t="s">
        <v>17</v>
      </c>
      <c r="B26" s="64"/>
      <c r="C26" s="26"/>
      <c r="D26" s="27">
        <f>SUM(D18:D25)</f>
        <v>750</v>
      </c>
    </row>
    <row r="27" spans="1:16" ht="16.5">
      <c r="A27" s="4"/>
    </row>
    <row r="28" spans="1:16" ht="16.5">
      <c r="A28" s="4"/>
    </row>
    <row r="29" spans="1:16" ht="16.5">
      <c r="A29" s="4"/>
    </row>
    <row r="30" spans="1:16" ht="16.5">
      <c r="A30" s="31"/>
    </row>
    <row r="31" spans="1:16" ht="16.5">
      <c r="A31" s="32"/>
    </row>
    <row r="32" spans="1:16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B0D2-B343-4451-8FF6-020C088CBB36}">
  <dimension ref="A1:Q51"/>
  <sheetViews>
    <sheetView workbookViewId="0">
      <selection activeCell="C15" sqref="C15"/>
    </sheetView>
  </sheetViews>
  <sheetFormatPr defaultRowHeight="15"/>
  <cols>
    <col min="1" max="1" width="29.85546875" style="3" bestFit="1" customWidth="1"/>
    <col min="2" max="2" width="8.7109375" style="3" customWidth="1"/>
    <col min="3" max="3" width="9.42578125" style="3" bestFit="1" customWidth="1"/>
    <col min="4" max="4" width="10.140625" style="3" customWidth="1"/>
    <col min="5" max="5" width="8.85546875" style="3" customWidth="1"/>
    <col min="6" max="7" width="9.42578125" style="3" customWidth="1"/>
    <col min="8" max="8" width="9.42578125" style="3" bestFit="1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7.85546875" style="3" bestFit="1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16384" width="9.140625" style="3"/>
  </cols>
  <sheetData>
    <row r="1" spans="1:14" ht="17.25" thickBot="1">
      <c r="A1" s="1">
        <v>45665</v>
      </c>
      <c r="B1" s="2"/>
      <c r="L1" s="4" t="s">
        <v>0</v>
      </c>
    </row>
    <row r="2" spans="1:14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4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4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54">
        <v>-814</v>
      </c>
      <c r="K4" s="9">
        <f>IF(H4&gt;J4,H4-J4,0)</f>
        <v>814</v>
      </c>
      <c r="L4" s="10">
        <f>IF(J4&gt;H4,J4-H4,0)</f>
        <v>0</v>
      </c>
      <c r="M4" s="42"/>
      <c r="N4" s="42"/>
    </row>
    <row r="5" spans="1:14" s="5" customFormat="1" ht="18" customHeight="1">
      <c r="A5" s="6" t="s">
        <v>12</v>
      </c>
      <c r="B5" s="7">
        <v>0</v>
      </c>
      <c r="C5" s="7">
        <v>0</v>
      </c>
      <c r="D5" s="7">
        <v>3105</v>
      </c>
      <c r="E5" s="7">
        <v>0</v>
      </c>
      <c r="F5" s="7">
        <v>0</v>
      </c>
      <c r="G5" s="7">
        <v>0</v>
      </c>
      <c r="H5" s="8">
        <f t="shared" ref="H5:H11" si="0">+G5+F5+E5+D5+C5+B5</f>
        <v>3105</v>
      </c>
      <c r="I5" s="59"/>
      <c r="J5" s="7">
        <v>3062</v>
      </c>
      <c r="K5" s="9">
        <f>IF(H5&gt;J5,H5-J5,0)</f>
        <v>43</v>
      </c>
      <c r="L5" s="10">
        <f>IF(J5&gt;H5,J5-H5,0)</f>
        <v>0</v>
      </c>
      <c r="M5" s="42"/>
      <c r="N5" s="42"/>
    </row>
    <row r="6" spans="1:14" s="5" customFormat="1" ht="18" customHeight="1">
      <c r="A6" t="s">
        <v>45</v>
      </c>
      <c r="B6" s="7">
        <v>211</v>
      </c>
      <c r="C6" s="7">
        <v>1268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1479</v>
      </c>
      <c r="I6" s="59"/>
      <c r="J6" s="7">
        <v>1489</v>
      </c>
      <c r="K6" s="9">
        <f>IF(H6&gt;J6,H6-J6,0)</f>
        <v>0</v>
      </c>
      <c r="L6" s="10">
        <f>IF(J6&gt;H6,J6-H6,0)</f>
        <v>10</v>
      </c>
      <c r="M6" s="42"/>
      <c r="N6" s="42"/>
    </row>
    <row r="7" spans="1:14" s="5" customFormat="1" ht="18" hidden="1" customHeight="1">
      <c r="A7" s="51" t="s">
        <v>23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0</v>
      </c>
      <c r="I7" s="59"/>
      <c r="J7" s="7">
        <v>0</v>
      </c>
      <c r="K7" s="9">
        <f>IF(H7&gt;J7,H7-J7,0)</f>
        <v>0</v>
      </c>
      <c r="L7" s="10">
        <f>IF(J7&gt;H7,J7-H7,0)</f>
        <v>0</v>
      </c>
    </row>
    <row r="8" spans="1:14" s="5" customFormat="1" ht="18" customHeight="1">
      <c r="A8" t="s">
        <v>23</v>
      </c>
      <c r="B8" s="7">
        <v>433</v>
      </c>
      <c r="C8" s="7">
        <v>2213</v>
      </c>
      <c r="D8" s="7">
        <v>0</v>
      </c>
      <c r="E8" s="7">
        <v>0</v>
      </c>
      <c r="F8" s="7">
        <v>545</v>
      </c>
      <c r="G8" s="7">
        <v>0</v>
      </c>
      <c r="H8" s="8">
        <f>+G8+F8+E8+D8+C8+B8</f>
        <v>3191</v>
      </c>
      <c r="I8" s="59"/>
      <c r="J8" s="7">
        <v>3100</v>
      </c>
      <c r="K8" s="9">
        <f>IF(H8&gt;J8,H8-J8,0)</f>
        <v>91</v>
      </c>
      <c r="L8" s="10">
        <f t="shared" ref="L8:L15" si="1">IF(J8&gt;H8,J8-H8,0)</f>
        <v>0</v>
      </c>
    </row>
    <row r="9" spans="1:14" s="5" customFormat="1" ht="18" customHeight="1">
      <c r="A9" t="s">
        <v>48</v>
      </c>
      <c r="B9" s="7">
        <v>388</v>
      </c>
      <c r="C9" s="7">
        <v>1828</v>
      </c>
      <c r="D9" s="7">
        <v>0</v>
      </c>
      <c r="E9" s="7">
        <v>0</v>
      </c>
      <c r="F9" s="7">
        <v>0</v>
      </c>
      <c r="G9" s="7">
        <v>0</v>
      </c>
      <c r="H9" s="8">
        <f t="shared" ref="H9" si="2">+G9+F9+E9+D9+C9+B9</f>
        <v>2216</v>
      </c>
      <c r="I9" s="59"/>
      <c r="J9" s="7">
        <v>2216</v>
      </c>
      <c r="K9" s="9">
        <f t="shared" ref="K9" si="3">IF(H9&gt;J9,H9-J9,0)</f>
        <v>0</v>
      </c>
      <c r="L9" s="10">
        <f t="shared" ref="L9" si="4">IF(J9&gt;H9,J9-H9,0)</f>
        <v>0</v>
      </c>
    </row>
    <row r="10" spans="1:14" s="5" customFormat="1" ht="18" customHeight="1">
      <c r="A10" s="51" t="s">
        <v>43</v>
      </c>
      <c r="B10" s="7">
        <v>96</v>
      </c>
      <c r="C10" s="7">
        <f>29+48+55.5+20+30+29+202+104+12+20+87+20+40+8+20+29+20+80+20+58+54+40+20+20+108+20+14+29+21+87+130+58+72+145+7+58+7+129+82+20+62.5+92+62+40+84+118+54+20+46+38+14+63</f>
        <v>2746</v>
      </c>
      <c r="D10" s="7">
        <v>0</v>
      </c>
      <c r="E10" s="7">
        <v>0</v>
      </c>
      <c r="F10" s="7">
        <v>0</v>
      </c>
      <c r="G10" s="7">
        <v>0</v>
      </c>
      <c r="H10" s="8">
        <f t="shared" si="0"/>
        <v>2842</v>
      </c>
      <c r="I10" s="59"/>
      <c r="J10" s="7">
        <v>2810</v>
      </c>
      <c r="K10" s="9">
        <f t="shared" ref="K10:K15" si="5">IF(H10&gt;J10,H10-J10,0)</f>
        <v>32</v>
      </c>
      <c r="L10" s="10">
        <f t="shared" si="1"/>
        <v>0</v>
      </c>
    </row>
    <row r="11" spans="1:14" s="5" customFormat="1" ht="16.5" hidden="1" customHeight="1">
      <c r="A11" s="11" t="s">
        <v>35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f t="shared" si="0"/>
        <v>0</v>
      </c>
      <c r="I11" s="59"/>
      <c r="J11" s="7">
        <v>0</v>
      </c>
      <c r="K11" s="9">
        <f t="shared" si="5"/>
        <v>0</v>
      </c>
      <c r="L11" s="10">
        <f t="shared" si="1"/>
        <v>0</v>
      </c>
    </row>
    <row r="12" spans="1:14" s="5" customFormat="1" ht="14.2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5"/>
        <v>0</v>
      </c>
      <c r="L12" s="10">
        <f t="shared" si="1"/>
        <v>0</v>
      </c>
    </row>
    <row r="13" spans="1:14" s="5" customFormat="1" ht="19.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5"/>
        <v>0</v>
      </c>
      <c r="L13" s="10">
        <f t="shared" si="1"/>
        <v>0</v>
      </c>
    </row>
    <row r="14" spans="1:14" s="5" customFormat="1" ht="20.2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5"/>
        <v>0</v>
      </c>
      <c r="L14" s="10">
        <f t="shared" si="1"/>
        <v>0</v>
      </c>
    </row>
    <row r="15" spans="1:14" s="5" customFormat="1" ht="15.75" customHeight="1">
      <c r="A15" s="11" t="s">
        <v>70</v>
      </c>
      <c r="B15" s="7">
        <v>0</v>
      </c>
      <c r="C15" s="7">
        <v>0</v>
      </c>
      <c r="D15" s="7">
        <v>311</v>
      </c>
      <c r="E15" s="7">
        <v>0</v>
      </c>
      <c r="F15" s="7">
        <v>0</v>
      </c>
      <c r="G15" s="7">
        <v>0</v>
      </c>
      <c r="H15" s="8">
        <v>0</v>
      </c>
      <c r="I15" s="59"/>
      <c r="J15" s="45">
        <v>0</v>
      </c>
      <c r="K15" s="9">
        <f t="shared" si="5"/>
        <v>0</v>
      </c>
      <c r="L15" s="10">
        <f t="shared" si="1"/>
        <v>0</v>
      </c>
    </row>
    <row r="16" spans="1:14" s="5" customFormat="1" ht="18" customHeight="1" thickBot="1">
      <c r="A16" s="12"/>
      <c r="B16" s="13">
        <f t="shared" ref="B16:H16" si="6">SUM(B4:B15)</f>
        <v>1128</v>
      </c>
      <c r="C16" s="13">
        <f t="shared" si="6"/>
        <v>8055</v>
      </c>
      <c r="D16" s="13">
        <f t="shared" si="6"/>
        <v>3416</v>
      </c>
      <c r="E16" s="13">
        <f t="shared" si="6"/>
        <v>0</v>
      </c>
      <c r="F16" s="13">
        <f t="shared" si="6"/>
        <v>545</v>
      </c>
      <c r="G16" s="13">
        <f t="shared" si="6"/>
        <v>0</v>
      </c>
      <c r="H16" s="13">
        <f t="shared" si="6"/>
        <v>12833</v>
      </c>
      <c r="I16" s="14"/>
      <c r="J16" s="13">
        <f>SUM(J4:J15)</f>
        <v>11863</v>
      </c>
      <c r="K16" s="13">
        <f>SUM(K4:K15)</f>
        <v>980</v>
      </c>
      <c r="L16" s="13">
        <f>SUM(L4:L15)</f>
        <v>10</v>
      </c>
    </row>
    <row r="17" spans="1:17" ht="17.25" thickBot="1">
      <c r="A17" s="41"/>
      <c r="B17" s="15"/>
      <c r="C17" s="15"/>
      <c r="E17" s="15"/>
      <c r="F17" s="15"/>
      <c r="G17" s="15"/>
      <c r="H17" s="15"/>
      <c r="M17" s="5"/>
      <c r="N17" s="5"/>
      <c r="O17" s="5"/>
      <c r="P17" s="5"/>
      <c r="Q17" s="5"/>
    </row>
    <row r="18" spans="1:17" ht="18.75" customHeight="1" thickBot="1">
      <c r="A18" s="60" t="s">
        <v>47</v>
      </c>
      <c r="B18" s="61"/>
      <c r="C18" s="61"/>
      <c r="D18" s="62"/>
      <c r="E18" s="15"/>
      <c r="F18" s="15"/>
      <c r="G18" s="15"/>
      <c r="H18" s="18"/>
      <c r="I18" s="17"/>
      <c r="J18"/>
      <c r="M18" s="5"/>
      <c r="N18" s="5"/>
      <c r="O18" s="5"/>
      <c r="P18" s="5"/>
      <c r="Q18" s="5"/>
    </row>
    <row r="19" spans="1:17" ht="18.75" customHeight="1">
      <c r="A19" s="19">
        <v>500</v>
      </c>
      <c r="B19" s="28" t="s">
        <v>10</v>
      </c>
      <c r="C19" s="21">
        <v>0</v>
      </c>
      <c r="D19" s="22">
        <f>A19*C19</f>
        <v>0</v>
      </c>
      <c r="J19"/>
      <c r="M19" s="5"/>
      <c r="N19" s="5"/>
      <c r="O19" s="5"/>
      <c r="P19" s="5"/>
      <c r="Q19" s="5"/>
    </row>
    <row r="20" spans="1:17" ht="18.75" customHeight="1">
      <c r="A20" s="23">
        <v>100</v>
      </c>
      <c r="B20" s="20" t="s">
        <v>10</v>
      </c>
      <c r="C20" s="21">
        <v>6</v>
      </c>
      <c r="D20" s="22">
        <f t="shared" ref="D20" si="7">A20*C20</f>
        <v>600</v>
      </c>
      <c r="M20" s="5"/>
      <c r="N20" s="5"/>
      <c r="O20" s="5"/>
      <c r="P20" s="5"/>
      <c r="Q20" s="5"/>
    </row>
    <row r="21" spans="1:17" ht="16.5">
      <c r="A21" s="23">
        <v>50</v>
      </c>
      <c r="B21" s="20" t="s">
        <v>10</v>
      </c>
      <c r="C21" s="21">
        <v>6</v>
      </c>
      <c r="D21" s="22">
        <f>A21*C21</f>
        <v>300</v>
      </c>
      <c r="J21" s="7"/>
      <c r="M21" s="5"/>
      <c r="N21" s="5"/>
      <c r="O21" s="5"/>
      <c r="P21" s="5"/>
      <c r="Q21" s="5"/>
    </row>
    <row r="22" spans="1:17" ht="16.5">
      <c r="A22" s="23">
        <v>20</v>
      </c>
      <c r="B22" s="20" t="s">
        <v>10</v>
      </c>
      <c r="C22" s="21">
        <v>1</v>
      </c>
      <c r="D22" s="22">
        <f>A22*C22</f>
        <v>20</v>
      </c>
      <c r="J22" s="49"/>
      <c r="M22" s="5"/>
      <c r="N22" s="5"/>
      <c r="O22" s="5"/>
      <c r="P22" s="5"/>
      <c r="Q22" s="5"/>
    </row>
    <row r="23" spans="1:17" ht="16.5">
      <c r="A23" s="23">
        <v>10</v>
      </c>
      <c r="B23" s="20" t="s">
        <v>10</v>
      </c>
      <c r="C23" s="21">
        <v>10</v>
      </c>
      <c r="D23" s="22">
        <f>A23*C23</f>
        <v>100</v>
      </c>
      <c r="J23"/>
      <c r="K23" s="49"/>
      <c r="M23" s="5"/>
      <c r="N23" s="5"/>
      <c r="O23" s="5"/>
      <c r="P23" s="5"/>
      <c r="Q23" s="5"/>
    </row>
    <row r="24" spans="1:17" ht="16.5">
      <c r="A24" s="23">
        <v>5</v>
      </c>
      <c r="B24" s="20" t="s">
        <v>10</v>
      </c>
      <c r="C24" s="21">
        <v>17</v>
      </c>
      <c r="D24" s="22">
        <f>A24*C24</f>
        <v>85</v>
      </c>
      <c r="M24" s="5"/>
      <c r="N24" s="5"/>
      <c r="O24" s="5"/>
      <c r="P24" s="5"/>
      <c r="Q24" s="5"/>
    </row>
    <row r="25" spans="1:17" ht="16.5">
      <c r="A25" s="24" t="s">
        <v>11</v>
      </c>
      <c r="B25" s="25" t="s">
        <v>10</v>
      </c>
      <c r="C25" s="21">
        <v>23</v>
      </c>
      <c r="D25" s="22">
        <f>+C25*1</f>
        <v>23</v>
      </c>
      <c r="K25" s="50"/>
      <c r="M25" s="5"/>
      <c r="N25" s="5"/>
      <c r="O25" s="5"/>
      <c r="P25" s="5"/>
      <c r="Q25" s="5"/>
    </row>
    <row r="26" spans="1:17" ht="16.5">
      <c r="A26" s="24"/>
      <c r="B26" s="25"/>
      <c r="C26" s="21">
        <v>0</v>
      </c>
      <c r="D26" s="22">
        <f>+C26*0.025</f>
        <v>0</v>
      </c>
      <c r="M26" s="5"/>
      <c r="N26" s="5"/>
      <c r="O26" s="5"/>
      <c r="P26" s="5"/>
      <c r="Q26" s="5"/>
    </row>
    <row r="27" spans="1:17" ht="16.5">
      <c r="A27" s="63" t="s">
        <v>17</v>
      </c>
      <c r="B27" s="64"/>
      <c r="C27" s="26"/>
      <c r="D27" s="27">
        <f>SUM(D19:D26)</f>
        <v>1128</v>
      </c>
      <c r="M27" s="5"/>
      <c r="N27" s="5"/>
      <c r="O27" s="5"/>
      <c r="P27" s="5"/>
      <c r="Q27" s="5"/>
    </row>
    <row r="28" spans="1:17" ht="16.5">
      <c r="A28" s="4"/>
      <c r="M28" s="5"/>
      <c r="N28" s="5"/>
      <c r="O28" s="5"/>
      <c r="P28" s="5"/>
      <c r="Q28" s="5"/>
    </row>
    <row r="29" spans="1:17" ht="16.5">
      <c r="A29" s="4"/>
      <c r="M29" s="5"/>
      <c r="N29" s="5"/>
      <c r="O29" s="5"/>
      <c r="P29" s="5"/>
      <c r="Q29" s="5"/>
    </row>
    <row r="30" spans="1:17" ht="16.5">
      <c r="A30" s="4"/>
      <c r="M30" s="5"/>
      <c r="N30" s="5"/>
      <c r="O30" s="5"/>
      <c r="P30" s="5"/>
      <c r="Q30" s="5"/>
    </row>
    <row r="31" spans="1:17" ht="16.5">
      <c r="A31" s="31"/>
    </row>
    <row r="32" spans="1:17" ht="16.5">
      <c r="A32" s="32"/>
    </row>
    <row r="33" spans="1:8" ht="16.5">
      <c r="A33" s="32"/>
    </row>
    <row r="34" spans="1:8" ht="16.5">
      <c r="A34" s="4"/>
    </row>
    <row r="35" spans="1:8" ht="16.5">
      <c r="A35" s="4"/>
    </row>
    <row r="36" spans="1:8" ht="16.5">
      <c r="A36" s="4"/>
      <c r="F36" t="s">
        <v>18</v>
      </c>
      <c r="G36"/>
    </row>
    <row r="45" spans="1:8">
      <c r="D45" s="40"/>
    </row>
    <row r="47" spans="1:8" ht="16.5">
      <c r="B47" s="29"/>
      <c r="C47" s="29"/>
      <c r="D47" s="29"/>
      <c r="E47" s="33"/>
      <c r="F47" s="43"/>
      <c r="G47" s="43"/>
      <c r="H47" s="4"/>
    </row>
    <row r="48" spans="1:8" ht="16.5">
      <c r="B48" s="29"/>
      <c r="C48" s="29"/>
      <c r="D48" s="29"/>
      <c r="F48" s="32"/>
      <c r="G48" s="32"/>
      <c r="H48" s="4"/>
    </row>
    <row r="49" spans="2:8" ht="16.5">
      <c r="B49" s="29"/>
      <c r="C49" s="29"/>
      <c r="D49" s="29"/>
      <c r="F49" s="34"/>
      <c r="G49" s="34"/>
      <c r="H49" s="4"/>
    </row>
    <row r="50" spans="2:8" ht="18.75" customHeight="1">
      <c r="B50" s="29"/>
      <c r="C50" s="35"/>
      <c r="D50" s="36"/>
      <c r="E50" s="30"/>
      <c r="F50" s="37"/>
      <c r="G50" s="37"/>
      <c r="H50" s="4"/>
    </row>
    <row r="51" spans="2:8" ht="16.5">
      <c r="B51" s="29"/>
      <c r="C51" s="29"/>
      <c r="D51" s="38"/>
      <c r="E51" s="39"/>
      <c r="F51" s="37"/>
      <c r="G51" s="37"/>
    </row>
  </sheetData>
  <mergeCells count="4">
    <mergeCell ref="A2:L2"/>
    <mergeCell ref="I3:I15"/>
    <mergeCell ref="A18:D18"/>
    <mergeCell ref="A27:B27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CB46-3975-43E9-8B1A-2FB83B8F34D8}">
  <dimension ref="A1:P50"/>
  <sheetViews>
    <sheetView topLeftCell="A2" workbookViewId="0">
      <selection activeCell="C25" sqref="C25"/>
    </sheetView>
  </sheetViews>
  <sheetFormatPr defaultRowHeight="15"/>
  <cols>
    <col min="1" max="1" width="29.85546875" style="3" bestFit="1" customWidth="1"/>
    <col min="2" max="2" width="8.7109375" style="3" customWidth="1"/>
    <col min="3" max="3" width="9.42578125" style="3" bestFit="1" customWidth="1"/>
    <col min="4" max="4" width="10.140625" style="3" customWidth="1"/>
    <col min="5" max="5" width="8.85546875" style="3" customWidth="1"/>
    <col min="6" max="7" width="9.42578125" style="3" customWidth="1"/>
    <col min="8" max="8" width="8.7109375" style="3" customWidth="1"/>
    <col min="9" max="9" width="3.5703125" style="3" customWidth="1"/>
    <col min="10" max="10" width="10.85546875" style="3" customWidth="1"/>
    <col min="11" max="11" width="8.85546875" style="3" customWidth="1"/>
    <col min="12" max="12" width="9" style="3" customWidth="1"/>
    <col min="13" max="13" width="7.85546875" style="3" bestFit="1" customWidth="1"/>
    <col min="14" max="14" width="10.85546875" style="3" bestFit="1" customWidth="1"/>
    <col min="15" max="15" width="13.42578125" style="3" customWidth="1"/>
    <col min="16" max="16" width="9.140625" style="3"/>
    <col min="17" max="17" width="9.5703125" style="3" bestFit="1" customWidth="1"/>
    <col min="18" max="16384" width="9.140625" style="3"/>
  </cols>
  <sheetData>
    <row r="1" spans="1:15" ht="17.25" thickBot="1">
      <c r="A1" s="1">
        <v>45665</v>
      </c>
      <c r="B1" s="2"/>
      <c r="L1" s="4" t="s">
        <v>0</v>
      </c>
    </row>
    <row r="2" spans="1:15" s="5" customFormat="1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5" s="5" customFormat="1" ht="49.5" customHeight="1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5" s="5" customFormat="1" ht="18" customHeight="1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497</v>
      </c>
      <c r="K4" s="9">
        <f>IF(H4&gt;J4,H4-J4,0)</f>
        <v>0</v>
      </c>
      <c r="L4" s="10">
        <f>IF(J4&gt;H4,J4-H4,0)</f>
        <v>497</v>
      </c>
      <c r="M4" s="42"/>
      <c r="N4" s="42"/>
    </row>
    <row r="5" spans="1:15" s="5" customFormat="1" ht="18" customHeight="1">
      <c r="A5" s="6" t="s">
        <v>12</v>
      </c>
      <c r="B5" s="7">
        <v>0</v>
      </c>
      <c r="C5" s="7">
        <v>0</v>
      </c>
      <c r="D5" s="7">
        <v>2433</v>
      </c>
      <c r="E5" s="7">
        <v>0</v>
      </c>
      <c r="F5" s="7">
        <v>0</v>
      </c>
      <c r="G5" s="7">
        <v>0</v>
      </c>
      <c r="H5" s="8">
        <f t="shared" ref="H5:H10" si="0">+G5+F5+E5+D5+C5+B5</f>
        <v>2433</v>
      </c>
      <c r="I5" s="59"/>
      <c r="J5" s="7">
        <v>2433</v>
      </c>
      <c r="K5" s="9">
        <f>IF(H5&gt;J5,H5-J5,0)</f>
        <v>0</v>
      </c>
      <c r="L5" s="10">
        <f>IF(J5&gt;H5,J5-H5,0)</f>
        <v>0</v>
      </c>
      <c r="M5" s="42"/>
      <c r="N5" s="42"/>
    </row>
    <row r="6" spans="1:15" s="5" customFormat="1" ht="18" customHeight="1">
      <c r="A6" t="s">
        <v>34</v>
      </c>
      <c r="B6" s="7">
        <v>580</v>
      </c>
      <c r="C6" s="7">
        <f>75+29+46+20+26+103+150+19+29+29+28+29+29+24+114+29+29+116+152+24+21+87+152+26+24+20+20+40+20+87+20+20+80+38+24+58+66+116+58+123+98+20+26+76+146+66+37.5+37.5</f>
        <v>2707</v>
      </c>
      <c r="D6" s="7">
        <v>98</v>
      </c>
      <c r="E6" s="7">
        <v>0</v>
      </c>
      <c r="F6" s="7">
        <v>0</v>
      </c>
      <c r="G6" s="7">
        <v>0</v>
      </c>
      <c r="H6" s="8">
        <f t="shared" si="0"/>
        <v>3385</v>
      </c>
      <c r="I6" s="59"/>
      <c r="J6" s="7">
        <f>1864+1474</f>
        <v>3338</v>
      </c>
      <c r="K6" s="9">
        <f>IF(H6&gt;J6,H6-J6,0)</f>
        <v>47</v>
      </c>
      <c r="L6" s="10">
        <f>IF(J6&gt;H6,J6-H6,0)</f>
        <v>0</v>
      </c>
      <c r="M6" s="42"/>
      <c r="N6" s="42"/>
    </row>
    <row r="7" spans="1:15" s="5" customFormat="1" ht="18" hidden="1" customHeight="1">
      <c r="A7" s="51" t="s">
        <v>23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0</v>
      </c>
      <c r="I7" s="59"/>
      <c r="J7" s="7">
        <v>0</v>
      </c>
      <c r="K7" s="9">
        <f>IF(H7&gt;J7,H7-J7,0)</f>
        <v>0</v>
      </c>
      <c r="L7" s="10">
        <f>IF(J7&gt;H7,J7-H7,0)</f>
        <v>0</v>
      </c>
    </row>
    <row r="8" spans="1:15" s="5" customFormat="1" ht="18" customHeight="1">
      <c r="A8" t="s">
        <v>48</v>
      </c>
      <c r="B8" s="7">
        <v>433</v>
      </c>
      <c r="C8" s="7">
        <v>3214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3647</v>
      </c>
      <c r="I8" s="59"/>
      <c r="J8" s="7">
        <f>2366+1280</f>
        <v>3646</v>
      </c>
      <c r="K8" s="9">
        <f t="shared" ref="K8:K14" si="1">IF(H8&gt;J8,H8-J8,0)</f>
        <v>1</v>
      </c>
      <c r="L8" s="10">
        <f t="shared" ref="L8:L14" si="2">IF(J8&gt;H8,J8-H8,0)</f>
        <v>0</v>
      </c>
    </row>
    <row r="9" spans="1:15" s="5" customFormat="1" ht="18" customHeight="1">
      <c r="A9" t="s">
        <v>24</v>
      </c>
      <c r="B9" s="7">
        <v>570</v>
      </c>
      <c r="C9" s="7">
        <f>76+26+34+24+87+26+29+78+66+25+109+172+177+190+145+145+26+203+145+44+48+45+45+24+26+20+38+45+38+27+78+80+58+72+26+26+25+14+58+12+68+84+78+36+200+116+20+116+46+27+38+38+38+76+203+58+87+96+58+24+87+58+29+31+76+76+50+21+20+20+40+15+50+29+198</f>
        <v>4939</v>
      </c>
      <c r="D9" s="7">
        <v>172</v>
      </c>
      <c r="E9" s="7">
        <v>0</v>
      </c>
      <c r="F9" s="7">
        <v>0</v>
      </c>
      <c r="G9" s="7">
        <v>0</v>
      </c>
      <c r="H9" s="8">
        <f t="shared" si="0"/>
        <v>5681</v>
      </c>
      <c r="I9" s="59"/>
      <c r="J9" s="7">
        <f>3372+1849</f>
        <v>5221</v>
      </c>
      <c r="K9" s="9">
        <f t="shared" si="1"/>
        <v>460</v>
      </c>
      <c r="L9" s="10">
        <f t="shared" si="2"/>
        <v>0</v>
      </c>
    </row>
    <row r="10" spans="1:15" s="5" customFormat="1" ht="16.5" hidden="1" customHeight="1">
      <c r="A10" s="11" t="s">
        <v>35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f t="shared" si="0"/>
        <v>0</v>
      </c>
      <c r="I10" s="59"/>
      <c r="J10" s="7">
        <v>0</v>
      </c>
      <c r="K10" s="9">
        <f t="shared" si="1"/>
        <v>0</v>
      </c>
      <c r="L10" s="10">
        <f t="shared" si="2"/>
        <v>0</v>
      </c>
    </row>
    <row r="11" spans="1:15" s="5" customFormat="1" ht="14.25" hidden="1" customHeight="1">
      <c r="A11" s="11"/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  <c r="I11" s="59"/>
      <c r="J11" s="45">
        <v>0</v>
      </c>
      <c r="K11" s="9">
        <f t="shared" si="1"/>
        <v>0</v>
      </c>
      <c r="L11" s="10">
        <f t="shared" si="2"/>
        <v>0</v>
      </c>
    </row>
    <row r="12" spans="1:15" s="5" customFormat="1" ht="19.5" hidden="1" customHeight="1">
      <c r="A12" s="11"/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8">
        <v>0</v>
      </c>
      <c r="I12" s="59"/>
      <c r="J12" s="45">
        <v>0</v>
      </c>
      <c r="K12" s="9">
        <f t="shared" si="1"/>
        <v>0</v>
      </c>
      <c r="L12" s="10">
        <f t="shared" si="2"/>
        <v>0</v>
      </c>
    </row>
    <row r="13" spans="1:15" s="5" customFormat="1" ht="20.25" hidden="1" customHeight="1">
      <c r="A13" s="11"/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  <c r="I13" s="59"/>
      <c r="J13" s="45">
        <v>0</v>
      </c>
      <c r="K13" s="9">
        <f t="shared" si="1"/>
        <v>0</v>
      </c>
      <c r="L13" s="10">
        <f t="shared" si="2"/>
        <v>0</v>
      </c>
    </row>
    <row r="14" spans="1:15" s="5" customFormat="1" ht="15.75" hidden="1" customHeight="1">
      <c r="A14" s="11"/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8">
        <v>0</v>
      </c>
      <c r="I14" s="59"/>
      <c r="J14" s="45">
        <v>0</v>
      </c>
      <c r="K14" s="9">
        <f t="shared" si="1"/>
        <v>0</v>
      </c>
      <c r="L14" s="10">
        <f t="shared" si="2"/>
        <v>0</v>
      </c>
    </row>
    <row r="15" spans="1:15" s="5" customFormat="1" ht="18" customHeight="1" thickBot="1">
      <c r="A15" s="12"/>
      <c r="B15" s="13">
        <f t="shared" ref="B15:G15" si="3">SUM(B4:B14)</f>
        <v>1583</v>
      </c>
      <c r="C15" s="13">
        <f t="shared" si="3"/>
        <v>10860</v>
      </c>
      <c r="D15" s="13">
        <f t="shared" si="3"/>
        <v>2703</v>
      </c>
      <c r="E15" s="13">
        <f t="shared" si="3"/>
        <v>0</v>
      </c>
      <c r="F15" s="13">
        <f t="shared" si="3"/>
        <v>0</v>
      </c>
      <c r="G15" s="13">
        <f t="shared" si="3"/>
        <v>0</v>
      </c>
      <c r="H15" s="13">
        <v>0</v>
      </c>
      <c r="I15" s="14"/>
      <c r="J15" s="13">
        <f>SUM(J4:J14)</f>
        <v>15135</v>
      </c>
      <c r="K15" s="13">
        <f>SUM(K4:K14)</f>
        <v>508</v>
      </c>
      <c r="L15" s="13">
        <f>SUM(L4:L14)</f>
        <v>497</v>
      </c>
      <c r="M15" s="16"/>
      <c r="N15" s="16"/>
      <c r="O15" s="16"/>
    </row>
    <row r="16" spans="1:15" ht="17.25" thickBot="1">
      <c r="A16" s="41"/>
      <c r="B16" s="15"/>
      <c r="C16" s="15"/>
      <c r="E16" s="15"/>
      <c r="F16" s="15"/>
      <c r="G16" s="15"/>
      <c r="H16" s="15"/>
    </row>
    <row r="17" spans="1:16" ht="18.75" customHeight="1" thickBot="1">
      <c r="A17" s="60" t="s">
        <v>47</v>
      </c>
      <c r="B17" s="61"/>
      <c r="C17" s="61"/>
      <c r="D17" s="62"/>
      <c r="E17" s="15"/>
      <c r="F17" s="15" t="s">
        <v>9</v>
      </c>
      <c r="G17" s="15"/>
      <c r="H17" s="18"/>
      <c r="I17" s="17"/>
      <c r="J17"/>
      <c r="N17" s="5"/>
      <c r="O17" s="5"/>
      <c r="P17" s="5"/>
    </row>
    <row r="18" spans="1:16" ht="18.75" customHeight="1">
      <c r="A18" s="19">
        <v>500</v>
      </c>
      <c r="B18" s="28" t="s">
        <v>10</v>
      </c>
      <c r="C18" s="21">
        <v>0</v>
      </c>
      <c r="D18" s="22">
        <f>A18*C18</f>
        <v>0</v>
      </c>
      <c r="J18"/>
      <c r="N18" s="5"/>
      <c r="O18" s="5"/>
      <c r="P18" s="5"/>
    </row>
    <row r="19" spans="1:16" ht="18.75" customHeight="1">
      <c r="A19" s="23">
        <v>100</v>
      </c>
      <c r="B19" s="20" t="s">
        <v>10</v>
      </c>
      <c r="C19" s="21">
        <v>6</v>
      </c>
      <c r="D19" s="22">
        <f t="shared" ref="D19" si="4">A19*C19</f>
        <v>600</v>
      </c>
      <c r="N19" s="5"/>
      <c r="O19" s="5"/>
      <c r="P19" s="5"/>
    </row>
    <row r="20" spans="1:16" ht="16.5">
      <c r="A20" s="23">
        <v>50</v>
      </c>
      <c r="B20" s="20" t="s">
        <v>10</v>
      </c>
      <c r="C20" s="21">
        <v>8</v>
      </c>
      <c r="D20" s="22">
        <f>A20*C20</f>
        <v>400</v>
      </c>
      <c r="J20" s="49"/>
      <c r="N20" s="5"/>
      <c r="O20" s="5"/>
      <c r="P20" s="5"/>
    </row>
    <row r="21" spans="1:16" ht="16.5">
      <c r="A21" s="23">
        <v>20</v>
      </c>
      <c r="B21" s="20" t="s">
        <v>10</v>
      </c>
      <c r="C21" s="21">
        <v>1</v>
      </c>
      <c r="D21" s="22">
        <f>A21*C21</f>
        <v>20</v>
      </c>
      <c r="J21" s="49"/>
      <c r="N21" s="5"/>
      <c r="O21" s="5"/>
      <c r="P21" s="5"/>
    </row>
    <row r="22" spans="1:16" ht="16.5">
      <c r="A22" s="23">
        <v>10</v>
      </c>
      <c r="B22" s="20" t="s">
        <v>10</v>
      </c>
      <c r="C22" s="21">
        <v>23</v>
      </c>
      <c r="D22" s="22">
        <f>A22*C22</f>
        <v>230</v>
      </c>
      <c r="J22"/>
      <c r="K22" s="49"/>
      <c r="N22" s="5"/>
      <c r="O22" s="5"/>
      <c r="P22" s="5"/>
    </row>
    <row r="23" spans="1:16" ht="16.5">
      <c r="A23" s="23">
        <v>5</v>
      </c>
      <c r="B23" s="20" t="s">
        <v>10</v>
      </c>
      <c r="C23" s="21">
        <v>66</v>
      </c>
      <c r="D23" s="22">
        <f>A23*C23</f>
        <v>330</v>
      </c>
      <c r="M23" s="50"/>
      <c r="N23" s="5"/>
      <c r="O23" s="5"/>
      <c r="P23" s="5"/>
    </row>
    <row r="24" spans="1:16" ht="16.5">
      <c r="A24" s="24" t="s">
        <v>11</v>
      </c>
      <c r="B24" s="25" t="s">
        <v>10</v>
      </c>
      <c r="C24" s="21">
        <v>3</v>
      </c>
      <c r="D24" s="22">
        <f>+C24*1</f>
        <v>3</v>
      </c>
      <c r="K24" s="50"/>
      <c r="N24" s="5"/>
      <c r="O24" s="5"/>
      <c r="P24" s="5"/>
    </row>
    <row r="25" spans="1:16" ht="16.5">
      <c r="A25" s="24"/>
      <c r="B25" s="25"/>
      <c r="C25" s="21">
        <v>0</v>
      </c>
      <c r="D25" s="22">
        <f>+C25*0.025</f>
        <v>0</v>
      </c>
      <c r="N25" s="5"/>
      <c r="O25" s="5"/>
      <c r="P25" s="5"/>
    </row>
    <row r="26" spans="1:16" ht="16.5">
      <c r="A26" s="63" t="s">
        <v>17</v>
      </c>
      <c r="B26" s="64"/>
      <c r="C26" s="26"/>
      <c r="D26" s="27">
        <f>SUM(D18:D25)</f>
        <v>1583</v>
      </c>
      <c r="N26" s="5"/>
      <c r="O26" s="5"/>
      <c r="P26" s="5"/>
    </row>
    <row r="27" spans="1:16" ht="16.5">
      <c r="A27" s="4"/>
    </row>
    <row r="28" spans="1:16" ht="16.5">
      <c r="A28" s="4"/>
    </row>
    <row r="29" spans="1:16" ht="16.5">
      <c r="A29" s="4"/>
    </row>
    <row r="30" spans="1:16" ht="16.5">
      <c r="A30" s="31"/>
    </row>
    <row r="31" spans="1:16" ht="16.5">
      <c r="A31" s="32"/>
    </row>
    <row r="32" spans="1:16" ht="16.5">
      <c r="A32" s="32"/>
    </row>
    <row r="33" spans="1:8" ht="16.5">
      <c r="A33" s="4"/>
    </row>
    <row r="34" spans="1:8" ht="16.5">
      <c r="A34" s="4"/>
    </row>
    <row r="35" spans="1:8" ht="16.5">
      <c r="A35" s="4"/>
      <c r="F35" t="s">
        <v>18</v>
      </c>
      <c r="G35"/>
    </row>
    <row r="44" spans="1:8">
      <c r="D44" s="40"/>
    </row>
    <row r="46" spans="1:8" ht="16.5">
      <c r="B46" s="29"/>
      <c r="C46" s="29"/>
      <c r="D46" s="29"/>
      <c r="E46" s="33"/>
      <c r="F46" s="43"/>
      <c r="G46" s="43"/>
      <c r="H46" s="4"/>
    </row>
    <row r="47" spans="1:8" ht="16.5">
      <c r="B47" s="29"/>
      <c r="C47" s="29"/>
      <c r="D47" s="29"/>
      <c r="F47" s="32"/>
      <c r="G47" s="32"/>
      <c r="H47" s="4"/>
    </row>
    <row r="48" spans="1:8" ht="16.5">
      <c r="B48" s="29"/>
      <c r="C48" s="29"/>
      <c r="D48" s="29"/>
      <c r="F48" s="34"/>
      <c r="G48" s="34"/>
      <c r="H48" s="4"/>
    </row>
    <row r="49" spans="2:8" ht="18.75" customHeight="1">
      <c r="B49" s="29"/>
      <c r="C49" s="35"/>
      <c r="D49" s="36"/>
      <c r="E49" s="30"/>
      <c r="F49" s="37"/>
      <c r="G49" s="37"/>
      <c r="H49" s="4"/>
    </row>
    <row r="50" spans="2:8" ht="16.5">
      <c r="B50" s="29"/>
      <c r="C50" s="29"/>
      <c r="D50" s="38"/>
      <c r="E50" s="39"/>
      <c r="F50" s="37"/>
      <c r="G50" s="37"/>
    </row>
  </sheetData>
  <mergeCells count="4">
    <mergeCell ref="A2:L2"/>
    <mergeCell ref="I3:I14"/>
    <mergeCell ref="A17:D17"/>
    <mergeCell ref="A26:B2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4CB6-B32A-41FF-A937-990BD86CC974}">
  <dimension ref="A1:L22"/>
  <sheetViews>
    <sheetView workbookViewId="0">
      <selection activeCell="F15" sqref="F15"/>
    </sheetView>
  </sheetViews>
  <sheetFormatPr defaultRowHeight="15"/>
  <cols>
    <col min="1" max="1" width="24.42578125" bestFit="1" customWidth="1"/>
  </cols>
  <sheetData>
    <row r="1" spans="1:12" ht="17.25" thickBot="1">
      <c r="A1" s="1">
        <v>45667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2" ht="16.5">
      <c r="A5" s="6" t="s">
        <v>12</v>
      </c>
      <c r="B5" s="7">
        <v>0</v>
      </c>
      <c r="C5" s="7">
        <v>0</v>
      </c>
      <c r="D5" s="7">
        <v>3732</v>
      </c>
      <c r="E5" s="7">
        <v>0</v>
      </c>
      <c r="F5" s="7">
        <v>0</v>
      </c>
      <c r="G5" s="7">
        <v>0</v>
      </c>
      <c r="H5" s="8">
        <f t="shared" ref="H5:H9" si="0">+G5+F5+E5+D5+C5+B5</f>
        <v>3732</v>
      </c>
      <c r="I5" s="59"/>
      <c r="J5" s="7">
        <v>3732</v>
      </c>
      <c r="K5" s="9">
        <f>IF(H5&gt;J5,H5-J5,0)</f>
        <v>0</v>
      </c>
      <c r="L5" s="10">
        <f>IF(J5&gt;H5,J5-H5,0)</f>
        <v>0</v>
      </c>
    </row>
    <row r="6" spans="1:12" ht="16.5">
      <c r="A6" t="s">
        <v>34</v>
      </c>
      <c r="B6" s="7">
        <v>70</v>
      </c>
      <c r="C6" s="7">
        <f>41+201+49+20+34+40+40+27+28+28+20+118+78+58+58+14+5+37+20+34+40</f>
        <v>990</v>
      </c>
      <c r="D6" s="7">
        <v>435</v>
      </c>
      <c r="E6" s="7">
        <v>0</v>
      </c>
      <c r="F6" s="7">
        <v>0</v>
      </c>
      <c r="G6" s="7">
        <v>0</v>
      </c>
      <c r="H6" s="8">
        <f t="shared" si="0"/>
        <v>1495</v>
      </c>
      <c r="I6" s="59"/>
      <c r="J6" s="7">
        <f>464+596</f>
        <v>1060</v>
      </c>
      <c r="K6" s="9">
        <f>IF(H6&gt;J6,H6-J6,0)</f>
        <v>435</v>
      </c>
      <c r="L6" s="10">
        <f>IF(J6&gt;H6,J6-H6,0)</f>
        <v>0</v>
      </c>
    </row>
    <row r="7" spans="1:12" ht="16.5">
      <c r="A7" t="s">
        <v>45</v>
      </c>
      <c r="B7" s="7">
        <v>577</v>
      </c>
      <c r="C7" s="7">
        <f>60+24+20+95+76+20+17+17+29+20+116+62+76+213+20+24+56+29+29+29+29+29+29+70+27+29+29+29+30+140+48+20+174+58+87+152+40+26+190+55+55+58+145+0.29+116+29+86+40+12+29+29+24+29+47+20</f>
        <v>3042.29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3619.29</v>
      </c>
      <c r="I7" s="59"/>
      <c r="J7" s="7">
        <f>2340+1565</f>
        <v>3905</v>
      </c>
      <c r="K7" s="9">
        <f t="shared" ref="K7:K9" si="1">IF(H7&gt;J7,H7-J7,0)</f>
        <v>0</v>
      </c>
      <c r="L7" s="10">
        <f t="shared" ref="L7:L9" si="2">IF(J7&gt;H7,J7-H7,0)</f>
        <v>285.71000000000004</v>
      </c>
    </row>
    <row r="8" spans="1:12" ht="16.5">
      <c r="A8" t="s">
        <v>23</v>
      </c>
      <c r="B8" s="7">
        <v>30</v>
      </c>
      <c r="C8" s="7">
        <v>420</v>
      </c>
      <c r="D8" s="7">
        <v>93</v>
      </c>
      <c r="E8" s="7">
        <v>0</v>
      </c>
      <c r="F8" s="7">
        <v>0</v>
      </c>
      <c r="G8" s="7">
        <v>0</v>
      </c>
      <c r="H8" s="8">
        <f t="shared" si="0"/>
        <v>543</v>
      </c>
      <c r="I8" s="59"/>
      <c r="J8" s="7">
        <f>156+290</f>
        <v>446</v>
      </c>
      <c r="K8" s="9">
        <f t="shared" si="1"/>
        <v>97</v>
      </c>
      <c r="L8" s="10">
        <f t="shared" si="2"/>
        <v>0</v>
      </c>
    </row>
    <row r="9" spans="1:12" ht="16.5">
      <c r="A9" t="s">
        <v>48</v>
      </c>
      <c r="B9" s="7">
        <v>608</v>
      </c>
      <c r="C9" s="7">
        <f>87+78+47+159+114+64+138+7+96+40+15+84+20+20+44+26+40+20+58+26+58+29+174+116+87+108+80+78+31+114+40+152+67+108+64+74+48+20+58+96+20+20+58+64+40+47+29+80+24+24+58+24+116+48+40+40+64+12+96+58+20+29+116+27+68+26+22+56</f>
        <v>4111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4719</v>
      </c>
      <c r="I9" s="59"/>
      <c r="J9" s="7">
        <f>2040+2523</f>
        <v>4563</v>
      </c>
      <c r="K9" s="9">
        <f t="shared" si="1"/>
        <v>156</v>
      </c>
      <c r="L9" s="10">
        <f t="shared" si="2"/>
        <v>0</v>
      </c>
    </row>
    <row r="10" spans="1:12" ht="17.25" thickBot="1">
      <c r="A10" s="12"/>
      <c r="B10" s="55">
        <f>SUM(B4:B9)</f>
        <v>1285</v>
      </c>
      <c r="C10" s="13">
        <f t="shared" ref="C10:G10" si="3">SUM(C4:C9)</f>
        <v>8563.2900000000009</v>
      </c>
      <c r="D10" s="13">
        <f t="shared" si="3"/>
        <v>4260</v>
      </c>
      <c r="E10" s="13">
        <f t="shared" si="3"/>
        <v>0</v>
      </c>
      <c r="F10" s="13">
        <f t="shared" si="3"/>
        <v>0</v>
      </c>
      <c r="G10" s="13">
        <f t="shared" si="3"/>
        <v>0</v>
      </c>
      <c r="H10" s="13">
        <v>0</v>
      </c>
      <c r="I10" s="14"/>
      <c r="J10" s="13">
        <f>SUM(J4:J9)</f>
        <v>13706</v>
      </c>
      <c r="K10" s="13">
        <f>SUM(K4:K9)</f>
        <v>688</v>
      </c>
      <c r="L10" s="13">
        <f>SUM(L4:L9)</f>
        <v>285.71000000000004</v>
      </c>
    </row>
    <row r="11" spans="1:12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2" ht="17.25" thickBot="1">
      <c r="A12" s="60" t="s">
        <v>49</v>
      </c>
      <c r="B12" s="61"/>
      <c r="C12" s="61"/>
      <c r="D12" s="62"/>
      <c r="E12" s="15"/>
      <c r="F12" s="15" t="s">
        <v>9</v>
      </c>
      <c r="G12" s="15"/>
      <c r="H12" s="18"/>
      <c r="I12" s="17"/>
      <c r="K12" s="3"/>
      <c r="L12" s="3"/>
    </row>
    <row r="13" spans="1:12" ht="16.5">
      <c r="A13" s="19">
        <v>500</v>
      </c>
      <c r="B13" s="28" t="s">
        <v>10</v>
      </c>
      <c r="C13" s="21">
        <v>0</v>
      </c>
      <c r="D13" s="22">
        <f>A13*C13</f>
        <v>0</v>
      </c>
      <c r="E13" s="3"/>
      <c r="F13" s="3"/>
      <c r="G13" s="3"/>
      <c r="H13" s="3"/>
      <c r="I13" s="3"/>
      <c r="K13" s="3"/>
      <c r="L13" s="3"/>
    </row>
    <row r="14" spans="1:12" ht="16.5">
      <c r="A14" s="23">
        <v>100</v>
      </c>
      <c r="B14" s="20" t="s">
        <v>10</v>
      </c>
      <c r="C14" s="21">
        <v>6</v>
      </c>
      <c r="D14" s="22">
        <f t="shared" ref="D14" si="4">A14*C14</f>
        <v>600</v>
      </c>
      <c r="E14" s="3"/>
      <c r="F14" s="3"/>
      <c r="G14" s="3"/>
      <c r="H14" s="3"/>
      <c r="I14" s="3"/>
      <c r="J14" s="3"/>
      <c r="K14" s="3"/>
      <c r="L14" s="3"/>
    </row>
    <row r="15" spans="1:12" ht="16.5">
      <c r="A15" s="23">
        <v>50</v>
      </c>
      <c r="B15" s="20" t="s">
        <v>10</v>
      </c>
      <c r="C15" s="21">
        <v>6</v>
      </c>
      <c r="D15" s="22">
        <f>A15*C15</f>
        <v>300</v>
      </c>
      <c r="E15" s="3"/>
      <c r="F15" s="3"/>
      <c r="G15" s="3"/>
      <c r="H15" s="3"/>
      <c r="I15" s="3"/>
      <c r="J15" s="49"/>
      <c r="K15" s="3"/>
      <c r="L15" s="3"/>
    </row>
    <row r="16" spans="1:12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H16" s="3"/>
      <c r="I16" s="3"/>
      <c r="J16" s="49"/>
      <c r="K16" s="3"/>
      <c r="L16" s="3"/>
    </row>
    <row r="17" spans="1:12" ht="16.5">
      <c r="A17" s="23">
        <v>10</v>
      </c>
      <c r="B17" s="20" t="s">
        <v>10</v>
      </c>
      <c r="C17" s="21">
        <v>28</v>
      </c>
      <c r="D17" s="22">
        <f>A17*C17</f>
        <v>280</v>
      </c>
      <c r="E17" s="3"/>
      <c r="F17" s="3"/>
      <c r="G17" s="3"/>
      <c r="H17" s="3"/>
      <c r="I17" s="3"/>
      <c r="K17" s="49"/>
      <c r="L17" s="3"/>
    </row>
    <row r="18" spans="1:12" ht="16.5">
      <c r="A18" s="23">
        <v>5</v>
      </c>
      <c r="B18" s="20" t="s">
        <v>10</v>
      </c>
      <c r="C18" s="21">
        <v>19</v>
      </c>
      <c r="D18" s="22">
        <f>A18*C18</f>
        <v>95</v>
      </c>
      <c r="E18" s="3"/>
      <c r="F18" s="3"/>
      <c r="G18" s="3"/>
      <c r="H18" s="3"/>
      <c r="I18" s="3"/>
      <c r="J18" s="3"/>
      <c r="K18" s="3"/>
      <c r="L18" s="3"/>
    </row>
    <row r="19" spans="1:12" ht="16.5">
      <c r="A19" s="24" t="s">
        <v>11</v>
      </c>
      <c r="B19" s="25" t="s">
        <v>10</v>
      </c>
      <c r="C19" s="21">
        <v>10</v>
      </c>
      <c r="D19" s="22">
        <f>+C19*1</f>
        <v>10</v>
      </c>
      <c r="E19" s="3"/>
      <c r="F19" s="3"/>
      <c r="G19" s="3"/>
      <c r="H19" s="3"/>
      <c r="I19" s="3"/>
      <c r="J19" s="3"/>
      <c r="K19" s="50"/>
      <c r="L19" s="3"/>
    </row>
    <row r="20" spans="1:12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3"/>
      <c r="I20" s="3"/>
      <c r="J20" s="3"/>
      <c r="K20" s="3"/>
      <c r="L20" s="3"/>
    </row>
    <row r="21" spans="1:12" ht="16.5">
      <c r="A21" s="63" t="s">
        <v>17</v>
      </c>
      <c r="B21" s="64"/>
      <c r="C21" s="26"/>
      <c r="D21" s="27">
        <f>SUM(D13:D20)</f>
        <v>1285</v>
      </c>
      <c r="E21" s="3"/>
      <c r="F21" s="3"/>
      <c r="G21" s="3"/>
      <c r="H21" s="3"/>
      <c r="I21" s="3"/>
      <c r="J21" s="3"/>
      <c r="K21" s="3"/>
      <c r="L21" s="3"/>
    </row>
    <row r="22" spans="1:12" ht="16.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C239-C261-49FF-A07D-AF7B1F53ABB7}">
  <dimension ref="A1:L22"/>
  <sheetViews>
    <sheetView workbookViewId="0">
      <selection activeCell="G21" sqref="G21"/>
    </sheetView>
  </sheetViews>
  <sheetFormatPr defaultRowHeight="15"/>
  <cols>
    <col min="1" max="1" width="30" customWidth="1"/>
  </cols>
  <sheetData>
    <row r="1" spans="1:12" ht="17.25" thickBot="1">
      <c r="A1" s="1">
        <v>45668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2" ht="16.5">
      <c r="A5" s="6" t="s">
        <v>12</v>
      </c>
      <c r="B5" s="7">
        <v>0</v>
      </c>
      <c r="C5" s="7">
        <v>0</v>
      </c>
      <c r="D5" s="7">
        <v>1013</v>
      </c>
      <c r="E5" s="7">
        <v>0</v>
      </c>
      <c r="F5" s="7">
        <v>0</v>
      </c>
      <c r="G5" s="7">
        <v>0</v>
      </c>
      <c r="H5" s="8">
        <f t="shared" ref="H5:H9" si="0">+G5+F5+E5+D5+C5+B5</f>
        <v>1013</v>
      </c>
      <c r="I5" s="59"/>
      <c r="J5" s="7">
        <v>1013</v>
      </c>
      <c r="K5" s="9">
        <f>IF(H5&gt;J5,H5-J5,0)</f>
        <v>0</v>
      </c>
      <c r="L5" s="10">
        <f>IF(J5&gt;H5,J5-H5,0)</f>
        <v>0</v>
      </c>
    </row>
    <row r="6" spans="1:12" ht="16.5">
      <c r="A6" s="51" t="s">
        <v>38</v>
      </c>
      <c r="B6" s="7">
        <v>129</v>
      </c>
      <c r="C6" s="7">
        <v>555.5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684.5</v>
      </c>
      <c r="I6" s="59"/>
      <c r="J6" s="7">
        <v>692</v>
      </c>
      <c r="K6" s="9">
        <f>IF(H6&gt;J6,H6-J6,0)</f>
        <v>0</v>
      </c>
      <c r="L6" s="10">
        <f>IF(J6&gt;H6,J6-H6,0)</f>
        <v>7.5</v>
      </c>
    </row>
    <row r="7" spans="1:12" ht="16.5">
      <c r="A7" t="s">
        <v>45</v>
      </c>
      <c r="B7" s="7">
        <v>526</v>
      </c>
      <c r="C7" s="7">
        <f>69+88+76+20+40+7+76+7+50+97+156+7+38+105+20+40+30+20+26+54+26+116+26+42+46+34+20+116+58+26+73+51+79+58+36.5+36.5+31+49+96+86+124+110+182+20+20+20+20+29+58+7+71+131+29+105+24+180+140+12+58+87</f>
        <v>3559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4085</v>
      </c>
      <c r="I7" s="59"/>
      <c r="J7" s="7">
        <v>4079</v>
      </c>
      <c r="K7" s="9">
        <f t="shared" ref="K7:K9" si="1">IF(H7&gt;J7,H7-J7,0)</f>
        <v>6</v>
      </c>
      <c r="L7" s="10">
        <f t="shared" ref="L7:L9" si="2">IF(J7&gt;H7,J7-H7,0)</f>
        <v>0</v>
      </c>
    </row>
    <row r="8" spans="1:12" ht="16.5" hidden="1">
      <c r="A8" s="51"/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0</v>
      </c>
      <c r="I8" s="59"/>
      <c r="J8" s="7">
        <v>0</v>
      </c>
      <c r="K8" s="9">
        <f t="shared" si="1"/>
        <v>0</v>
      </c>
      <c r="L8" s="10">
        <f t="shared" si="2"/>
        <v>0</v>
      </c>
    </row>
    <row r="9" spans="1:12" ht="16.5" hidden="1"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si="1"/>
        <v>0</v>
      </c>
      <c r="L9" s="10">
        <f t="shared" si="2"/>
        <v>0</v>
      </c>
    </row>
    <row r="10" spans="1:12" ht="17.25" thickBot="1">
      <c r="A10" s="12"/>
      <c r="B10" s="13">
        <f t="shared" ref="B10:G10" si="3">SUM(B4:B9)</f>
        <v>655</v>
      </c>
      <c r="C10" s="13">
        <f t="shared" si="3"/>
        <v>4114.5</v>
      </c>
      <c r="D10" s="13">
        <f t="shared" si="3"/>
        <v>1013</v>
      </c>
      <c r="E10" s="13">
        <f t="shared" si="3"/>
        <v>0</v>
      </c>
      <c r="F10" s="13">
        <f t="shared" si="3"/>
        <v>0</v>
      </c>
      <c r="G10" s="13">
        <f t="shared" si="3"/>
        <v>0</v>
      </c>
      <c r="H10" s="13">
        <v>0</v>
      </c>
      <c r="I10" s="14"/>
      <c r="J10" s="13">
        <f>SUM(J4:J9)</f>
        <v>5784</v>
      </c>
      <c r="K10" s="13">
        <f>SUM(K4:K9)</f>
        <v>6</v>
      </c>
      <c r="L10" s="13">
        <f>SUM(L4:L9)</f>
        <v>7.5</v>
      </c>
    </row>
    <row r="11" spans="1:12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2" ht="17.25" thickBot="1">
      <c r="A12" s="60" t="s">
        <v>50</v>
      </c>
      <c r="B12" s="61"/>
      <c r="C12" s="61"/>
      <c r="D12" s="62"/>
      <c r="E12" s="15"/>
      <c r="F12" s="15" t="s">
        <v>9</v>
      </c>
      <c r="G12" s="15"/>
      <c r="H12" s="18"/>
      <c r="I12" s="17"/>
      <c r="K12" s="3"/>
      <c r="L12" s="3"/>
    </row>
    <row r="13" spans="1:12" ht="16.5">
      <c r="A13" s="19">
        <v>500</v>
      </c>
      <c r="B13" s="28" t="s">
        <v>10</v>
      </c>
      <c r="C13" s="21">
        <v>0</v>
      </c>
      <c r="D13" s="22">
        <f>A13*C13</f>
        <v>0</v>
      </c>
      <c r="E13" s="3"/>
      <c r="F13" s="3"/>
      <c r="G13" s="3"/>
      <c r="H13" s="3"/>
      <c r="I13" s="3"/>
      <c r="K13" s="3"/>
      <c r="L13" s="3"/>
    </row>
    <row r="14" spans="1:12" ht="16.5">
      <c r="A14" s="23">
        <v>100</v>
      </c>
      <c r="B14" s="20" t="s">
        <v>10</v>
      </c>
      <c r="C14" s="21">
        <v>1</v>
      </c>
      <c r="D14" s="22">
        <f t="shared" ref="D14" si="4">A14*C14</f>
        <v>100</v>
      </c>
      <c r="E14" s="3"/>
      <c r="F14" s="3"/>
      <c r="G14" s="3"/>
      <c r="H14" s="3"/>
      <c r="I14" s="3"/>
      <c r="J14" s="3"/>
      <c r="K14" s="3"/>
      <c r="L14" s="3"/>
    </row>
    <row r="15" spans="1:12" ht="16.5">
      <c r="A15" s="23">
        <v>50</v>
      </c>
      <c r="B15" s="20" t="s">
        <v>10</v>
      </c>
      <c r="C15" s="21">
        <v>6</v>
      </c>
      <c r="D15" s="22">
        <f>A15*C15</f>
        <v>300</v>
      </c>
      <c r="E15" s="3"/>
      <c r="F15" s="3"/>
      <c r="G15" s="3"/>
      <c r="H15" s="3"/>
      <c r="I15" s="3"/>
      <c r="J15" s="49"/>
      <c r="K15" s="3"/>
      <c r="L15" s="3"/>
    </row>
    <row r="16" spans="1:12" ht="16.5">
      <c r="A16" s="23">
        <v>20</v>
      </c>
      <c r="B16" s="20" t="s">
        <v>10</v>
      </c>
      <c r="C16" s="21">
        <v>1</v>
      </c>
      <c r="D16" s="22">
        <f>A16*C16</f>
        <v>20</v>
      </c>
      <c r="E16" s="3"/>
      <c r="F16" s="3"/>
      <c r="G16" s="3"/>
      <c r="H16" s="3"/>
      <c r="I16" s="3"/>
      <c r="J16" s="49"/>
      <c r="K16" s="3"/>
      <c r="L16" s="3"/>
    </row>
    <row r="17" spans="1:12" ht="16.5">
      <c r="A17" s="23">
        <v>10</v>
      </c>
      <c r="B17" s="20" t="s">
        <v>10</v>
      </c>
      <c r="C17" s="21">
        <v>0</v>
      </c>
      <c r="D17" s="22">
        <f>A17*C17</f>
        <v>0</v>
      </c>
      <c r="E17" s="3"/>
      <c r="F17" s="3"/>
      <c r="G17" s="3"/>
      <c r="H17" s="3"/>
      <c r="I17" s="3"/>
      <c r="K17" s="49"/>
      <c r="L17" s="3"/>
    </row>
    <row r="18" spans="1:12" ht="16.5">
      <c r="A18" s="23">
        <v>5</v>
      </c>
      <c r="B18" s="20" t="s">
        <v>10</v>
      </c>
      <c r="C18" s="21">
        <v>42</v>
      </c>
      <c r="D18" s="22">
        <f>A18*C18</f>
        <v>210</v>
      </c>
      <c r="E18" s="3"/>
      <c r="F18" s="3"/>
      <c r="G18" s="3"/>
      <c r="H18" s="3"/>
      <c r="I18" s="3"/>
      <c r="J18" s="3"/>
      <c r="K18" s="3"/>
      <c r="L18" s="3"/>
    </row>
    <row r="19" spans="1:12" ht="16.5">
      <c r="A19" s="24" t="s">
        <v>11</v>
      </c>
      <c r="B19" s="25" t="s">
        <v>10</v>
      </c>
      <c r="C19" s="21">
        <v>25</v>
      </c>
      <c r="D19" s="22">
        <f>+C19*1</f>
        <v>25</v>
      </c>
      <c r="E19" s="3"/>
      <c r="F19" s="3"/>
      <c r="G19" s="3"/>
      <c r="H19" s="3"/>
      <c r="I19" s="3"/>
      <c r="J19" s="3"/>
      <c r="K19" s="50"/>
      <c r="L19" s="3"/>
    </row>
    <row r="20" spans="1:12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3"/>
      <c r="I20" s="3"/>
      <c r="J20" s="3"/>
      <c r="K20" s="3"/>
      <c r="L20" s="3"/>
    </row>
    <row r="21" spans="1:12" ht="16.5">
      <c r="A21" s="63" t="s">
        <v>17</v>
      </c>
      <c r="B21" s="64"/>
      <c r="C21" s="26"/>
      <c r="D21" s="27">
        <f>SUM(D13:D20)</f>
        <v>655</v>
      </c>
      <c r="E21" s="3"/>
      <c r="F21" s="3"/>
      <c r="G21" s="3"/>
      <c r="H21" s="3"/>
      <c r="I21" s="3"/>
      <c r="J21" s="3"/>
      <c r="K21" s="3"/>
      <c r="L21" s="3"/>
    </row>
    <row r="22" spans="1:12" ht="16.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F680-6568-4863-B61E-6C017CAD4D3D}">
  <dimension ref="A1:L22"/>
  <sheetViews>
    <sheetView workbookViewId="0">
      <selection activeCell="J7" sqref="J7"/>
    </sheetView>
  </sheetViews>
  <sheetFormatPr defaultRowHeight="15"/>
  <cols>
    <col min="1" max="1" width="30" customWidth="1"/>
  </cols>
  <sheetData>
    <row r="1" spans="1:12" ht="17.25" thickBot="1">
      <c r="A1" s="1">
        <v>45669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2</v>
      </c>
      <c r="K4" s="9">
        <f>IF(H4&gt;J4,H4-J4,0)</f>
        <v>0</v>
      </c>
      <c r="L4" s="10">
        <f>IF(J4&gt;H4,J4-H4,0)</f>
        <v>2</v>
      </c>
    </row>
    <row r="5" spans="1:12" ht="16.5">
      <c r="A5" s="6" t="s">
        <v>12</v>
      </c>
      <c r="B5" s="7">
        <v>0</v>
      </c>
      <c r="C5" s="7">
        <v>0</v>
      </c>
      <c r="D5" s="7">
        <v>707</v>
      </c>
      <c r="E5" s="7">
        <v>0</v>
      </c>
      <c r="F5" s="7">
        <v>0</v>
      </c>
      <c r="G5" s="7">
        <v>0</v>
      </c>
      <c r="H5" s="8">
        <f t="shared" ref="H5:H9" si="0">+G5+F5+E5+D5+C5+B5</f>
        <v>707</v>
      </c>
      <c r="I5" s="59"/>
      <c r="J5" s="7">
        <v>707</v>
      </c>
      <c r="K5" s="9">
        <f>IF(H5&gt;J5,H5-J5,0)</f>
        <v>0</v>
      </c>
      <c r="L5" s="10">
        <f>IF(J5&gt;H5,J5-H5,0)</f>
        <v>0</v>
      </c>
    </row>
    <row r="6" spans="1:12" ht="16.5">
      <c r="A6" s="11" t="s">
        <v>27</v>
      </c>
      <c r="B6" s="7">
        <v>0</v>
      </c>
      <c r="C6" s="7">
        <f>40+20+60+62+38+38+38+12+87+20+145</f>
        <v>560</v>
      </c>
      <c r="D6" s="7">
        <v>114</v>
      </c>
      <c r="E6" s="7">
        <v>0</v>
      </c>
      <c r="F6" s="7">
        <v>0</v>
      </c>
      <c r="G6" s="7">
        <v>0</v>
      </c>
      <c r="H6" s="8">
        <f t="shared" si="0"/>
        <v>674</v>
      </c>
      <c r="I6" s="59"/>
      <c r="J6" s="7">
        <v>674</v>
      </c>
      <c r="K6" s="9">
        <f>IF(H6&gt;J6,H6-J6,0)</f>
        <v>0</v>
      </c>
      <c r="L6" s="10">
        <f>IF(J6&gt;H6,J6-H6,0)</f>
        <v>0</v>
      </c>
    </row>
    <row r="7" spans="1:12" ht="16.5">
      <c r="A7" s="11" t="s">
        <v>28</v>
      </c>
      <c r="B7" s="7">
        <v>144</v>
      </c>
      <c r="C7" s="7">
        <f>55+20+28+190+30+64+29+16+20+130+138+126+40+235+20+34</f>
        <v>1175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1319</v>
      </c>
      <c r="I7" s="59"/>
      <c r="J7" s="7">
        <v>1264</v>
      </c>
      <c r="K7" s="9">
        <f t="shared" ref="K7:K9" si="1">IF(H7&gt;J7,H7-J7,0)</f>
        <v>55</v>
      </c>
      <c r="L7" s="10">
        <f t="shared" ref="L7:L9" si="2">IF(J7&gt;H7,J7-H7,0)</f>
        <v>0</v>
      </c>
    </row>
    <row r="8" spans="1:12" ht="16.5" hidden="1">
      <c r="A8" s="51"/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0</v>
      </c>
      <c r="I8" s="59"/>
      <c r="J8" s="7">
        <v>0</v>
      </c>
      <c r="K8" s="9">
        <f t="shared" si="1"/>
        <v>0</v>
      </c>
      <c r="L8" s="10">
        <f t="shared" si="2"/>
        <v>0</v>
      </c>
    </row>
    <row r="9" spans="1:12" ht="16.5" hidden="1"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si="1"/>
        <v>0</v>
      </c>
      <c r="L9" s="10">
        <f t="shared" si="2"/>
        <v>0</v>
      </c>
    </row>
    <row r="10" spans="1:12" ht="17.25" thickBot="1">
      <c r="A10" s="12"/>
      <c r="B10" s="13">
        <f t="shared" ref="B10:G10" si="3">SUM(B4:B9)</f>
        <v>144</v>
      </c>
      <c r="C10" s="13">
        <f t="shared" si="3"/>
        <v>1735</v>
      </c>
      <c r="D10" s="13">
        <f t="shared" si="3"/>
        <v>821</v>
      </c>
      <c r="E10" s="13">
        <f t="shared" si="3"/>
        <v>0</v>
      </c>
      <c r="F10" s="13">
        <f t="shared" si="3"/>
        <v>0</v>
      </c>
      <c r="G10" s="13">
        <f t="shared" si="3"/>
        <v>0</v>
      </c>
      <c r="H10" s="13">
        <v>0</v>
      </c>
      <c r="I10" s="14"/>
      <c r="J10" s="13">
        <f>SUM(J4:J9)</f>
        <v>2647</v>
      </c>
      <c r="K10" s="13">
        <f>SUM(K4:K9)</f>
        <v>55</v>
      </c>
      <c r="L10" s="13">
        <f>SUM(L4:L9)</f>
        <v>2</v>
      </c>
    </row>
    <row r="11" spans="1:12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2" ht="17.25" thickBot="1">
      <c r="A12" s="60" t="s">
        <v>51</v>
      </c>
      <c r="B12" s="61"/>
      <c r="C12" s="61"/>
      <c r="D12" s="62"/>
      <c r="E12" s="15"/>
      <c r="F12" s="15" t="s">
        <v>9</v>
      </c>
      <c r="G12" s="15"/>
      <c r="H12" s="18"/>
      <c r="I12" s="17"/>
      <c r="K12" s="3"/>
      <c r="L12" s="3"/>
    </row>
    <row r="13" spans="1:12" ht="16.5">
      <c r="A13" s="19">
        <v>500</v>
      </c>
      <c r="B13" s="28" t="s">
        <v>10</v>
      </c>
      <c r="C13" s="21">
        <v>0</v>
      </c>
      <c r="D13" s="22">
        <f>A13*C13</f>
        <v>0</v>
      </c>
      <c r="E13" s="3"/>
      <c r="F13" s="3"/>
      <c r="G13" s="3"/>
      <c r="H13" s="3"/>
      <c r="I13" s="3"/>
      <c r="K13" s="3"/>
      <c r="L13" s="3"/>
    </row>
    <row r="14" spans="1:12" ht="16.5">
      <c r="A14" s="23">
        <v>100</v>
      </c>
      <c r="B14" s="20" t="s">
        <v>10</v>
      </c>
      <c r="C14" s="21">
        <v>0</v>
      </c>
      <c r="D14" s="22">
        <f t="shared" ref="D14" si="4">A14*C14</f>
        <v>0</v>
      </c>
      <c r="E14" s="3"/>
      <c r="F14" s="3"/>
      <c r="G14" s="3"/>
      <c r="H14" s="3"/>
      <c r="I14" s="3"/>
      <c r="J14" s="3"/>
      <c r="K14" s="3"/>
      <c r="L14" s="3"/>
    </row>
    <row r="15" spans="1:12" ht="16.5">
      <c r="A15" s="23">
        <v>50</v>
      </c>
      <c r="B15" s="20" t="s">
        <v>10</v>
      </c>
      <c r="C15" s="21">
        <v>1</v>
      </c>
      <c r="D15" s="22">
        <f>A15*C15</f>
        <v>50</v>
      </c>
      <c r="E15" s="3"/>
      <c r="F15" s="3"/>
      <c r="G15" s="3"/>
      <c r="H15" s="3"/>
      <c r="I15" s="3"/>
      <c r="J15" s="49"/>
      <c r="K15" s="3"/>
      <c r="L15" s="3"/>
    </row>
    <row r="16" spans="1:12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H16" s="3"/>
      <c r="I16" s="3"/>
      <c r="J16" s="49"/>
      <c r="K16" s="3"/>
      <c r="L16" s="3"/>
    </row>
    <row r="17" spans="1:12" ht="16.5">
      <c r="A17" s="23">
        <v>10</v>
      </c>
      <c r="B17" s="20" t="s">
        <v>10</v>
      </c>
      <c r="C17" s="21">
        <v>0</v>
      </c>
      <c r="D17" s="22">
        <f>A17*C17</f>
        <v>0</v>
      </c>
      <c r="E17" s="3"/>
      <c r="F17" s="3"/>
      <c r="G17" s="3"/>
      <c r="H17" s="3"/>
      <c r="I17" s="3"/>
      <c r="K17" s="49"/>
      <c r="L17" s="3"/>
    </row>
    <row r="18" spans="1:12" ht="16.5">
      <c r="A18" s="23">
        <v>5</v>
      </c>
      <c r="B18" s="20" t="s">
        <v>10</v>
      </c>
      <c r="C18" s="21">
        <v>17</v>
      </c>
      <c r="D18" s="22">
        <f>A18*C18</f>
        <v>85</v>
      </c>
      <c r="E18" s="3"/>
      <c r="F18" s="3"/>
      <c r="G18" s="3"/>
      <c r="H18" s="3"/>
      <c r="I18" s="3"/>
      <c r="J18" s="3"/>
      <c r="K18" s="3"/>
      <c r="L18" s="3"/>
    </row>
    <row r="19" spans="1:12" ht="16.5">
      <c r="A19" s="24" t="s">
        <v>11</v>
      </c>
      <c r="B19" s="25" t="s">
        <v>10</v>
      </c>
      <c r="C19" s="21">
        <v>9</v>
      </c>
      <c r="D19" s="22">
        <f>+C19*1</f>
        <v>9</v>
      </c>
      <c r="E19" s="3"/>
      <c r="F19" s="3"/>
      <c r="G19" s="3"/>
      <c r="H19" s="3"/>
      <c r="I19" s="3"/>
      <c r="J19" s="3"/>
      <c r="K19" s="50"/>
      <c r="L19" s="3"/>
    </row>
    <row r="20" spans="1:12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3"/>
      <c r="I20" s="3"/>
      <c r="J20" s="3"/>
      <c r="K20" s="3"/>
      <c r="L20" s="3"/>
    </row>
    <row r="21" spans="1:12" ht="16.5">
      <c r="A21" s="63" t="s">
        <v>17</v>
      </c>
      <c r="B21" s="64"/>
      <c r="C21" s="26"/>
      <c r="D21" s="27">
        <f>SUM(D13:D20)</f>
        <v>144</v>
      </c>
      <c r="E21" s="3"/>
      <c r="F21" s="3"/>
      <c r="G21" s="3"/>
      <c r="H21" s="3"/>
      <c r="I21" s="3"/>
      <c r="J21" s="3"/>
      <c r="K21" s="3"/>
      <c r="L21" s="3"/>
    </row>
    <row r="22" spans="1:12" ht="16.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450E-D85A-4EAE-8D4B-217CC837CBED}">
  <dimension ref="A1:L22"/>
  <sheetViews>
    <sheetView workbookViewId="0">
      <selection activeCell="C20" sqref="C20"/>
    </sheetView>
  </sheetViews>
  <sheetFormatPr defaultRowHeight="15"/>
  <cols>
    <col min="1" max="1" width="30" customWidth="1"/>
  </cols>
  <sheetData>
    <row r="1" spans="1:12" ht="17.25" thickBot="1">
      <c r="A1" s="1">
        <v>45670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512</v>
      </c>
      <c r="K4" s="9">
        <f>IF(H4&gt;J4,H4-J4,0)</f>
        <v>0</v>
      </c>
      <c r="L4" s="10">
        <f>IF(J4&gt;H4,J4-H4,0)</f>
        <v>512</v>
      </c>
    </row>
    <row r="5" spans="1:12" ht="16.5">
      <c r="A5" s="6" t="s">
        <v>12</v>
      </c>
      <c r="B5" s="7">
        <v>0</v>
      </c>
      <c r="C5" s="7">
        <v>0</v>
      </c>
      <c r="D5" s="7">
        <v>732</v>
      </c>
      <c r="E5" s="7">
        <v>0</v>
      </c>
      <c r="F5" s="7">
        <v>0</v>
      </c>
      <c r="G5" s="7">
        <v>0</v>
      </c>
      <c r="H5" s="8">
        <f t="shared" ref="H5:H9" si="0">+G5+F5+E5+D5+C5+B5</f>
        <v>732</v>
      </c>
      <c r="I5" s="59"/>
      <c r="J5" s="7">
        <v>732</v>
      </c>
      <c r="K5" s="9">
        <f>IF(H5&gt;J5,H5-J5,0)</f>
        <v>0</v>
      </c>
      <c r="L5" s="10">
        <f>IF(J5&gt;H5,J5-H5,0)</f>
        <v>0</v>
      </c>
    </row>
    <row r="6" spans="1:12" ht="16.5">
      <c r="A6" s="11" t="s">
        <v>52</v>
      </c>
      <c r="B6" s="7">
        <v>234</v>
      </c>
      <c r="C6" s="7">
        <f>194+44+64+26+40+98+78+100+58+19+49+19+20+29+95+53+50+55+29+29+87+149+125+27+29+29+29+76+84+7+20+5+27+116+55+20+84+90+26+26+77+55+11</f>
        <v>2403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2637</v>
      </c>
      <c r="I6" s="59"/>
      <c r="J6" s="7">
        <v>2574</v>
      </c>
      <c r="K6" s="9">
        <f>IF(H6&gt;J6,H6-J6,0)</f>
        <v>63</v>
      </c>
      <c r="L6" s="10">
        <f>IF(J6&gt;H6,J6-H6,0)</f>
        <v>0</v>
      </c>
    </row>
    <row r="7" spans="1:12" ht="18" customHeight="1">
      <c r="A7" s="11" t="s">
        <v>53</v>
      </c>
      <c r="B7" s="7">
        <v>87</v>
      </c>
      <c r="C7" s="7">
        <v>1258</v>
      </c>
      <c r="D7" s="7">
        <v>180</v>
      </c>
      <c r="E7" s="7">
        <v>0</v>
      </c>
      <c r="F7" s="7">
        <v>122</v>
      </c>
      <c r="G7" s="7">
        <v>0</v>
      </c>
      <c r="H7" s="8">
        <f t="shared" si="0"/>
        <v>1647</v>
      </c>
      <c r="I7" s="59"/>
      <c r="J7" s="7">
        <v>1647</v>
      </c>
      <c r="K7" s="10">
        <f t="shared" ref="K7" si="1">IF(I7&gt;G7,I7-G7,0)</f>
        <v>0</v>
      </c>
      <c r="L7" s="10">
        <v>0</v>
      </c>
    </row>
    <row r="8" spans="1:12" ht="16.5" hidden="1">
      <c r="A8" s="51"/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0</v>
      </c>
      <c r="I8" s="59"/>
      <c r="J8" s="7">
        <v>0</v>
      </c>
      <c r="K8" s="9">
        <f t="shared" ref="K8:K9" si="2">IF(H8&gt;J8,H8-J8,0)</f>
        <v>0</v>
      </c>
      <c r="L8" s="10">
        <f t="shared" ref="L8:L9" si="3">IF(J8&gt;H8,J8-H8,0)</f>
        <v>0</v>
      </c>
    </row>
    <row r="9" spans="1:12" ht="17.25" customHeight="1">
      <c r="A9" t="s">
        <v>71</v>
      </c>
      <c r="B9" s="7">
        <v>0</v>
      </c>
      <c r="C9" s="7">
        <v>0</v>
      </c>
      <c r="D9" s="7">
        <v>76</v>
      </c>
      <c r="E9" s="7">
        <v>0</v>
      </c>
      <c r="F9" s="7">
        <v>0</v>
      </c>
      <c r="G9" s="7">
        <v>0</v>
      </c>
      <c r="H9" s="8">
        <f t="shared" si="0"/>
        <v>76</v>
      </c>
      <c r="I9" s="59"/>
      <c r="J9" s="7">
        <v>76</v>
      </c>
      <c r="K9" s="9">
        <f t="shared" si="2"/>
        <v>0</v>
      </c>
      <c r="L9" s="10">
        <f t="shared" si="3"/>
        <v>0</v>
      </c>
    </row>
    <row r="10" spans="1:12" ht="17.25" thickBot="1">
      <c r="A10" s="12"/>
      <c r="B10" s="13">
        <f t="shared" ref="B10:G10" si="4">SUM(B4:B9)</f>
        <v>321</v>
      </c>
      <c r="C10" s="13">
        <f t="shared" si="4"/>
        <v>3661</v>
      </c>
      <c r="D10" s="13">
        <f t="shared" si="4"/>
        <v>988</v>
      </c>
      <c r="E10" s="13">
        <f t="shared" si="4"/>
        <v>0</v>
      </c>
      <c r="F10" s="13">
        <f t="shared" si="4"/>
        <v>122</v>
      </c>
      <c r="G10" s="13">
        <f t="shared" si="4"/>
        <v>0</v>
      </c>
      <c r="H10" s="13">
        <v>0</v>
      </c>
      <c r="I10" s="14"/>
      <c r="J10" s="13">
        <f>SUM(J4:J9)</f>
        <v>5541</v>
      </c>
      <c r="K10" s="13">
        <f>SUM(K4:K9)</f>
        <v>63</v>
      </c>
      <c r="L10" s="13">
        <f>SUM(L4:L9)</f>
        <v>512</v>
      </c>
    </row>
    <row r="11" spans="1:12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2" ht="17.25" thickBot="1">
      <c r="A12" s="60" t="s">
        <v>54</v>
      </c>
      <c r="B12" s="61"/>
      <c r="C12" s="61"/>
      <c r="D12" s="62"/>
      <c r="E12" s="15"/>
      <c r="F12" s="15" t="s">
        <v>9</v>
      </c>
      <c r="G12" s="15"/>
      <c r="K12" s="3"/>
      <c r="L12" s="3"/>
    </row>
    <row r="13" spans="1:12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2" ht="16.5">
      <c r="A14" s="23">
        <v>100</v>
      </c>
      <c r="B14" s="20" t="s">
        <v>10</v>
      </c>
      <c r="C14" s="21">
        <v>0</v>
      </c>
      <c r="D14" s="22">
        <f t="shared" ref="D14" si="5">A14*C14</f>
        <v>0</v>
      </c>
      <c r="E14" s="3"/>
      <c r="F14" s="3"/>
      <c r="G14" s="3"/>
      <c r="K14" s="3"/>
      <c r="L14" s="3"/>
    </row>
    <row r="15" spans="1:12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2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12" ht="16.5">
      <c r="A17" s="23">
        <v>10</v>
      </c>
      <c r="B17" s="20" t="s">
        <v>10</v>
      </c>
      <c r="C17" s="21">
        <v>21</v>
      </c>
      <c r="D17" s="22">
        <f>A17*C17</f>
        <v>210</v>
      </c>
      <c r="E17" s="3"/>
      <c r="F17" s="3"/>
      <c r="G17" s="3"/>
      <c r="K17" s="49"/>
      <c r="L17" s="3"/>
    </row>
    <row r="18" spans="1:12" ht="16.5">
      <c r="A18" s="23">
        <v>5</v>
      </c>
      <c r="B18" s="20" t="s">
        <v>10</v>
      </c>
      <c r="C18" s="21">
        <v>17</v>
      </c>
      <c r="D18" s="22">
        <f>A18*C18</f>
        <v>85</v>
      </c>
      <c r="E18" s="3"/>
      <c r="F18" s="3"/>
      <c r="G18" s="3"/>
      <c r="K18" s="3"/>
      <c r="L18" s="3"/>
    </row>
    <row r="19" spans="1:12" ht="16.5">
      <c r="A19" s="24" t="s">
        <v>11</v>
      </c>
      <c r="B19" s="25" t="s">
        <v>10</v>
      </c>
      <c r="C19" s="21">
        <v>26</v>
      </c>
      <c r="D19" s="22">
        <f>+C19*1</f>
        <v>26</v>
      </c>
      <c r="E19" s="3"/>
      <c r="F19" s="3"/>
      <c r="G19" s="3"/>
      <c r="H19" s="3"/>
      <c r="I19" s="3"/>
      <c r="J19" s="3"/>
      <c r="K19" s="50"/>
      <c r="L19" s="3"/>
    </row>
    <row r="20" spans="1:12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3"/>
      <c r="I20" s="3"/>
      <c r="J20" s="3"/>
      <c r="K20" s="3"/>
      <c r="L20" s="3"/>
    </row>
    <row r="21" spans="1:12" ht="16.5">
      <c r="A21" s="63" t="s">
        <v>17</v>
      </c>
      <c r="B21" s="64"/>
      <c r="C21" s="26"/>
      <c r="D21" s="27">
        <f>SUM(D13:D20)</f>
        <v>321</v>
      </c>
      <c r="E21" s="3"/>
      <c r="F21" s="3"/>
      <c r="G21" s="3"/>
      <c r="H21" s="3"/>
      <c r="I21" s="3"/>
      <c r="J21" s="3"/>
      <c r="K21" s="3"/>
      <c r="L21" s="3"/>
    </row>
    <row r="22" spans="1:12" ht="16.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80D2-BFC5-493D-834F-724AD4277854}">
  <dimension ref="A1:L22"/>
  <sheetViews>
    <sheetView workbookViewId="0">
      <selection activeCell="P15" sqref="P15"/>
    </sheetView>
  </sheetViews>
  <sheetFormatPr defaultRowHeight="15"/>
  <cols>
    <col min="1" max="1" width="30" customWidth="1"/>
  </cols>
  <sheetData>
    <row r="1" spans="1:12" ht="17.25" thickBot="1">
      <c r="A1" s="1">
        <v>45671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-213</v>
      </c>
      <c r="K4" s="9">
        <f>IF(H4&gt;J4,H4-J4,0)</f>
        <v>213</v>
      </c>
      <c r="L4" s="10">
        <f>IF(J4&gt;H4,J4-H4,0)</f>
        <v>0</v>
      </c>
    </row>
    <row r="5" spans="1:12" ht="16.5">
      <c r="A5" s="6" t="s">
        <v>12</v>
      </c>
      <c r="B5" s="7">
        <v>0</v>
      </c>
      <c r="C5" s="7">
        <v>0</v>
      </c>
      <c r="D5" s="7">
        <v>596</v>
      </c>
      <c r="E5" s="7">
        <v>0</v>
      </c>
      <c r="F5" s="7">
        <v>0</v>
      </c>
      <c r="G5" s="7">
        <v>0</v>
      </c>
      <c r="H5" s="8">
        <f t="shared" ref="H5:H9" si="0">+G5+F5+E5+D5+C5+B5</f>
        <v>596</v>
      </c>
      <c r="I5" s="59"/>
      <c r="J5" s="7">
        <v>596</v>
      </c>
      <c r="K5" s="9">
        <f>IF(H5&gt;J5,H5-J5,0)</f>
        <v>0</v>
      </c>
      <c r="L5" s="10">
        <f>IF(J5&gt;H5,J5-H5,0)</f>
        <v>0</v>
      </c>
    </row>
    <row r="6" spans="1:12" ht="16.5">
      <c r="A6" s="11" t="s">
        <v>52</v>
      </c>
      <c r="B6" s="7">
        <v>280</v>
      </c>
      <c r="C6" s="7">
        <f>96+87+20+48+15+26+24+52+26+29+58+83+35+87+105+20</f>
        <v>811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1091</v>
      </c>
      <c r="I6" s="59"/>
      <c r="J6" s="7">
        <v>1213</v>
      </c>
      <c r="K6" s="9">
        <f>IF(H6&gt;J6,H6-J6,0)</f>
        <v>0</v>
      </c>
      <c r="L6" s="10">
        <f>IF(J6&gt;H6,J6-H6,0)</f>
        <v>122</v>
      </c>
    </row>
    <row r="7" spans="1:12" ht="16.5">
      <c r="A7" s="11" t="s">
        <v>56</v>
      </c>
      <c r="B7" s="7">
        <v>100</v>
      </c>
      <c r="C7" s="7">
        <f>58+55+64+74+87+107+24+96+20+27+89+98+20+228+29+58+34+64+58</f>
        <v>1290</v>
      </c>
      <c r="D7" s="7">
        <v>250</v>
      </c>
      <c r="E7" s="7">
        <v>0</v>
      </c>
      <c r="F7" s="7">
        <v>0</v>
      </c>
      <c r="G7" s="7">
        <v>0</v>
      </c>
      <c r="H7" s="8">
        <f t="shared" si="0"/>
        <v>1640</v>
      </c>
      <c r="I7" s="59"/>
      <c r="J7" s="7">
        <v>1660</v>
      </c>
      <c r="K7" s="10">
        <f t="shared" ref="K7" si="1">IF(I7&gt;G7,I7-G7,0)</f>
        <v>0</v>
      </c>
      <c r="L7" s="10">
        <v>0</v>
      </c>
    </row>
    <row r="8" spans="1:12" ht="16.5" hidden="1">
      <c r="A8" s="51"/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 t="shared" si="0"/>
        <v>0</v>
      </c>
      <c r="I8" s="59"/>
      <c r="J8" s="7">
        <v>0</v>
      </c>
      <c r="K8" s="9">
        <f t="shared" ref="K8:K9" si="2">IF(H8&gt;J8,H8-J8,0)</f>
        <v>0</v>
      </c>
      <c r="L8" s="10">
        <f t="shared" ref="L8:L9" si="3">IF(J8&gt;H8,J8-H8,0)</f>
        <v>0</v>
      </c>
    </row>
    <row r="9" spans="1:12" ht="16.5" hidden="1"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si="2"/>
        <v>0</v>
      </c>
      <c r="L9" s="10">
        <f t="shared" si="3"/>
        <v>0</v>
      </c>
    </row>
    <row r="10" spans="1:12" ht="17.25" thickBot="1">
      <c r="A10" s="12"/>
      <c r="B10" s="13">
        <f t="shared" ref="B10:G10" si="4">SUM(B4:B9)</f>
        <v>380</v>
      </c>
      <c r="C10" s="13">
        <f t="shared" si="4"/>
        <v>2101</v>
      </c>
      <c r="D10" s="13">
        <f t="shared" si="4"/>
        <v>846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3256</v>
      </c>
      <c r="K10" s="13">
        <f>SUM(K4:K9)</f>
        <v>213</v>
      </c>
      <c r="L10" s="13">
        <f>SUM(L4:L9)</f>
        <v>122</v>
      </c>
    </row>
    <row r="11" spans="1:12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2" ht="17.25" thickBot="1">
      <c r="A12" s="60" t="s">
        <v>55</v>
      </c>
      <c r="B12" s="61"/>
      <c r="C12" s="61"/>
      <c r="D12" s="62"/>
      <c r="E12" s="15"/>
      <c r="F12" s="15" t="s">
        <v>9</v>
      </c>
      <c r="G12" s="15"/>
      <c r="K12" s="3"/>
      <c r="L12" s="3"/>
    </row>
    <row r="13" spans="1:12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2" ht="16.5">
      <c r="A14" s="23">
        <v>100</v>
      </c>
      <c r="B14" s="20" t="s">
        <v>10</v>
      </c>
      <c r="C14" s="21">
        <v>2</v>
      </c>
      <c r="D14" s="22">
        <f t="shared" ref="D14" si="5">A14*C14</f>
        <v>200</v>
      </c>
      <c r="E14" s="3"/>
      <c r="F14" s="3"/>
      <c r="G14" s="3"/>
      <c r="K14" s="3"/>
      <c r="L14" s="3"/>
    </row>
    <row r="15" spans="1:12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2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12" ht="16.5">
      <c r="A17" s="23">
        <v>10</v>
      </c>
      <c r="B17" s="20" t="s">
        <v>10</v>
      </c>
      <c r="C17" s="21">
        <v>9</v>
      </c>
      <c r="D17" s="22">
        <f>A17*C17</f>
        <v>90</v>
      </c>
      <c r="E17" s="3"/>
      <c r="F17" s="3"/>
      <c r="G17" s="3"/>
      <c r="K17" s="49"/>
      <c r="L17" s="3"/>
    </row>
    <row r="18" spans="1:12" ht="16.5">
      <c r="A18" s="23">
        <v>5</v>
      </c>
      <c r="B18" s="20" t="s">
        <v>10</v>
      </c>
      <c r="C18" s="21">
        <v>14</v>
      </c>
      <c r="D18" s="22">
        <f>A18*C18</f>
        <v>70</v>
      </c>
      <c r="E18" s="3"/>
      <c r="F18" s="3"/>
      <c r="G18" s="3"/>
      <c r="K18" s="3"/>
      <c r="L18" s="3"/>
    </row>
    <row r="19" spans="1:12" ht="16.5">
      <c r="A19" s="24" t="s">
        <v>11</v>
      </c>
      <c r="B19" s="25" t="s">
        <v>10</v>
      </c>
      <c r="C19" s="21">
        <v>20</v>
      </c>
      <c r="D19" s="22">
        <f>+C19*1</f>
        <v>20</v>
      </c>
      <c r="E19" s="3"/>
      <c r="F19" s="3"/>
      <c r="G19" s="3"/>
      <c r="H19" s="3"/>
      <c r="I19" s="3"/>
      <c r="J19" s="3"/>
      <c r="K19" s="50"/>
      <c r="L19" s="3"/>
    </row>
    <row r="20" spans="1:12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3"/>
      <c r="I20" s="3"/>
      <c r="J20" s="3"/>
      <c r="K20" s="3"/>
      <c r="L20" s="3"/>
    </row>
    <row r="21" spans="1:12" ht="16.5">
      <c r="A21" s="63" t="s">
        <v>17</v>
      </c>
      <c r="B21" s="64"/>
      <c r="C21" s="26"/>
      <c r="D21" s="27">
        <f>SUM(D13:D20)</f>
        <v>380</v>
      </c>
      <c r="E21" s="3"/>
      <c r="F21" s="3"/>
      <c r="G21" s="3"/>
      <c r="H21" s="3"/>
      <c r="I21" s="3"/>
      <c r="J21" s="3"/>
      <c r="K21" s="3"/>
      <c r="L21" s="3"/>
    </row>
    <row r="22" spans="1:12" ht="16.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8B0C-0B16-49D8-9BE7-F476C1AB7423}">
  <dimension ref="A1:O26"/>
  <sheetViews>
    <sheetView workbookViewId="0">
      <selection activeCell="K26" sqref="K26"/>
    </sheetView>
  </sheetViews>
  <sheetFormatPr defaultRowHeight="15"/>
  <cols>
    <col min="1" max="1" width="30" customWidth="1"/>
  </cols>
  <sheetData>
    <row r="1" spans="1:12" ht="17.25" thickBot="1">
      <c r="A1" s="1">
        <v>45672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44</v>
      </c>
      <c r="K4" s="9">
        <f>IF(H4&gt;J4,H4-J4,0)</f>
        <v>0</v>
      </c>
      <c r="L4" s="10">
        <f>IF(J4&gt;H4,J4-H4,0)</f>
        <v>44</v>
      </c>
    </row>
    <row r="5" spans="1:12" ht="16.5">
      <c r="A5" s="6" t="s">
        <v>12</v>
      </c>
      <c r="B5" s="7">
        <v>0</v>
      </c>
      <c r="C5" s="7">
        <v>0</v>
      </c>
      <c r="D5" s="7">
        <v>1163</v>
      </c>
      <c r="E5" s="7">
        <v>0</v>
      </c>
      <c r="F5" s="7">
        <v>0</v>
      </c>
      <c r="G5" s="7">
        <v>0</v>
      </c>
      <c r="H5" s="8">
        <f t="shared" ref="H5:H9" si="0">+G5+F5+E5+D5+C5+B5</f>
        <v>1163</v>
      </c>
      <c r="I5" s="59"/>
      <c r="J5" s="7">
        <v>1163</v>
      </c>
      <c r="K5" s="9">
        <f>IF(H5&gt;J5,H5-J5,0)</f>
        <v>0</v>
      </c>
      <c r="L5" s="10">
        <f>IF(J5&gt;H5,J5-H5,0)</f>
        <v>0</v>
      </c>
    </row>
    <row r="6" spans="1:12" ht="16.5">
      <c r="A6" s="51" t="s">
        <v>43</v>
      </c>
      <c r="B6" s="7">
        <v>10</v>
      </c>
      <c r="C6" s="7">
        <f>236+20+58+72+40+20+45+47+58+131+48</f>
        <v>775</v>
      </c>
      <c r="D6" s="7">
        <v>649</v>
      </c>
      <c r="E6" s="7">
        <v>0</v>
      </c>
      <c r="F6" s="7">
        <v>122</v>
      </c>
      <c r="G6" s="7">
        <v>0</v>
      </c>
      <c r="H6" s="8">
        <f t="shared" si="0"/>
        <v>1556</v>
      </c>
      <c r="I6" s="59"/>
      <c r="J6" s="7">
        <v>1529</v>
      </c>
      <c r="K6" s="9">
        <f>IF(H6&gt;J6,H6-J6,0)</f>
        <v>27</v>
      </c>
      <c r="L6" s="10">
        <f>IF(J6&gt;H6,J6-H6,0)</f>
        <v>0</v>
      </c>
    </row>
    <row r="7" spans="1:12" ht="18" customHeight="1">
      <c r="A7" t="s">
        <v>45</v>
      </c>
      <c r="B7" s="7">
        <v>160</v>
      </c>
      <c r="C7" s="7">
        <v>1701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1861</v>
      </c>
      <c r="I7" s="59"/>
      <c r="J7" s="7">
        <v>1861</v>
      </c>
      <c r="K7" s="10">
        <f t="shared" ref="K7" si="1">IF(I7&gt;G7,I7-G7,0)</f>
        <v>0</v>
      </c>
      <c r="L7" s="10">
        <f>IF(J7&gt;H7,J7-H7,0)</f>
        <v>0</v>
      </c>
    </row>
    <row r="8" spans="1:12" s="5" customFormat="1" ht="18" customHeight="1">
      <c r="A8" t="s">
        <v>23</v>
      </c>
      <c r="B8" s="7">
        <v>40</v>
      </c>
      <c r="C8" s="7">
        <v>731</v>
      </c>
      <c r="D8" s="7">
        <v>230</v>
      </c>
      <c r="E8" s="7">
        <v>0</v>
      </c>
      <c r="F8" s="7">
        <v>0</v>
      </c>
      <c r="G8" s="7">
        <v>0</v>
      </c>
      <c r="H8" s="8">
        <f>+G8+F8+E8+D8+C8+B8</f>
        <v>1001</v>
      </c>
      <c r="I8" s="59"/>
      <c r="J8" s="7">
        <v>1029</v>
      </c>
      <c r="K8" s="9">
        <f>IF(H8&gt;J8,H8-J8,0)</f>
        <v>0</v>
      </c>
      <c r="L8" s="10">
        <f t="shared" ref="L8" si="2">IF(J8&gt;H8,J8-H8,0)</f>
        <v>28</v>
      </c>
    </row>
    <row r="9" spans="1:12" ht="16.5">
      <c r="A9" t="s">
        <v>72</v>
      </c>
      <c r="B9" s="7">
        <v>0</v>
      </c>
      <c r="C9" s="7">
        <v>0</v>
      </c>
      <c r="D9" s="7">
        <v>84</v>
      </c>
      <c r="E9" s="7">
        <v>0</v>
      </c>
      <c r="F9" s="7">
        <v>0</v>
      </c>
      <c r="G9" s="7">
        <v>0</v>
      </c>
      <c r="H9" s="8">
        <f t="shared" si="0"/>
        <v>84</v>
      </c>
      <c r="I9" s="59"/>
      <c r="J9" s="7">
        <v>84</v>
      </c>
      <c r="K9" s="9">
        <f t="shared" ref="K9" si="3">IF(H9&gt;J9,H9-J9,0)</f>
        <v>0</v>
      </c>
      <c r="L9" s="10">
        <f t="shared" ref="L9" si="4">IF(J9&gt;H9,J9-H9,0)</f>
        <v>0</v>
      </c>
    </row>
    <row r="10" spans="1:12" ht="17.25" thickBot="1">
      <c r="A10" s="12"/>
      <c r="B10" s="13">
        <f t="shared" ref="B10:G10" si="5">SUM(B4:B9)</f>
        <v>210</v>
      </c>
      <c r="C10" s="13">
        <f t="shared" si="5"/>
        <v>3207</v>
      </c>
      <c r="D10" s="13">
        <f t="shared" si="5"/>
        <v>2126</v>
      </c>
      <c r="E10" s="13">
        <f t="shared" si="5"/>
        <v>0</v>
      </c>
      <c r="F10" s="13">
        <f t="shared" si="5"/>
        <v>122</v>
      </c>
      <c r="G10" s="13">
        <f t="shared" si="5"/>
        <v>0</v>
      </c>
      <c r="H10" s="13">
        <v>0</v>
      </c>
      <c r="I10" s="14"/>
      <c r="J10" s="13">
        <f>SUM(J4:J9)</f>
        <v>5710</v>
      </c>
      <c r="K10" s="13">
        <f>SUM(K4:K9)</f>
        <v>27</v>
      </c>
      <c r="L10" s="13">
        <f>SUM(L4:L9)</f>
        <v>72</v>
      </c>
    </row>
    <row r="11" spans="1:12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2" ht="17.25" thickBot="1">
      <c r="A12" s="60" t="s">
        <v>57</v>
      </c>
      <c r="B12" s="61"/>
      <c r="C12" s="61"/>
      <c r="D12" s="62"/>
      <c r="E12" s="15"/>
      <c r="F12" s="15"/>
      <c r="G12" s="15"/>
      <c r="K12" s="3"/>
      <c r="L12" s="3"/>
    </row>
    <row r="13" spans="1:12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2" ht="16.5">
      <c r="A14" s="23">
        <v>100</v>
      </c>
      <c r="B14" s="20" t="s">
        <v>10</v>
      </c>
      <c r="C14" s="21">
        <v>1</v>
      </c>
      <c r="D14" s="22">
        <f t="shared" ref="D14" si="6">A14*C14</f>
        <v>100</v>
      </c>
      <c r="E14" s="3"/>
      <c r="F14" s="3"/>
      <c r="G14" s="3"/>
      <c r="K14" s="3"/>
      <c r="L14" s="3"/>
    </row>
    <row r="15" spans="1:12" ht="16.5">
      <c r="A15" s="23">
        <v>50</v>
      </c>
      <c r="B15" s="20" t="s">
        <v>10</v>
      </c>
      <c r="C15" s="21">
        <v>1</v>
      </c>
      <c r="D15" s="22">
        <f>A15*C15</f>
        <v>50</v>
      </c>
      <c r="E15" s="3"/>
      <c r="F15" s="3"/>
      <c r="G15" s="3"/>
      <c r="K15" s="3"/>
      <c r="L15" s="3"/>
    </row>
    <row r="16" spans="1:12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15" ht="16.5">
      <c r="A17" s="23">
        <v>10</v>
      </c>
      <c r="B17" s="20" t="s">
        <v>10</v>
      </c>
      <c r="C17" s="21">
        <v>1</v>
      </c>
      <c r="D17" s="22">
        <f>A17*C17</f>
        <v>10</v>
      </c>
      <c r="E17" s="3"/>
      <c r="F17" s="3"/>
      <c r="K17" s="49"/>
      <c r="L17" s="3"/>
    </row>
    <row r="18" spans="1:15" ht="16.5">
      <c r="A18" s="23">
        <v>5</v>
      </c>
      <c r="B18" s="20" t="s">
        <v>10</v>
      </c>
      <c r="C18" s="21">
        <v>8</v>
      </c>
      <c r="D18" s="22">
        <f>A18*C18</f>
        <v>40</v>
      </c>
      <c r="E18" s="3"/>
      <c r="F18" s="3"/>
      <c r="G18" s="3"/>
      <c r="K18" s="3"/>
      <c r="L18" s="3"/>
    </row>
    <row r="19" spans="1:15" ht="16.5">
      <c r="A19" s="24" t="s">
        <v>11</v>
      </c>
      <c r="B19" s="25" t="s">
        <v>10</v>
      </c>
      <c r="C19" s="21">
        <v>10</v>
      </c>
      <c r="D19" s="22">
        <f>+C19*1</f>
        <v>10</v>
      </c>
      <c r="E19" s="3"/>
      <c r="F19" s="3"/>
      <c r="H19" s="3"/>
      <c r="I19" s="3"/>
      <c r="J19" s="3"/>
      <c r="K19" s="50"/>
      <c r="L19" s="3"/>
    </row>
    <row r="20" spans="1:15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</row>
    <row r="21" spans="1:15" ht="16.5">
      <c r="A21" s="63" t="s">
        <v>17</v>
      </c>
      <c r="B21" s="64"/>
      <c r="C21" s="26"/>
      <c r="D21" s="27">
        <f>SUM(D13:D20)</f>
        <v>210</v>
      </c>
      <c r="E21" s="3"/>
      <c r="F21" s="3"/>
      <c r="G21" s="3"/>
      <c r="H21" s="3"/>
      <c r="I21" s="3"/>
      <c r="J21" s="3"/>
      <c r="K21" s="3"/>
      <c r="L21" s="3"/>
      <c r="O21" t="s">
        <v>9</v>
      </c>
    </row>
    <row r="22" spans="1:15" ht="16.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6" spans="1:15" ht="15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1934-9D99-4EAB-9607-C3ED1556E13E}">
  <dimension ref="A1:M26"/>
  <sheetViews>
    <sheetView workbookViewId="0">
      <selection activeCell="C18" sqref="C18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>
        <v>45673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2" ht="16.5">
      <c r="A5" s="6" t="s">
        <v>12</v>
      </c>
      <c r="B5" s="7">
        <v>0</v>
      </c>
      <c r="C5" s="7">
        <v>0</v>
      </c>
      <c r="D5" s="7">
        <v>432</v>
      </c>
      <c r="E5" s="7">
        <v>0</v>
      </c>
      <c r="F5" s="7">
        <v>0</v>
      </c>
      <c r="G5" s="7">
        <v>0</v>
      </c>
      <c r="H5" s="8">
        <f t="shared" ref="H5:H9" si="0">+G5+F5+E5+D5+C5+B5</f>
        <v>432</v>
      </c>
      <c r="I5" s="59"/>
      <c r="J5" s="7">
        <v>432</v>
      </c>
      <c r="K5" s="9">
        <f>IF(H5&gt;J5,H5-J5,0)</f>
        <v>0</v>
      </c>
      <c r="L5" s="10">
        <f>IF(J5&gt;H5,J5-H5,0)</f>
        <v>0</v>
      </c>
    </row>
    <row r="6" spans="1:12" ht="16.5">
      <c r="A6" s="51" t="s">
        <v>43</v>
      </c>
      <c r="B6" s="7">
        <v>10</v>
      </c>
      <c r="C6" s="7">
        <f>26+24+32+64+24+29+40+138+38+38+168+7+228+30+20+27</f>
        <v>933</v>
      </c>
      <c r="D6" s="7">
        <v>148</v>
      </c>
      <c r="E6" s="7">
        <v>0</v>
      </c>
      <c r="F6" s="7">
        <v>0</v>
      </c>
      <c r="G6" s="7">
        <v>0</v>
      </c>
      <c r="H6" s="8">
        <f t="shared" si="0"/>
        <v>1091</v>
      </c>
      <c r="I6" s="59"/>
      <c r="J6" s="7">
        <v>1091</v>
      </c>
      <c r="K6" s="9">
        <f>IF(H6&gt;J6,H6-J6,0)</f>
        <v>0</v>
      </c>
      <c r="L6" s="10">
        <f>IF(J6&gt;H6,J6-H6,0)</f>
        <v>0</v>
      </c>
    </row>
    <row r="7" spans="1:12" s="5" customFormat="1" ht="18" customHeight="1">
      <c r="A7" t="s">
        <v>48</v>
      </c>
      <c r="B7" s="7">
        <v>236</v>
      </c>
      <c r="C7" s="7">
        <v>2496</v>
      </c>
      <c r="D7" s="7">
        <v>160</v>
      </c>
      <c r="E7" s="7">
        <v>0</v>
      </c>
      <c r="F7" s="7">
        <v>0</v>
      </c>
      <c r="G7" s="7">
        <v>0</v>
      </c>
      <c r="H7" s="8">
        <f t="shared" si="0"/>
        <v>2892</v>
      </c>
      <c r="I7" s="59"/>
      <c r="J7" s="7">
        <v>2892</v>
      </c>
      <c r="K7" s="9">
        <f t="shared" ref="K7" si="1">IF(H7&gt;J7,H7-J7,0)</f>
        <v>0</v>
      </c>
      <c r="L7" s="10">
        <f t="shared" ref="L7" si="2">IF(J7&gt;H7,J7-H7,0)</f>
        <v>0</v>
      </c>
    </row>
    <row r="8" spans="1:12" s="5" customFormat="1" ht="18" customHeight="1">
      <c r="A8" t="s">
        <v>23</v>
      </c>
      <c r="B8" s="7">
        <v>261</v>
      </c>
      <c r="C8" s="7">
        <v>1451</v>
      </c>
      <c r="D8" s="7">
        <v>0</v>
      </c>
      <c r="E8" s="7">
        <v>0</v>
      </c>
      <c r="F8" s="7">
        <v>96</v>
      </c>
      <c r="G8" s="7">
        <v>0</v>
      </c>
      <c r="H8" s="8">
        <f>+G8+F8+E8+D8+C8+B8</f>
        <v>1808</v>
      </c>
      <c r="I8" s="59"/>
      <c r="J8" s="7">
        <v>1816</v>
      </c>
      <c r="K8" s="9">
        <f>IF(H8&gt;J8,H8-J8,0)</f>
        <v>0</v>
      </c>
      <c r="L8" s="10">
        <f t="shared" ref="L8" si="3">IF(J8&gt;H8,J8-H8,0)</f>
        <v>8</v>
      </c>
    </row>
    <row r="9" spans="1:12" ht="16.5" customHeight="1">
      <c r="A9" s="11" t="s">
        <v>27</v>
      </c>
      <c r="B9" s="7">
        <v>0</v>
      </c>
      <c r="C9" s="7">
        <f>20+34+40+98+32+198+96+38+126+20</f>
        <v>702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702</v>
      </c>
      <c r="I9" s="59"/>
      <c r="J9" s="7">
        <v>702</v>
      </c>
      <c r="K9" s="9">
        <f t="shared" ref="K9" si="4">IF(H9&gt;J9,H9-J9,0)</f>
        <v>0</v>
      </c>
      <c r="L9" s="10">
        <f t="shared" ref="L9" si="5">IF(J9&gt;H9,J9-H9,0)</f>
        <v>0</v>
      </c>
    </row>
    <row r="10" spans="1:12" ht="17.25" thickBot="1">
      <c r="A10" s="12"/>
      <c r="B10" s="13">
        <f t="shared" ref="B10:G10" si="6">SUM(B4:B9)</f>
        <v>507</v>
      </c>
      <c r="C10" s="13">
        <f t="shared" si="6"/>
        <v>5582</v>
      </c>
      <c r="D10" s="13">
        <f t="shared" si="6"/>
        <v>740</v>
      </c>
      <c r="E10" s="13">
        <f t="shared" si="6"/>
        <v>0</v>
      </c>
      <c r="F10" s="13">
        <f t="shared" si="6"/>
        <v>96</v>
      </c>
      <c r="G10" s="13">
        <f t="shared" si="6"/>
        <v>0</v>
      </c>
      <c r="H10" s="13">
        <v>0</v>
      </c>
      <c r="I10" s="14"/>
      <c r="J10" s="13">
        <f>SUM(J4:J9)</f>
        <v>6933</v>
      </c>
      <c r="K10" s="13">
        <f>SUM(K4:K9)</f>
        <v>0</v>
      </c>
      <c r="L10" s="13">
        <f>SUM(L4:L9)</f>
        <v>8</v>
      </c>
    </row>
    <row r="11" spans="1:12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2" ht="17.25" thickBot="1">
      <c r="A12" s="60" t="s">
        <v>58</v>
      </c>
      <c r="B12" s="61"/>
      <c r="C12" s="61"/>
      <c r="D12" s="62"/>
      <c r="E12" s="15"/>
      <c r="F12" s="15"/>
      <c r="G12" s="15"/>
      <c r="K12" s="3"/>
      <c r="L12" s="3"/>
    </row>
    <row r="13" spans="1:12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2" ht="16.5">
      <c r="A14" s="23">
        <v>100</v>
      </c>
      <c r="B14" s="20" t="s">
        <v>10</v>
      </c>
      <c r="C14" s="21">
        <v>4</v>
      </c>
      <c r="D14" s="22">
        <f t="shared" ref="D14" si="7">A14*C14</f>
        <v>400</v>
      </c>
      <c r="E14" s="3"/>
      <c r="F14" s="3"/>
      <c r="G14" s="3"/>
      <c r="K14" s="3"/>
      <c r="L14" s="3"/>
    </row>
    <row r="15" spans="1:12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2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13" ht="16.5">
      <c r="A17" s="23">
        <v>10</v>
      </c>
      <c r="B17" s="20" t="s">
        <v>10</v>
      </c>
      <c r="C17" s="21">
        <v>8</v>
      </c>
      <c r="D17" s="22">
        <f>A17*C17</f>
        <v>80</v>
      </c>
      <c r="E17" s="3"/>
      <c r="F17" s="3"/>
    </row>
    <row r="18" spans="1:13" ht="16.5">
      <c r="A18" s="23">
        <v>5</v>
      </c>
      <c r="B18" s="20" t="s">
        <v>10</v>
      </c>
      <c r="C18" s="21">
        <v>5</v>
      </c>
      <c r="D18" s="22">
        <f>A18*C18</f>
        <v>25</v>
      </c>
      <c r="E18" s="3"/>
      <c r="F18" s="3"/>
      <c r="G18" s="3"/>
    </row>
    <row r="19" spans="1:13" ht="16.5">
      <c r="A19" s="24" t="s">
        <v>11</v>
      </c>
      <c r="B19" s="25" t="s">
        <v>10</v>
      </c>
      <c r="C19" s="21">
        <v>2</v>
      </c>
      <c r="D19" s="22">
        <f>+C19*1</f>
        <v>2</v>
      </c>
      <c r="E19" s="3"/>
      <c r="F19" s="3"/>
      <c r="H19" s="3"/>
      <c r="I19" s="3"/>
      <c r="J19" s="3"/>
      <c r="K19" s="50"/>
      <c r="L19" s="3"/>
    </row>
    <row r="20" spans="1:13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</row>
    <row r="21" spans="1:13" ht="16.5">
      <c r="A21" s="63" t="s">
        <v>17</v>
      </c>
      <c r="B21" s="64"/>
      <c r="C21" s="26"/>
      <c r="D21" s="27">
        <f>SUM(D13:D20)</f>
        <v>507</v>
      </c>
      <c r="E21" s="3"/>
      <c r="F21" s="3"/>
      <c r="G21" s="3"/>
      <c r="H21" s="3"/>
      <c r="I21" s="3"/>
      <c r="J21" s="3"/>
      <c r="K21" s="3"/>
      <c r="L21" s="3"/>
    </row>
    <row r="22" spans="1:13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ht="15.75" customHeight="1"/>
    <row r="26" spans="1:13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458D-7C98-4AA5-BD6C-3FA0E7609911}">
  <dimension ref="A1:S26"/>
  <sheetViews>
    <sheetView workbookViewId="0">
      <selection activeCell="N27" sqref="N27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45674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692</v>
      </c>
      <c r="E5" s="7">
        <v>0</v>
      </c>
      <c r="F5" s="7">
        <v>0</v>
      </c>
      <c r="G5" s="7">
        <v>0</v>
      </c>
      <c r="H5" s="8">
        <f t="shared" ref="H5:H9" si="0">+G5+F5+E5+D5+C5+B5</f>
        <v>692</v>
      </c>
      <c r="I5" s="59"/>
      <c r="J5" s="7">
        <v>692</v>
      </c>
      <c r="K5" s="9">
        <f>IF(H5&gt;J5,H5-J5,0)</f>
        <v>0</v>
      </c>
      <c r="L5" s="10">
        <f>IF(J5&gt;H5,J5-H5,0)</f>
        <v>0</v>
      </c>
    </row>
    <row r="6" spans="1:19" ht="16.5">
      <c r="A6" t="s">
        <v>45</v>
      </c>
      <c r="B6" s="7">
        <v>0</v>
      </c>
      <c r="C6" s="7">
        <v>391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391</v>
      </c>
      <c r="I6" s="59"/>
      <c r="J6" s="7">
        <v>391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s="51" t="s">
        <v>43</v>
      </c>
      <c r="B7" s="7">
        <v>280</v>
      </c>
      <c r="C7" s="7">
        <f>221+64+88+96+130+20+45+118+45+20+47+44+32+64+24+20+24+92+42+64+15+84+64+98+306+64</f>
        <v>1931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2211</v>
      </c>
      <c r="I7" s="59"/>
      <c r="J7" s="7">
        <v>2211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8" customHeight="1">
      <c r="A8" t="s">
        <v>23</v>
      </c>
      <c r="B8" s="7">
        <v>186</v>
      </c>
      <c r="C8" s="7">
        <f>34+32+27+186+20+98+62+64+124+32+122+32+26+38+58+32+12+32+129+32+26+91+128+128+246+102+15</f>
        <v>1928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2114</v>
      </c>
      <c r="I8" s="59"/>
      <c r="J8" s="7">
        <v>2114</v>
      </c>
      <c r="K8" s="9">
        <f>IF(H8&gt;J8,H8-J8,0)</f>
        <v>0</v>
      </c>
      <c r="L8" s="10">
        <f t="shared" si="2"/>
        <v>0</v>
      </c>
    </row>
    <row r="9" spans="1:19" ht="16.5" customHeight="1">
      <c r="A9" s="11" t="s">
        <v>28</v>
      </c>
      <c r="B9" s="7">
        <v>193</v>
      </c>
      <c r="C9" s="7">
        <f>123+84+151+25+10+41+359+26+59+36+192+58+136+102+85+40</f>
        <v>1527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1720</v>
      </c>
      <c r="I9" s="59"/>
      <c r="J9" s="7">
        <v>1833</v>
      </c>
      <c r="K9" s="9">
        <f t="shared" ref="K9" si="3">IF(H9&gt;J9,H9-J9,0)</f>
        <v>0</v>
      </c>
      <c r="L9" s="10">
        <f t="shared" si="2"/>
        <v>113</v>
      </c>
    </row>
    <row r="10" spans="1:19" ht="17.25" thickBot="1">
      <c r="A10" s="12"/>
      <c r="B10" s="13">
        <f t="shared" ref="B10:G10" si="4">SUM(B4:B9)</f>
        <v>659</v>
      </c>
      <c r="C10" s="13">
        <f t="shared" si="4"/>
        <v>5777</v>
      </c>
      <c r="D10" s="13">
        <f t="shared" si="4"/>
        <v>692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7241</v>
      </c>
      <c r="K10" s="13">
        <f>SUM(K4:K9)</f>
        <v>0</v>
      </c>
      <c r="L10" s="13">
        <f>SUM(L4:L9)</f>
        <v>113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59</v>
      </c>
      <c r="B12" s="61"/>
      <c r="C12" s="61"/>
      <c r="D12" s="62"/>
      <c r="E12" s="15"/>
      <c r="F12" s="15"/>
      <c r="G12" s="15"/>
      <c r="K12" s="3"/>
      <c r="L12" s="3"/>
    </row>
    <row r="13" spans="1:19" ht="17.25" thickBot="1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7.25" thickBot="1">
      <c r="A14" s="23">
        <v>100</v>
      </c>
      <c r="B14" s="20" t="s">
        <v>10</v>
      </c>
      <c r="C14" s="21">
        <v>1</v>
      </c>
      <c r="D14" s="22">
        <f t="shared" ref="D14" si="5">A14*C14</f>
        <v>100</v>
      </c>
      <c r="E14" s="3"/>
      <c r="F14" s="3"/>
      <c r="G14" s="3"/>
      <c r="K14" s="3"/>
      <c r="L14" s="3"/>
      <c r="P14" s="60" t="s">
        <v>63</v>
      </c>
      <c r="Q14" s="61"/>
      <c r="R14" s="61"/>
      <c r="S14" s="62"/>
    </row>
    <row r="15" spans="1:19" ht="16.5">
      <c r="A15" s="23">
        <v>50</v>
      </c>
      <c r="B15" s="20" t="s">
        <v>10</v>
      </c>
      <c r="C15" s="21">
        <v>5</v>
      </c>
      <c r="D15" s="22">
        <f>A15*C15</f>
        <v>250</v>
      </c>
      <c r="E15" s="3"/>
      <c r="F15" s="3"/>
      <c r="G15" s="3"/>
      <c r="K15" s="3"/>
      <c r="L15" s="3"/>
      <c r="P15" s="19">
        <v>500</v>
      </c>
      <c r="Q15" s="28" t="s">
        <v>10</v>
      </c>
      <c r="R15" s="21">
        <v>2</v>
      </c>
      <c r="S15" s="22">
        <f>P15*R15</f>
        <v>1000</v>
      </c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23">
        <v>100</v>
      </c>
      <c r="Q16" s="20" t="s">
        <v>10</v>
      </c>
      <c r="R16" s="21">
        <v>54</v>
      </c>
      <c r="S16" s="22">
        <f t="shared" ref="S16" si="6">P16*R16</f>
        <v>5400</v>
      </c>
    </row>
    <row r="17" spans="1:19" ht="16.5">
      <c r="A17" s="23">
        <v>10</v>
      </c>
      <c r="B17" s="20" t="s">
        <v>10</v>
      </c>
      <c r="C17" s="21">
        <v>21</v>
      </c>
      <c r="D17" s="22">
        <f>A17*C17</f>
        <v>210</v>
      </c>
      <c r="E17" s="3"/>
      <c r="F17" s="3"/>
      <c r="P17" s="23">
        <v>50</v>
      </c>
      <c r="Q17" s="20" t="s">
        <v>10</v>
      </c>
      <c r="R17" s="21">
        <v>36</v>
      </c>
      <c r="S17" s="22">
        <f>P17*R17</f>
        <v>1800</v>
      </c>
    </row>
    <row r="18" spans="1:19" ht="16.5">
      <c r="A18" s="23">
        <v>5</v>
      </c>
      <c r="B18" s="20" t="s">
        <v>10</v>
      </c>
      <c r="C18" s="21">
        <v>18</v>
      </c>
      <c r="D18" s="22">
        <f>A18*C18</f>
        <v>90</v>
      </c>
      <c r="E18" s="3"/>
      <c r="F18" s="3"/>
      <c r="G18" s="3"/>
      <c r="P18" s="23">
        <v>20</v>
      </c>
      <c r="Q18" s="20" t="s">
        <v>10</v>
      </c>
      <c r="R18" s="21">
        <v>4</v>
      </c>
      <c r="S18" s="22">
        <f>P18*R18</f>
        <v>80</v>
      </c>
    </row>
    <row r="19" spans="1:19" ht="16.5">
      <c r="A19" s="24" t="s">
        <v>11</v>
      </c>
      <c r="B19" s="25" t="s">
        <v>10</v>
      </c>
      <c r="C19" s="21">
        <v>9</v>
      </c>
      <c r="D19" s="22">
        <f>+C19*1</f>
        <v>9</v>
      </c>
      <c r="E19" s="3"/>
      <c r="F19" s="3"/>
      <c r="H19" s="3"/>
      <c r="I19" s="3"/>
      <c r="J19" s="3"/>
      <c r="K19" s="50"/>
      <c r="L19" s="3"/>
      <c r="P19" s="23">
        <v>10</v>
      </c>
      <c r="Q19" s="20" t="s">
        <v>10</v>
      </c>
      <c r="R19" s="21">
        <v>55</v>
      </c>
      <c r="S19" s="22">
        <f>P19*R19</f>
        <v>550</v>
      </c>
    </row>
    <row r="20" spans="1:19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23">
        <v>5</v>
      </c>
      <c r="Q20" s="20" t="s">
        <v>10</v>
      </c>
      <c r="R20" s="21">
        <v>180</v>
      </c>
      <c r="S20" s="22">
        <f>P20*R20</f>
        <v>900</v>
      </c>
    </row>
    <row r="21" spans="1:19" ht="16.5">
      <c r="A21" s="63" t="s">
        <v>17</v>
      </c>
      <c r="B21" s="64"/>
      <c r="C21" s="26"/>
      <c r="D21" s="27">
        <f>SUM(D13:D20)</f>
        <v>659</v>
      </c>
      <c r="E21" s="3"/>
      <c r="F21" s="3"/>
      <c r="G21" s="3"/>
      <c r="H21" s="3"/>
      <c r="I21" s="3"/>
      <c r="J21" s="3"/>
      <c r="K21" s="3"/>
      <c r="L21" s="3"/>
      <c r="P21" s="24" t="s">
        <v>11</v>
      </c>
      <c r="Q21" s="25" t="s">
        <v>10</v>
      </c>
      <c r="R21" s="21">
        <v>51</v>
      </c>
      <c r="S21" s="22">
        <f>+R21*1</f>
        <v>51</v>
      </c>
    </row>
    <row r="22" spans="1:19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 s="24"/>
      <c r="Q22" s="25"/>
      <c r="R22" s="21">
        <v>0</v>
      </c>
      <c r="S22" s="22">
        <f>+R22*0.025</f>
        <v>0</v>
      </c>
    </row>
    <row r="23" spans="1:19" ht="15.75" customHeight="1">
      <c r="P23" s="63" t="s">
        <v>17</v>
      </c>
      <c r="Q23" s="64"/>
      <c r="R23" s="26"/>
      <c r="S23" s="27">
        <f>SUM(S15:S22)</f>
        <v>9781</v>
      </c>
    </row>
    <row r="26" spans="1:19" ht="18" customHeight="1"/>
  </sheetData>
  <mergeCells count="6">
    <mergeCell ref="P23:Q23"/>
    <mergeCell ref="A2:L2"/>
    <mergeCell ref="I3:I9"/>
    <mergeCell ref="A12:D12"/>
    <mergeCell ref="A21:B21"/>
    <mergeCell ref="P14:S14"/>
  </mergeCell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37CA-C38C-4A2C-B281-823A029F5249}">
  <dimension ref="A1:M26"/>
  <sheetViews>
    <sheetView workbookViewId="0">
      <selection activeCell="O34" sqref="O34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>
        <v>45675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2" ht="16.5">
      <c r="A5" s="6" t="s">
        <v>12</v>
      </c>
      <c r="B5" s="7">
        <v>0</v>
      </c>
      <c r="C5" s="7">
        <v>0</v>
      </c>
      <c r="D5" s="7">
        <v>160</v>
      </c>
      <c r="E5" s="7">
        <v>0</v>
      </c>
      <c r="F5" s="7">
        <v>0</v>
      </c>
      <c r="G5" s="7">
        <v>0</v>
      </c>
      <c r="H5" s="8">
        <f t="shared" ref="H5:H9" si="0">+G5+F5+E5+D5+C5+B5</f>
        <v>160</v>
      </c>
      <c r="I5" s="59"/>
      <c r="J5" s="7">
        <v>160</v>
      </c>
      <c r="K5" s="9">
        <f>IF(H5&gt;J5,H5-J5,0)</f>
        <v>0</v>
      </c>
      <c r="L5" s="10">
        <f>IF(J5&gt;H5,J5-H5,0)</f>
        <v>0</v>
      </c>
    </row>
    <row r="6" spans="1:12" ht="16.5">
      <c r="A6" t="s">
        <v>45</v>
      </c>
      <c r="B6" s="7">
        <v>587</v>
      </c>
      <c r="C6" s="7">
        <f>152+108+168+47+12+22+156+108+122+84</f>
        <v>979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1566</v>
      </c>
      <c r="I6" s="59"/>
      <c r="J6" s="7">
        <v>1566</v>
      </c>
      <c r="K6" s="9">
        <f>IF(H6&gt;J6,H6-J6,0)</f>
        <v>0</v>
      </c>
      <c r="L6" s="10">
        <f>IF(J6&gt;H6,J6-H6,0)</f>
        <v>0</v>
      </c>
    </row>
    <row r="7" spans="1:12" s="5" customFormat="1" ht="18" customHeight="1">
      <c r="A7" s="51" t="s">
        <v>43</v>
      </c>
      <c r="B7" s="7">
        <v>231</v>
      </c>
      <c r="C7" s="7">
        <f>14+64+10+144+64+12+64</f>
        <v>372</v>
      </c>
      <c r="D7" s="7">
        <v>24</v>
      </c>
      <c r="E7" s="7">
        <v>0</v>
      </c>
      <c r="F7" s="7">
        <v>0</v>
      </c>
      <c r="G7" s="7">
        <v>128</v>
      </c>
      <c r="H7" s="8">
        <f t="shared" si="0"/>
        <v>755</v>
      </c>
      <c r="I7" s="59"/>
      <c r="J7" s="7">
        <v>715</v>
      </c>
      <c r="K7" s="9">
        <f t="shared" ref="K7" si="1">IF(H7&gt;J7,H7-J7,0)</f>
        <v>40</v>
      </c>
      <c r="L7" s="10">
        <f t="shared" ref="L7:L9" si="2">IF(J7&gt;H7,J7-H7,0)</f>
        <v>0</v>
      </c>
    </row>
    <row r="8" spans="1:12" s="5" customFormat="1" ht="18" customHeight="1">
      <c r="A8" t="s">
        <v>23</v>
      </c>
      <c r="B8" s="7">
        <v>0</v>
      </c>
      <c r="C8" s="7">
        <v>64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64</v>
      </c>
      <c r="I8" s="59"/>
      <c r="J8" s="7">
        <v>64</v>
      </c>
      <c r="K8" s="9">
        <f>IF(H8&gt;J8,H8-J8,0)</f>
        <v>0</v>
      </c>
      <c r="L8" s="10">
        <f t="shared" si="2"/>
        <v>0</v>
      </c>
    </row>
    <row r="9" spans="1:12" ht="16.5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2" ht="17.25" thickBot="1">
      <c r="A10" s="12"/>
      <c r="B10" s="13">
        <f t="shared" ref="B10:G10" si="4">SUM(B4:B9)</f>
        <v>818</v>
      </c>
      <c r="C10" s="13">
        <f t="shared" si="4"/>
        <v>1415</v>
      </c>
      <c r="D10" s="13">
        <f t="shared" si="4"/>
        <v>184</v>
      </c>
      <c r="E10" s="13">
        <f t="shared" si="4"/>
        <v>0</v>
      </c>
      <c r="F10" s="13">
        <f t="shared" si="4"/>
        <v>0</v>
      </c>
      <c r="G10" s="13">
        <f t="shared" si="4"/>
        <v>128</v>
      </c>
      <c r="H10" s="13">
        <v>0</v>
      </c>
      <c r="I10" s="14"/>
      <c r="J10" s="13">
        <f>SUM(J4:J9)</f>
        <v>2505</v>
      </c>
      <c r="K10" s="13">
        <f>SUM(K4:K9)</f>
        <v>40</v>
      </c>
      <c r="L10" s="13">
        <f>SUM(L4:L9)</f>
        <v>0</v>
      </c>
    </row>
    <row r="11" spans="1:12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2" ht="17.25" thickBot="1">
      <c r="A12" s="60" t="s">
        <v>60</v>
      </c>
      <c r="B12" s="61"/>
      <c r="C12" s="61"/>
      <c r="D12" s="62"/>
      <c r="E12" s="15"/>
      <c r="F12" s="15"/>
      <c r="G12" s="15"/>
      <c r="K12" s="3"/>
      <c r="L12" s="3"/>
    </row>
    <row r="13" spans="1:12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2" ht="16.5">
      <c r="A14" s="23">
        <v>100</v>
      </c>
      <c r="B14" s="20" t="s">
        <v>10</v>
      </c>
      <c r="C14" s="21">
        <v>5</v>
      </c>
      <c r="D14" s="22">
        <f t="shared" ref="D14" si="5">A14*C14</f>
        <v>500</v>
      </c>
      <c r="E14" s="3"/>
      <c r="F14" s="3"/>
      <c r="G14" s="3"/>
      <c r="K14" s="3"/>
      <c r="L14" s="3"/>
    </row>
    <row r="15" spans="1:12" ht="16.5">
      <c r="A15" s="23">
        <v>50</v>
      </c>
      <c r="B15" s="20" t="s">
        <v>10</v>
      </c>
      <c r="C15" s="21">
        <v>3</v>
      </c>
      <c r="D15" s="22">
        <f>A15*C15</f>
        <v>150</v>
      </c>
      <c r="E15" s="3"/>
      <c r="F15" s="3"/>
      <c r="G15" s="3"/>
      <c r="K15" s="3"/>
      <c r="L15" s="3"/>
    </row>
    <row r="16" spans="1:12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13" ht="16.5">
      <c r="A17" s="23">
        <v>10</v>
      </c>
      <c r="B17" s="20" t="s">
        <v>10</v>
      </c>
      <c r="C17" s="21">
        <v>7</v>
      </c>
      <c r="D17" s="22">
        <f>A17*C17</f>
        <v>70</v>
      </c>
      <c r="E17" s="3"/>
      <c r="F17" s="3"/>
    </row>
    <row r="18" spans="1:13" ht="16.5">
      <c r="A18" s="23">
        <v>5</v>
      </c>
      <c r="B18" s="20" t="s">
        <v>10</v>
      </c>
      <c r="C18" s="21">
        <v>16</v>
      </c>
      <c r="D18" s="22">
        <f>A18*C18</f>
        <v>80</v>
      </c>
      <c r="E18" s="3"/>
      <c r="F18" s="3"/>
      <c r="G18" s="3"/>
    </row>
    <row r="19" spans="1:13" ht="16.5">
      <c r="A19" s="24" t="s">
        <v>11</v>
      </c>
      <c r="B19" s="25" t="s">
        <v>10</v>
      </c>
      <c r="C19" s="21">
        <v>18</v>
      </c>
      <c r="D19" s="22">
        <f>+C19*1</f>
        <v>18</v>
      </c>
      <c r="E19" s="3"/>
      <c r="F19" s="3"/>
      <c r="H19" s="3"/>
      <c r="I19" s="3"/>
      <c r="J19" s="3"/>
      <c r="K19" s="50"/>
      <c r="L19" s="3"/>
    </row>
    <row r="20" spans="1:13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</row>
    <row r="21" spans="1:13" ht="16.5">
      <c r="A21" s="63" t="s">
        <v>17</v>
      </c>
      <c r="B21" s="64"/>
      <c r="C21" s="26"/>
      <c r="D21" s="27">
        <f>SUM(D13:D20)</f>
        <v>818</v>
      </c>
      <c r="E21" s="3"/>
      <c r="F21" s="3"/>
      <c r="G21" s="3"/>
      <c r="H21" s="3"/>
      <c r="I21" s="3"/>
      <c r="J21" s="3"/>
      <c r="K21" s="3"/>
      <c r="L21" s="3"/>
    </row>
    <row r="22" spans="1:13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ht="15.75" customHeight="1"/>
    <row r="26" spans="1:13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3481-9C40-4B86-ACCC-3C507FA5858D}">
  <dimension ref="A1:U26"/>
  <sheetViews>
    <sheetView workbookViewId="0">
      <selection activeCell="C11" sqref="C11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45676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412</v>
      </c>
      <c r="E5" s="7">
        <v>0</v>
      </c>
      <c r="F5" s="7">
        <v>0</v>
      </c>
      <c r="G5" s="7">
        <v>0</v>
      </c>
      <c r="H5" s="8">
        <f t="shared" ref="H5:H9" si="0">+G5+F5+E5+D5+C5+B5</f>
        <v>412</v>
      </c>
      <c r="I5" s="59"/>
      <c r="J5" s="7">
        <v>412</v>
      </c>
      <c r="K5" s="9">
        <f>IF(H5&gt;J5,H5-J5,0)</f>
        <v>0</v>
      </c>
      <c r="L5" s="10">
        <f>IF(J5&gt;H5,J5-H5,0)</f>
        <v>0</v>
      </c>
    </row>
    <row r="6" spans="1:19" ht="16.5">
      <c r="A6" t="s">
        <v>45</v>
      </c>
      <c r="B6" s="7">
        <v>79</v>
      </c>
      <c r="C6" s="7">
        <f>64+27+64+134</f>
        <v>289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368</v>
      </c>
      <c r="I6" s="59"/>
      <c r="J6" s="7">
        <v>368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s="11" t="s">
        <v>27</v>
      </c>
      <c r="B7" s="7">
        <v>14</v>
      </c>
      <c r="C7" s="7">
        <f>32+101+96+14+118</f>
        <v>361</v>
      </c>
      <c r="D7" s="7">
        <v>32</v>
      </c>
      <c r="E7" s="7">
        <v>0</v>
      </c>
      <c r="F7" s="7">
        <v>0</v>
      </c>
      <c r="G7" s="7">
        <v>0</v>
      </c>
      <c r="H7" s="8">
        <f t="shared" si="0"/>
        <v>407</v>
      </c>
      <c r="I7" s="59"/>
      <c r="J7" s="7">
        <v>407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8" hidden="1" customHeight="1">
      <c r="A8" t="s">
        <v>23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93</v>
      </c>
      <c r="C10" s="13">
        <f t="shared" si="4"/>
        <v>650</v>
      </c>
      <c r="D10" s="13">
        <f t="shared" si="4"/>
        <v>444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1187</v>
      </c>
      <c r="K10" s="13">
        <f>SUM(K4:K9)</f>
        <v>0</v>
      </c>
      <c r="L10" s="13">
        <f>SUM(L4:L9)</f>
        <v>0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61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0</v>
      </c>
      <c r="D14" s="22">
        <f t="shared" ref="D14" si="5">A14*C14</f>
        <v>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0</v>
      </c>
      <c r="D17" s="22">
        <f>A17*C17</f>
        <v>0</v>
      </c>
      <c r="E17" s="3"/>
      <c r="F17" s="3"/>
    </row>
    <row r="18" spans="1:21" ht="16.5">
      <c r="A18" s="23">
        <v>5</v>
      </c>
      <c r="B18" s="20" t="s">
        <v>10</v>
      </c>
      <c r="C18" s="21">
        <v>16</v>
      </c>
      <c r="D18" s="22">
        <f>A18*C18</f>
        <v>80</v>
      </c>
      <c r="E18" s="3"/>
      <c r="F18" s="3"/>
      <c r="G18" s="3"/>
      <c r="U18" s="5"/>
    </row>
    <row r="19" spans="1:21" ht="16.5">
      <c r="A19" s="24" t="s">
        <v>11</v>
      </c>
      <c r="B19" s="25" t="s">
        <v>10</v>
      </c>
      <c r="C19" s="21">
        <v>13</v>
      </c>
      <c r="D19" s="22">
        <f>+C19*1</f>
        <v>13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93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6F22-F58B-4427-A498-6CEE57AAA09A}">
  <dimension ref="A1:U26"/>
  <sheetViews>
    <sheetView workbookViewId="0">
      <selection activeCell="A7" sqref="A7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45677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468</v>
      </c>
      <c r="E5" s="7">
        <v>0</v>
      </c>
      <c r="F5" s="7">
        <v>0</v>
      </c>
      <c r="G5" s="7">
        <v>0</v>
      </c>
      <c r="H5" s="8">
        <f t="shared" ref="H5:H9" si="0">+G5+F5+E5+D5+C5+B5</f>
        <v>468</v>
      </c>
      <c r="I5" s="59"/>
      <c r="J5" s="7">
        <v>468</v>
      </c>
      <c r="K5" s="9">
        <f>IF(H5&gt;J5,H5-J5,0)</f>
        <v>0</v>
      </c>
      <c r="L5" s="10">
        <f>IF(J5&gt;H5,J5-H5,0)</f>
        <v>0</v>
      </c>
    </row>
    <row r="6" spans="1:19" ht="16.5">
      <c r="A6" t="s">
        <v>48</v>
      </c>
      <c r="B6" s="7">
        <v>0</v>
      </c>
      <c r="C6" s="7">
        <f>42+116+7+5+24+65+128+65+138+18.5+18.5</f>
        <v>627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627</v>
      </c>
      <c r="I6" s="59"/>
      <c r="J6" s="7">
        <v>627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s="11" t="s">
        <v>27</v>
      </c>
      <c r="B7" s="7">
        <v>320</v>
      </c>
      <c r="C7" s="7">
        <f>26+42+42+60+120+20+32+81+49+294+102+64+24+38+25</f>
        <v>1019</v>
      </c>
      <c r="D7" s="7">
        <v>294</v>
      </c>
      <c r="E7" s="7">
        <v>0</v>
      </c>
      <c r="F7" s="7">
        <v>0</v>
      </c>
      <c r="G7" s="7">
        <v>0</v>
      </c>
      <c r="H7" s="8">
        <f t="shared" si="0"/>
        <v>1633</v>
      </c>
      <c r="I7" s="59"/>
      <c r="J7" s="7">
        <v>1633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8" hidden="1" customHeight="1">
      <c r="A8" t="s">
        <v>23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320</v>
      </c>
      <c r="C10" s="13">
        <f t="shared" si="4"/>
        <v>1646</v>
      </c>
      <c r="D10" s="13">
        <f t="shared" si="4"/>
        <v>762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2728</v>
      </c>
      <c r="K10" s="13">
        <f>SUM(K4:K9)</f>
        <v>0</v>
      </c>
      <c r="L10" s="13">
        <f>SUM(L4:L9)</f>
        <v>0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64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2</v>
      </c>
      <c r="D14" s="22">
        <f t="shared" ref="D14" si="5">A14*C14</f>
        <v>200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1</v>
      </c>
      <c r="D15" s="22">
        <f>A15*C15</f>
        <v>50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1</v>
      </c>
      <c r="D17" s="22">
        <f>A17*C17</f>
        <v>10</v>
      </c>
      <c r="E17" s="3"/>
      <c r="F17" s="3"/>
    </row>
    <row r="18" spans="1:21" ht="16.5">
      <c r="A18" s="23">
        <v>5</v>
      </c>
      <c r="B18" s="20" t="s">
        <v>10</v>
      </c>
      <c r="C18" s="21">
        <v>12</v>
      </c>
      <c r="D18" s="22">
        <f>A18*C18</f>
        <v>60</v>
      </c>
      <c r="E18" s="3"/>
      <c r="F18" s="3"/>
      <c r="G18" s="3"/>
      <c r="U18" s="5"/>
    </row>
    <row r="19" spans="1:21" ht="16.5">
      <c r="A19" s="24" t="s">
        <v>11</v>
      </c>
      <c r="B19" s="25" t="s">
        <v>10</v>
      </c>
      <c r="C19" s="21">
        <v>0</v>
      </c>
      <c r="D19" s="22">
        <f>+C19*1</f>
        <v>0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320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89E1-9B4D-4E7B-86F8-8769CCFC10E3}">
  <dimension ref="A1:U26"/>
  <sheetViews>
    <sheetView workbookViewId="0">
      <selection activeCell="A6" sqref="A6:XFD6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45678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192</v>
      </c>
      <c r="E5" s="7">
        <v>0</v>
      </c>
      <c r="F5" s="7">
        <v>0</v>
      </c>
      <c r="G5" s="7">
        <v>0</v>
      </c>
      <c r="H5" s="8">
        <f t="shared" ref="H5:H9" si="0">+G5+F5+E5+D5+C5+B5</f>
        <v>192</v>
      </c>
      <c r="I5" s="59"/>
      <c r="J5" s="7">
        <v>192</v>
      </c>
      <c r="K5" s="9">
        <f>IF(H5&gt;J5,H5-J5,0)</f>
        <v>0</v>
      </c>
      <c r="L5" s="10">
        <f>IF(J5&gt;H5,J5-H5,0)</f>
        <v>0</v>
      </c>
    </row>
    <row r="6" spans="1:19" ht="16.5">
      <c r="A6" t="s">
        <v>45</v>
      </c>
      <c r="B6" s="7">
        <v>24</v>
      </c>
      <c r="C6" s="7">
        <f>5+150+20+52+7+20+119</f>
        <v>373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397</v>
      </c>
      <c r="I6" s="59"/>
      <c r="J6" s="7">
        <v>397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s="51" t="s">
        <v>43</v>
      </c>
      <c r="B7" s="7">
        <v>0</v>
      </c>
      <c r="C7" s="7">
        <f>70+60+20+90+135+20+128+64+26+32+32+26+20+126+20+64</f>
        <v>933</v>
      </c>
      <c r="D7" s="7">
        <v>128</v>
      </c>
      <c r="E7" s="7">
        <v>0</v>
      </c>
      <c r="F7" s="7">
        <v>0</v>
      </c>
      <c r="G7" s="7">
        <v>0</v>
      </c>
      <c r="H7" s="8">
        <f t="shared" si="0"/>
        <v>1061</v>
      </c>
      <c r="I7" s="59"/>
      <c r="J7" s="7">
        <v>1061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8" hidden="1" customHeight="1">
      <c r="A8" t="s">
        <v>23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24</v>
      </c>
      <c r="C10" s="13">
        <f t="shared" si="4"/>
        <v>1306</v>
      </c>
      <c r="D10" s="13">
        <f t="shared" si="4"/>
        <v>320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1650</v>
      </c>
      <c r="K10" s="13">
        <f>SUM(K4:K9)</f>
        <v>0</v>
      </c>
      <c r="L10" s="13">
        <f>SUM(L4:L9)</f>
        <v>0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65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0</v>
      </c>
      <c r="D14" s="22">
        <f t="shared" ref="D14" si="5">A14*C14</f>
        <v>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0</v>
      </c>
      <c r="D17" s="22">
        <f>A17*C17</f>
        <v>0</v>
      </c>
      <c r="E17" s="3"/>
      <c r="F17" s="3"/>
    </row>
    <row r="18" spans="1:21" ht="16.5">
      <c r="A18" s="23">
        <v>5</v>
      </c>
      <c r="B18" s="20" t="s">
        <v>10</v>
      </c>
      <c r="C18" s="21">
        <v>4</v>
      </c>
      <c r="D18" s="22">
        <f>A18*C18</f>
        <v>20</v>
      </c>
      <c r="E18" s="3"/>
      <c r="F18" s="3"/>
      <c r="G18" s="3"/>
      <c r="U18" s="5"/>
    </row>
    <row r="19" spans="1:21" ht="16.5">
      <c r="A19" s="24" t="s">
        <v>11</v>
      </c>
      <c r="B19" s="25" t="s">
        <v>10</v>
      </c>
      <c r="C19" s="21">
        <v>4</v>
      </c>
      <c r="D19" s="22">
        <f>+C19*1</f>
        <v>4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24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A6AC-2539-476D-9A5F-BC061FAB96D1}">
  <dimension ref="A1:U26"/>
  <sheetViews>
    <sheetView workbookViewId="0">
      <selection activeCell="A6" sqref="A6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45679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318</v>
      </c>
      <c r="E5" s="7">
        <v>0</v>
      </c>
      <c r="F5" s="7">
        <v>0</v>
      </c>
      <c r="G5" s="7">
        <v>0</v>
      </c>
      <c r="H5" s="8">
        <f t="shared" ref="H5:H9" si="0">+G5+F5+E5+D5+C5+B5</f>
        <v>318</v>
      </c>
      <c r="I5" s="59"/>
      <c r="J5" s="7">
        <v>318</v>
      </c>
      <c r="K5" s="9">
        <f>IF(H5&gt;J5,H5-J5,0)</f>
        <v>0</v>
      </c>
      <c r="L5" s="10">
        <f>IF(J5&gt;H5,J5-H5,0)</f>
        <v>0</v>
      </c>
    </row>
    <row r="6" spans="1:19" ht="16.5">
      <c r="A6" t="s">
        <v>48</v>
      </c>
      <c r="B6" s="7">
        <v>267.25</v>
      </c>
      <c r="C6" s="7">
        <f>10+67+74+96+40+20+7+20+20+52+14</f>
        <v>420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687.25</v>
      </c>
      <c r="I6" s="59"/>
      <c r="J6" s="7">
        <v>753</v>
      </c>
      <c r="K6" s="9">
        <f>IF(H6&gt;J6,H6-J6,0)</f>
        <v>0</v>
      </c>
      <c r="L6" s="10">
        <f>IF(J6&gt;H6,J6-H6,0)</f>
        <v>65.75</v>
      </c>
    </row>
    <row r="7" spans="1:19" s="5" customFormat="1" ht="18" customHeight="1">
      <c r="A7" s="11" t="s">
        <v>56</v>
      </c>
      <c r="B7" s="7">
        <v>100</v>
      </c>
      <c r="C7" s="7">
        <f>43+43+84+35+32+32+32+44</f>
        <v>345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445</v>
      </c>
      <c r="I7" s="59"/>
      <c r="J7" s="7">
        <v>445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8" hidden="1" customHeight="1">
      <c r="A8" t="s">
        <v>23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367.25</v>
      </c>
      <c r="C10" s="13">
        <f t="shared" si="4"/>
        <v>765</v>
      </c>
      <c r="D10" s="13">
        <f t="shared" si="4"/>
        <v>318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1516</v>
      </c>
      <c r="K10" s="13">
        <f>SUM(K4:K9)</f>
        <v>0</v>
      </c>
      <c r="L10" s="13">
        <f>SUM(L4:L9)</f>
        <v>65.75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66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1</v>
      </c>
      <c r="D14" s="22">
        <f t="shared" ref="D14" si="5">A14*C14</f>
        <v>100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4</v>
      </c>
      <c r="D15" s="22">
        <f>A15*C15</f>
        <v>200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4</v>
      </c>
      <c r="D17" s="22">
        <f>A17*C17</f>
        <v>40</v>
      </c>
      <c r="E17" s="3"/>
      <c r="F17" s="3"/>
    </row>
    <row r="18" spans="1:21" ht="16.5">
      <c r="A18" s="23">
        <v>5</v>
      </c>
      <c r="B18" s="20" t="s">
        <v>10</v>
      </c>
      <c r="C18" s="21">
        <v>5</v>
      </c>
      <c r="D18" s="22">
        <f>A18*C18</f>
        <v>25</v>
      </c>
      <c r="E18" s="3"/>
      <c r="F18" s="3"/>
      <c r="G18" s="3"/>
      <c r="U18" s="5"/>
    </row>
    <row r="19" spans="1:21" ht="16.5">
      <c r="A19" s="24" t="s">
        <v>11</v>
      </c>
      <c r="B19" s="25" t="s">
        <v>10</v>
      </c>
      <c r="C19" s="21">
        <v>2.25</v>
      </c>
      <c r="D19" s="22">
        <f>+C19*1</f>
        <v>2.25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367.25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E9C5-7FE7-4400-B180-9796FB1AB63F}">
  <dimension ref="A1:U26"/>
  <sheetViews>
    <sheetView workbookViewId="0">
      <selection activeCell="A7" sqref="A7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45680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-18</v>
      </c>
      <c r="K4" s="9">
        <f>IF(H4&gt;J4,H4-J4,0)</f>
        <v>18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550</v>
      </c>
      <c r="E5" s="7">
        <v>0</v>
      </c>
      <c r="F5" s="7">
        <v>0</v>
      </c>
      <c r="G5" s="7">
        <v>0</v>
      </c>
      <c r="H5" s="8">
        <f t="shared" ref="H5:H9" si="0">+G5+F5+E5+D5+C5+B5</f>
        <v>550</v>
      </c>
      <c r="I5" s="59"/>
      <c r="J5" s="7">
        <v>550</v>
      </c>
      <c r="K5" s="9">
        <f>IF(H5&gt;J5,H5-J5,0)</f>
        <v>0</v>
      </c>
      <c r="L5" s="10">
        <f>IF(J5&gt;H5,J5-H5,0)</f>
        <v>0</v>
      </c>
    </row>
    <row r="6" spans="1:19" ht="16.5">
      <c r="A6" t="s">
        <v>45</v>
      </c>
      <c r="B6" s="7">
        <v>259</v>
      </c>
      <c r="C6" s="7">
        <f>148+32+40+32+24+25+84+95+44+108+103+53+20+64+30+116+96+96+84+78+20+32+24+20</f>
        <v>1468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1727</v>
      </c>
      <c r="I6" s="59"/>
      <c r="J6" s="7">
        <v>1727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t="s">
        <v>23</v>
      </c>
      <c r="B7" s="7">
        <v>72</v>
      </c>
      <c r="C7" s="7">
        <f>12+64+72+20+89+89+40+124+96+70+84+128+71+32+124+20+20+20+32+246+196+20</f>
        <v>1669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1741</v>
      </c>
      <c r="I7" s="59"/>
      <c r="J7" s="7">
        <v>1741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8" hidden="1" customHeight="1">
      <c r="A8" t="s">
        <v>23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s="11" t="s">
        <v>28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331</v>
      </c>
      <c r="C10" s="13">
        <f t="shared" si="4"/>
        <v>3137</v>
      </c>
      <c r="D10" s="13">
        <f t="shared" si="4"/>
        <v>550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4000</v>
      </c>
      <c r="K10" s="13">
        <f>SUM(K4:K9)</f>
        <v>18</v>
      </c>
      <c r="L10" s="13">
        <f>SUM(L4:L9)</f>
        <v>0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67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1</v>
      </c>
      <c r="D14" s="22">
        <f t="shared" ref="D14" si="5">A14*C14</f>
        <v>100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4</v>
      </c>
      <c r="D16" s="22">
        <f>A16*C16</f>
        <v>80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5</v>
      </c>
      <c r="D17" s="22">
        <f>A17*C17</f>
        <v>50</v>
      </c>
      <c r="E17" s="3"/>
      <c r="F17" s="3"/>
    </row>
    <row r="18" spans="1:21" ht="16.5">
      <c r="A18" s="23">
        <v>5</v>
      </c>
      <c r="B18" s="20" t="s">
        <v>10</v>
      </c>
      <c r="C18" s="21">
        <v>18</v>
      </c>
      <c r="D18" s="22">
        <f>A18*C18</f>
        <v>90</v>
      </c>
      <c r="E18" s="3"/>
      <c r="F18" s="3"/>
      <c r="G18" s="3"/>
      <c r="U18" s="5"/>
    </row>
    <row r="19" spans="1:21" ht="16.5">
      <c r="A19" s="24" t="s">
        <v>11</v>
      </c>
      <c r="B19" s="25" t="s">
        <v>10</v>
      </c>
      <c r="C19" s="21">
        <v>11</v>
      </c>
      <c r="D19" s="22">
        <f>+C19*1</f>
        <v>11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331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3B3A-0872-469F-9525-B3EFD6764C87}">
  <dimension ref="A1:U26"/>
  <sheetViews>
    <sheetView workbookViewId="0">
      <selection activeCell="M25" sqref="M25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45681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26</v>
      </c>
      <c r="K4" s="9">
        <f>IF(H4&gt;J4,H4-J4,0)</f>
        <v>0</v>
      </c>
      <c r="L4" s="10">
        <f>IF(J4&gt;H4,J4-H4,0)</f>
        <v>26</v>
      </c>
    </row>
    <row r="5" spans="1:19" ht="16.5">
      <c r="A5" s="6" t="s">
        <v>12</v>
      </c>
      <c r="B5" s="7">
        <v>0</v>
      </c>
      <c r="C5" s="7">
        <v>0</v>
      </c>
      <c r="D5" s="7">
        <v>574</v>
      </c>
      <c r="E5" s="7">
        <v>0</v>
      </c>
      <c r="F5" s="7">
        <v>0</v>
      </c>
      <c r="G5" s="7">
        <v>0</v>
      </c>
      <c r="H5" s="8">
        <f t="shared" ref="H5:H9" si="0">+G5+F5+E5+D5+C5+B5</f>
        <v>574</v>
      </c>
      <c r="I5" s="59"/>
      <c r="J5" s="7">
        <v>574</v>
      </c>
      <c r="K5" s="9">
        <f>IF(H5&gt;J5,H5-J5,0)</f>
        <v>0</v>
      </c>
      <c r="L5" s="10">
        <f>IF(J5&gt;H5,J5-H5,0)</f>
        <v>0</v>
      </c>
    </row>
    <row r="6" spans="1:19" ht="16.5">
      <c r="A6" s="11" t="s">
        <v>56</v>
      </c>
      <c r="B6" s="7">
        <v>120</v>
      </c>
      <c r="C6" s="7">
        <f>20+381+66+63+24+96+22+160+154+20+202+111</f>
        <v>1319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1439</v>
      </c>
      <c r="I6" s="59"/>
      <c r="J6" s="7">
        <v>1419</v>
      </c>
      <c r="K6" s="9">
        <f>IF(H6&gt;J6,H6-J6,0)</f>
        <v>20</v>
      </c>
      <c r="L6" s="10">
        <f>IF(J6&gt;H6,J6-H6,0)</f>
        <v>0</v>
      </c>
    </row>
    <row r="7" spans="1:19" s="5" customFormat="1" ht="18" customHeight="1">
      <c r="A7" s="51" t="s">
        <v>43</v>
      </c>
      <c r="B7" s="7">
        <v>271</v>
      </c>
      <c r="C7" s="7">
        <f>20+84+298+38+200+104+32+15+92+174+20+37+20+27+122+26+42</f>
        <v>1351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1622</v>
      </c>
      <c r="I7" s="59"/>
      <c r="J7" s="7">
        <v>1622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5.75" customHeight="1">
      <c r="A8" t="s">
        <v>69</v>
      </c>
      <c r="B8" s="7">
        <v>0</v>
      </c>
      <c r="C8" s="7">
        <v>0</v>
      </c>
      <c r="D8" s="7">
        <v>30</v>
      </c>
      <c r="E8" s="7">
        <v>0</v>
      </c>
      <c r="F8" s="7">
        <v>0</v>
      </c>
      <c r="G8" s="7">
        <v>0</v>
      </c>
      <c r="H8" s="8">
        <f>+G8+F8+E8+D8+C8+B8</f>
        <v>30</v>
      </c>
      <c r="I8" s="59"/>
      <c r="J8" s="7">
        <v>30</v>
      </c>
      <c r="K8" s="9">
        <f>IF(H8&gt;J8,H8-J8,0)</f>
        <v>0</v>
      </c>
      <c r="L8" s="10">
        <f t="shared" si="2"/>
        <v>0</v>
      </c>
    </row>
    <row r="9" spans="1:19" ht="16.5" customHeight="1">
      <c r="A9" t="s">
        <v>45</v>
      </c>
      <c r="B9" s="7">
        <v>121</v>
      </c>
      <c r="C9" s="7">
        <f>116+128+56+128+128+32+194+64+21+72+202+40+141+20+26+7+20+154+20+64+64+96+84</f>
        <v>1877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1998</v>
      </c>
      <c r="I9" s="59"/>
      <c r="J9" s="7">
        <v>1998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512</v>
      </c>
      <c r="C10" s="13">
        <f t="shared" si="4"/>
        <v>4547</v>
      </c>
      <c r="D10" s="13">
        <f t="shared" si="4"/>
        <v>604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5669</v>
      </c>
      <c r="K10" s="13">
        <f>SUM(K4:K9)</f>
        <v>20</v>
      </c>
      <c r="L10" s="13">
        <f>SUM(L4:L9)</f>
        <v>26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68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3</v>
      </c>
      <c r="D14" s="22">
        <f t="shared" ref="D14" si="5">A14*C14</f>
        <v>300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2</v>
      </c>
      <c r="D15" s="22">
        <f>A15*C15</f>
        <v>100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1</v>
      </c>
      <c r="D16" s="22">
        <f>A16*C16</f>
        <v>20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4</v>
      </c>
      <c r="D17" s="22">
        <f>A17*C17</f>
        <v>40</v>
      </c>
      <c r="E17" s="3"/>
      <c r="F17" s="3"/>
    </row>
    <row r="18" spans="1:21" ht="16.5">
      <c r="A18" s="23">
        <v>5</v>
      </c>
      <c r="B18" s="20" t="s">
        <v>10</v>
      </c>
      <c r="C18" s="21">
        <v>8</v>
      </c>
      <c r="D18" s="22">
        <f>A18*C18</f>
        <v>40</v>
      </c>
      <c r="E18" s="3"/>
      <c r="F18" s="3"/>
      <c r="G18" s="3"/>
      <c r="U18" s="5"/>
    </row>
    <row r="19" spans="1:21" ht="16.5">
      <c r="A19" s="24" t="s">
        <v>11</v>
      </c>
      <c r="B19" s="25" t="s">
        <v>10</v>
      </c>
      <c r="C19" s="21">
        <v>12</v>
      </c>
      <c r="D19" s="22">
        <f>+C19*1</f>
        <v>12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512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7B20-A3BA-4CBA-AE51-74C1CFEE7A74}">
  <dimension ref="A1:U26"/>
  <sheetViews>
    <sheetView workbookViewId="0">
      <selection activeCell="O23" sqref="O23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45682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-6</v>
      </c>
      <c r="K4" s="9">
        <f>IF(H4&gt;J4,H4-J4,0)</f>
        <v>6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288</v>
      </c>
      <c r="E5" s="7">
        <v>0</v>
      </c>
      <c r="F5" s="7">
        <v>0</v>
      </c>
      <c r="G5" s="7">
        <v>0</v>
      </c>
      <c r="H5" s="8">
        <f t="shared" ref="H5:H9" si="0">+G5+F5+E5+D5+C5+B5</f>
        <v>288</v>
      </c>
      <c r="I5" s="59"/>
      <c r="J5" s="7">
        <v>288</v>
      </c>
      <c r="K5" s="9">
        <f>IF(H5&gt;J5,H5-J5,0)</f>
        <v>0</v>
      </c>
      <c r="L5" s="10">
        <f>IF(J5&gt;H5,J5-H5,0)</f>
        <v>0</v>
      </c>
    </row>
    <row r="6" spans="1:19" ht="16.5">
      <c r="A6" t="s">
        <v>48</v>
      </c>
      <c r="B6" s="7">
        <v>86</v>
      </c>
      <c r="C6" s="7">
        <f>78+30+24+96+2+20+240+26+35+130+20+64+32+20+26+24+48+39+50+10</f>
        <v>1014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1100</v>
      </c>
      <c r="I6" s="59"/>
      <c r="J6" s="7">
        <v>1100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s="51" t="s">
        <v>43</v>
      </c>
      <c r="B7" s="7">
        <v>87</v>
      </c>
      <c r="C7" s="7">
        <v>25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112</v>
      </c>
      <c r="I7" s="59"/>
      <c r="J7" s="7">
        <v>110</v>
      </c>
      <c r="K7" s="9">
        <f t="shared" ref="K7" si="1">IF(H7&gt;J7,H7-J7,0)</f>
        <v>2</v>
      </c>
      <c r="L7" s="10">
        <f t="shared" ref="L7:L9" si="2">IF(J7&gt;H7,J7-H7,0)</f>
        <v>0</v>
      </c>
    </row>
    <row r="8" spans="1:19" s="5" customFormat="1" ht="15.75" hidden="1" customHeight="1">
      <c r="A8" t="s">
        <v>69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t="s">
        <v>45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173</v>
      </c>
      <c r="C10" s="13">
        <f t="shared" si="4"/>
        <v>1039</v>
      </c>
      <c r="D10" s="13">
        <f t="shared" si="4"/>
        <v>288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1492</v>
      </c>
      <c r="K10" s="13">
        <f>SUM(K4:K9)</f>
        <v>8</v>
      </c>
      <c r="L10" s="13">
        <f>SUM(L4:L9)</f>
        <v>0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73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0</v>
      </c>
      <c r="D14" s="22">
        <f t="shared" ref="D14" si="5">A14*C14</f>
        <v>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0</v>
      </c>
      <c r="D17" s="22">
        <f>A17*C17</f>
        <v>0</v>
      </c>
      <c r="E17" s="3"/>
      <c r="F17" s="3"/>
    </row>
    <row r="18" spans="1:21" ht="16.5">
      <c r="A18" s="23">
        <v>5</v>
      </c>
      <c r="B18" s="20" t="s">
        <v>10</v>
      </c>
      <c r="C18" s="21">
        <v>34</v>
      </c>
      <c r="D18" s="22">
        <f>A18*C18</f>
        <v>170</v>
      </c>
      <c r="E18" s="3"/>
      <c r="F18" s="3"/>
      <c r="G18" s="3"/>
      <c r="U18" s="5"/>
    </row>
    <row r="19" spans="1:21" ht="16.5">
      <c r="A19" s="24" t="s">
        <v>11</v>
      </c>
      <c r="B19" s="25" t="s">
        <v>10</v>
      </c>
      <c r="C19" s="21">
        <v>3</v>
      </c>
      <c r="D19" s="22">
        <f>+C19*1</f>
        <v>3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173</v>
      </c>
      <c r="E21" s="3"/>
      <c r="F21" s="3"/>
      <c r="G21" s="3"/>
      <c r="H21" s="3"/>
      <c r="I21" s="3"/>
      <c r="J21" s="3"/>
      <c r="K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510A-4E95-4914-8BE4-FE6A7779EFD9}">
  <dimension ref="A1:U26"/>
  <sheetViews>
    <sheetView workbookViewId="0">
      <selection activeCell="A6" sqref="A6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45683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160</v>
      </c>
      <c r="E5" s="7">
        <v>0</v>
      </c>
      <c r="F5" s="7">
        <v>0</v>
      </c>
      <c r="G5" s="7">
        <v>0</v>
      </c>
      <c r="H5" s="8">
        <f t="shared" ref="H5:H9" si="0">+G5+F5+E5+D5+C5+B5</f>
        <v>160</v>
      </c>
      <c r="I5" s="59"/>
      <c r="J5" s="7">
        <v>160</v>
      </c>
      <c r="K5" s="9">
        <f>IF(H5&gt;J5,H5-J5,0)</f>
        <v>0</v>
      </c>
      <c r="L5" s="10">
        <f>IF(J5&gt;H5,J5-H5,0)</f>
        <v>0</v>
      </c>
    </row>
    <row r="6" spans="1:19" ht="16.5">
      <c r="A6" t="s">
        <v>45</v>
      </c>
      <c r="B6" s="7">
        <v>180</v>
      </c>
      <c r="C6" s="7">
        <f>95+52+20+53+20+52+7+38+15+64+20+103+44+20+501+20+323+24+79+52+480+60+267+20+52</f>
        <v>2481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2661</v>
      </c>
      <c r="I6" s="59"/>
      <c r="J6" s="7">
        <v>2661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t="s">
        <v>23</v>
      </c>
      <c r="B7" s="7">
        <v>0</v>
      </c>
      <c r="C7" s="7">
        <f>20+42+42+119+20+56</f>
        <v>299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299</v>
      </c>
      <c r="I7" s="59"/>
      <c r="J7" s="7">
        <v>299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5.75" hidden="1" customHeight="1">
      <c r="A8" t="s">
        <v>69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t="s">
        <v>45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180</v>
      </c>
      <c r="C10" s="13">
        <f t="shared" si="4"/>
        <v>2780</v>
      </c>
      <c r="D10" s="13">
        <f t="shared" si="4"/>
        <v>160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3120</v>
      </c>
      <c r="K10" s="13">
        <f>SUM(K4:K9)</f>
        <v>0</v>
      </c>
      <c r="L10" s="13">
        <f>SUM(L4:L9)</f>
        <v>0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74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1</v>
      </c>
      <c r="D14" s="22">
        <f t="shared" ref="D14" si="5">A14*C14</f>
        <v>100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3</v>
      </c>
      <c r="D17" s="22">
        <f>A17*C17</f>
        <v>30</v>
      </c>
      <c r="E17" s="3"/>
      <c r="F17" s="3"/>
    </row>
    <row r="18" spans="1:21" ht="16.5">
      <c r="A18" s="23">
        <v>5</v>
      </c>
      <c r="B18" s="20" t="s">
        <v>10</v>
      </c>
      <c r="C18" s="21">
        <v>9</v>
      </c>
      <c r="D18" s="22">
        <f>A18*C18</f>
        <v>45</v>
      </c>
      <c r="E18" s="3"/>
      <c r="F18" s="3"/>
      <c r="G18" s="3"/>
      <c r="U18" s="5"/>
    </row>
    <row r="19" spans="1:21" ht="16.5">
      <c r="A19" s="24" t="s">
        <v>11</v>
      </c>
      <c r="B19" s="25" t="s">
        <v>10</v>
      </c>
      <c r="C19" s="21">
        <v>5</v>
      </c>
      <c r="D19" s="22">
        <f>+C19*1</f>
        <v>5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180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F05A-5FA0-48ED-B036-B21DE1160EB5}">
  <dimension ref="A1:U26"/>
  <sheetViews>
    <sheetView workbookViewId="0">
      <selection activeCell="H23" sqref="H23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45684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128</v>
      </c>
      <c r="E5" s="7">
        <v>0</v>
      </c>
      <c r="F5" s="7">
        <v>0</v>
      </c>
      <c r="G5" s="7">
        <v>0</v>
      </c>
      <c r="H5" s="8">
        <f t="shared" ref="H5:H9" si="0">+G5+F5+E5+D5+C5+B5</f>
        <v>128</v>
      </c>
      <c r="I5" s="59"/>
      <c r="J5" s="7">
        <v>128</v>
      </c>
      <c r="K5" s="9">
        <f>IF(H5&gt;J5,H5-J5,0)</f>
        <v>0</v>
      </c>
      <c r="L5" s="10">
        <f>IF(J5&gt;H5,J5-H5,0)</f>
        <v>0</v>
      </c>
    </row>
    <row r="6" spans="1:19" ht="16.5">
      <c r="A6" t="s">
        <v>48</v>
      </c>
      <c r="B6" s="7">
        <v>0</v>
      </c>
      <c r="C6" s="7">
        <f>20+20+26+115+84+134+192+20+15+20+66+32+42+20+42+32+64+96+96+20+150+20+7+20+22</f>
        <v>1375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1375</v>
      </c>
      <c r="I6" s="59"/>
      <c r="J6" s="7">
        <v>1375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s="51" t="s">
        <v>43</v>
      </c>
      <c r="B7" s="7">
        <v>0</v>
      </c>
      <c r="C7" s="7">
        <f>40+42+26+45+51+148</f>
        <v>352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352</v>
      </c>
      <c r="I7" s="59"/>
      <c r="J7" s="7">
        <v>352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5.75" hidden="1" customHeight="1">
      <c r="A8" t="s">
        <v>69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t="s">
        <v>45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0</v>
      </c>
      <c r="C10" s="13">
        <f t="shared" si="4"/>
        <v>1727</v>
      </c>
      <c r="D10" s="13">
        <f t="shared" si="4"/>
        <v>128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1855</v>
      </c>
      <c r="K10" s="13">
        <f>SUM(K4:K9)</f>
        <v>0</v>
      </c>
      <c r="L10" s="13">
        <f>SUM(L4:L9)</f>
        <v>0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75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0</v>
      </c>
      <c r="D14" s="22">
        <f t="shared" ref="D14" si="5">A14*C14</f>
        <v>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0</v>
      </c>
      <c r="D15" s="22">
        <f>A15*C15</f>
        <v>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0</v>
      </c>
      <c r="D17" s="22">
        <f>A17*C17</f>
        <v>0</v>
      </c>
      <c r="E17" s="3"/>
      <c r="F17" s="3"/>
    </row>
    <row r="18" spans="1:21" ht="16.5">
      <c r="A18" s="23">
        <v>5</v>
      </c>
      <c r="B18" s="20" t="s">
        <v>10</v>
      </c>
      <c r="C18" s="21">
        <v>0</v>
      </c>
      <c r="D18" s="22">
        <f>A18*C18</f>
        <v>0</v>
      </c>
      <c r="E18" s="3"/>
      <c r="F18" s="3"/>
      <c r="G18" s="3"/>
      <c r="N18" t="s">
        <v>9</v>
      </c>
      <c r="U18" s="5"/>
    </row>
    <row r="19" spans="1:21" ht="16.5">
      <c r="A19" s="24" t="s">
        <v>11</v>
      </c>
      <c r="B19" s="25" t="s">
        <v>10</v>
      </c>
      <c r="C19" s="21">
        <v>0</v>
      </c>
      <c r="D19" s="22">
        <f>+C19*1</f>
        <v>0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0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B825-4002-4AF8-97E9-8386F8A78435}">
  <dimension ref="A1:U26"/>
  <sheetViews>
    <sheetView workbookViewId="0">
      <selection activeCell="A6" sqref="A6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45685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9" ht="16.5">
      <c r="A5" s="6" t="s">
        <v>12</v>
      </c>
      <c r="B5" s="7">
        <v>0</v>
      </c>
      <c r="C5" s="7">
        <v>0</v>
      </c>
      <c r="D5" s="7">
        <v>160</v>
      </c>
      <c r="E5" s="7">
        <v>0</v>
      </c>
      <c r="F5" s="7">
        <v>0</v>
      </c>
      <c r="G5" s="7">
        <v>0</v>
      </c>
      <c r="H5" s="8">
        <f t="shared" ref="H5:H9" si="0">+G5+F5+E5+D5+C5+B5</f>
        <v>160</v>
      </c>
      <c r="I5" s="59"/>
      <c r="J5" s="7">
        <v>160</v>
      </c>
      <c r="K5" s="9">
        <f>IF(H5&gt;J5,H5-J5,0)</f>
        <v>0</v>
      </c>
      <c r="L5" s="10">
        <f>IF(J5&gt;H5,J5-H5,0)</f>
        <v>0</v>
      </c>
    </row>
    <row r="6" spans="1:19" ht="16.5">
      <c r="A6" t="s">
        <v>45</v>
      </c>
      <c r="B6" s="7">
        <v>68</v>
      </c>
      <c r="C6" s="7">
        <f>84+40+35+20+20+32+32+128+32+32+128+20+24+27+164</f>
        <v>818</v>
      </c>
      <c r="D6" s="7">
        <v>0</v>
      </c>
      <c r="E6" s="7">
        <v>0</v>
      </c>
      <c r="F6" s="7">
        <v>0</v>
      </c>
      <c r="G6" s="7">
        <v>0</v>
      </c>
      <c r="H6" s="8">
        <f t="shared" si="0"/>
        <v>886</v>
      </c>
      <c r="I6" s="59"/>
      <c r="J6" s="7">
        <v>886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s="51" t="s">
        <v>43</v>
      </c>
      <c r="B7" s="7">
        <v>94</v>
      </c>
      <c r="C7" s="7">
        <f>66+20+118+100+20+40+26+20+7+152+81+20+14+40+116+20+26+20+26+108+48+10</f>
        <v>1098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1192</v>
      </c>
      <c r="I7" s="59"/>
      <c r="J7" s="7">
        <v>1192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5.75" hidden="1" customHeight="1">
      <c r="A8" t="s">
        <v>69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t="s">
        <v>45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162</v>
      </c>
      <c r="C10" s="13">
        <f t="shared" si="4"/>
        <v>1916</v>
      </c>
      <c r="D10" s="13">
        <f t="shared" si="4"/>
        <v>160</v>
      </c>
      <c r="E10" s="13">
        <f t="shared" si="4"/>
        <v>0</v>
      </c>
      <c r="F10" s="13">
        <f t="shared" si="4"/>
        <v>0</v>
      </c>
      <c r="G10" s="13">
        <f t="shared" si="4"/>
        <v>0</v>
      </c>
      <c r="H10" s="13">
        <v>0</v>
      </c>
      <c r="I10" s="14"/>
      <c r="J10" s="13">
        <f>SUM(J4:J9)</f>
        <v>2238</v>
      </c>
      <c r="K10" s="13">
        <f>SUM(K4:K9)</f>
        <v>0</v>
      </c>
      <c r="L10" s="13">
        <f>SUM(L4:L9)</f>
        <v>0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76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0</v>
      </c>
      <c r="D14" s="22">
        <f t="shared" ref="D14" si="5">A14*C14</f>
        <v>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1</v>
      </c>
      <c r="D15" s="22">
        <f>A15*C15</f>
        <v>50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2</v>
      </c>
      <c r="D16" s="22">
        <f>A16*C16</f>
        <v>40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6</v>
      </c>
      <c r="D17" s="22">
        <f>A17*C17</f>
        <v>60</v>
      </c>
      <c r="E17" s="3"/>
      <c r="F17" s="3"/>
    </row>
    <row r="18" spans="1:21" ht="16.5">
      <c r="A18" s="23">
        <v>5</v>
      </c>
      <c r="B18" s="20" t="s">
        <v>10</v>
      </c>
      <c r="C18" s="21">
        <v>0</v>
      </c>
      <c r="D18" s="22">
        <f>A18*C18</f>
        <v>0</v>
      </c>
      <c r="E18" s="3"/>
      <c r="F18" s="3"/>
      <c r="G18" s="3"/>
      <c r="N18" t="s">
        <v>9</v>
      </c>
      <c r="U18" s="5"/>
    </row>
    <row r="19" spans="1:21" ht="16.5">
      <c r="A19" s="24" t="s">
        <v>11</v>
      </c>
      <c r="B19" s="25" t="s">
        <v>10</v>
      </c>
      <c r="C19" s="21">
        <v>12</v>
      </c>
      <c r="D19" s="22">
        <f>+C19*1</f>
        <v>12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162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38E-6527-4072-AA82-7A9703CC4DDF}">
  <dimension ref="A1:U26"/>
  <sheetViews>
    <sheetView workbookViewId="0">
      <selection sqref="A1:XFD1048576"/>
    </sheetView>
  </sheetViews>
  <sheetFormatPr defaultRowHeight="15"/>
  <cols>
    <col min="1" max="1" width="30" customWidth="1"/>
    <col min="3" max="4" width="9.42578125" bestFit="1" customWidth="1"/>
  </cols>
  <sheetData>
    <row r="1" spans="1:19" ht="17.25" thickBot="1">
      <c r="A1" s="1">
        <v>45686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9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9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9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2</v>
      </c>
      <c r="K4" s="9">
        <f>IF(H4&gt;J4,H4-J4,0)</f>
        <v>0</v>
      </c>
      <c r="L4" s="10">
        <f>IF(J4&gt;H4,J4-H4,0)</f>
        <v>2</v>
      </c>
    </row>
    <row r="5" spans="1:19" ht="16.5">
      <c r="A5" s="6" t="s">
        <v>12</v>
      </c>
      <c r="B5" s="7">
        <v>0</v>
      </c>
      <c r="C5" s="7">
        <v>0</v>
      </c>
      <c r="D5" s="7">
        <v>518</v>
      </c>
      <c r="E5" s="7">
        <v>0</v>
      </c>
      <c r="F5" s="7">
        <v>0</v>
      </c>
      <c r="G5" s="7">
        <v>0</v>
      </c>
      <c r="H5" s="8">
        <f t="shared" ref="H5:H9" si="0">+G5+F5+E5+D5+C5+B5</f>
        <v>518</v>
      </c>
      <c r="I5" s="59"/>
      <c r="J5" s="7">
        <v>518</v>
      </c>
      <c r="K5" s="9">
        <f>IF(H5&gt;J5,H5-J5,0)</f>
        <v>0</v>
      </c>
      <c r="L5" s="10">
        <f>IF(J5&gt;H5,J5-H5,0)</f>
        <v>0</v>
      </c>
    </row>
    <row r="6" spans="1:19" ht="16.5">
      <c r="A6" s="11" t="s">
        <v>27</v>
      </c>
      <c r="B6" s="7">
        <v>6</v>
      </c>
      <c r="C6" s="7">
        <f>20+20+24</f>
        <v>64</v>
      </c>
      <c r="D6" s="7">
        <v>0</v>
      </c>
      <c r="E6" s="7">
        <v>0</v>
      </c>
      <c r="F6" s="7">
        <v>256</v>
      </c>
      <c r="G6" s="7">
        <v>0</v>
      </c>
      <c r="H6" s="8">
        <f t="shared" si="0"/>
        <v>326</v>
      </c>
      <c r="I6" s="59"/>
      <c r="J6" s="7">
        <v>326</v>
      </c>
      <c r="K6" s="9">
        <f>IF(H6&gt;J6,H6-J6,0)</f>
        <v>0</v>
      </c>
      <c r="L6" s="10">
        <f>IF(J6&gt;H6,J6-H6,0)</f>
        <v>0</v>
      </c>
    </row>
    <row r="7" spans="1:19" s="5" customFormat="1" ht="18" customHeight="1">
      <c r="A7" t="s">
        <v>45</v>
      </c>
      <c r="B7" s="7">
        <v>235</v>
      </c>
      <c r="C7" s="7">
        <f>26+60+59+15+20+96+27+20+124+94+168+54+64+66+32+32+40+42+156+20+64+238+26+5+128+270+96+42+45+44+24+120+70+27+62</f>
        <v>2476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2711</v>
      </c>
      <c r="I7" s="59"/>
      <c r="J7" s="7">
        <v>2711</v>
      </c>
      <c r="K7" s="9">
        <f t="shared" ref="K7" si="1">IF(H7&gt;J7,H7-J7,0)</f>
        <v>0</v>
      </c>
      <c r="L7" s="10">
        <f t="shared" ref="L7:L9" si="2">IF(J7&gt;H7,J7-H7,0)</f>
        <v>0</v>
      </c>
    </row>
    <row r="8" spans="1:19" s="5" customFormat="1" ht="15.75" hidden="1" customHeight="1">
      <c r="A8" t="s">
        <v>69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8">
        <f>+G8+F8+E8+D8+C8+B8</f>
        <v>0</v>
      </c>
      <c r="I8" s="59"/>
      <c r="J8" s="7">
        <v>0</v>
      </c>
      <c r="K8" s="9">
        <f>IF(H8&gt;J8,H8-J8,0)</f>
        <v>0</v>
      </c>
      <c r="L8" s="10">
        <f t="shared" si="2"/>
        <v>0</v>
      </c>
    </row>
    <row r="9" spans="1:19" ht="16.5" hidden="1" customHeight="1">
      <c r="A9" t="s">
        <v>45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 t="shared" si="0"/>
        <v>0</v>
      </c>
      <c r="I9" s="59"/>
      <c r="J9" s="7">
        <v>0</v>
      </c>
      <c r="K9" s="9">
        <f t="shared" ref="K9" si="3">IF(H9&gt;J9,H9-J9,0)</f>
        <v>0</v>
      </c>
      <c r="L9" s="10">
        <f t="shared" si="2"/>
        <v>0</v>
      </c>
    </row>
    <row r="10" spans="1:19" ht="17.25" thickBot="1">
      <c r="A10" s="12"/>
      <c r="B10" s="13">
        <f t="shared" ref="B10:G10" si="4">SUM(B4:B9)</f>
        <v>241</v>
      </c>
      <c r="C10" s="13">
        <f t="shared" si="4"/>
        <v>2540</v>
      </c>
      <c r="D10" s="13">
        <f t="shared" si="4"/>
        <v>518</v>
      </c>
      <c r="E10" s="13">
        <f t="shared" si="4"/>
        <v>0</v>
      </c>
      <c r="F10" s="13">
        <f t="shared" si="4"/>
        <v>256</v>
      </c>
      <c r="G10" s="13">
        <f t="shared" si="4"/>
        <v>0</v>
      </c>
      <c r="H10" s="13">
        <v>0</v>
      </c>
      <c r="I10" s="14"/>
      <c r="J10" s="13">
        <f>SUM(J4:J9)</f>
        <v>3557</v>
      </c>
      <c r="K10" s="13">
        <f>SUM(K4:K9)</f>
        <v>0</v>
      </c>
      <c r="L10" s="13">
        <f>SUM(L4:L9)</f>
        <v>2</v>
      </c>
    </row>
    <row r="11" spans="1:19" ht="17.25" thickBot="1">
      <c r="A11" s="41"/>
      <c r="B11" s="15"/>
      <c r="C11" s="15"/>
      <c r="D11" s="3"/>
      <c r="E11" s="15"/>
      <c r="F11" s="15"/>
      <c r="G11" s="15"/>
      <c r="H11" s="15"/>
      <c r="I11" s="3"/>
      <c r="J11" s="3"/>
      <c r="K11" s="3"/>
      <c r="L11" s="3"/>
    </row>
    <row r="12" spans="1:19" ht="17.25" thickBot="1">
      <c r="A12" s="60" t="s">
        <v>77</v>
      </c>
      <c r="B12" s="61"/>
      <c r="C12" s="61"/>
      <c r="D12" s="62"/>
      <c r="E12" s="15"/>
      <c r="F12" s="15"/>
      <c r="G12" s="15"/>
      <c r="K12" s="3"/>
      <c r="L12" s="3"/>
    </row>
    <row r="13" spans="1:19" ht="16.5">
      <c r="A13" s="19">
        <v>500</v>
      </c>
      <c r="B13" s="28" t="s">
        <v>10</v>
      </c>
      <c r="C13" s="21">
        <v>0</v>
      </c>
      <c r="D13" s="22">
        <f>A13*C13</f>
        <v>0</v>
      </c>
      <c r="F13" s="3"/>
      <c r="G13" s="3"/>
      <c r="K13" s="3"/>
      <c r="L13" s="3"/>
    </row>
    <row r="14" spans="1:19" ht="16.5">
      <c r="A14" s="23">
        <v>100</v>
      </c>
      <c r="B14" s="20" t="s">
        <v>10</v>
      </c>
      <c r="C14" s="21">
        <v>0</v>
      </c>
      <c r="D14" s="22">
        <f t="shared" ref="D14" si="5">A14*C14</f>
        <v>0</v>
      </c>
      <c r="E14" s="3"/>
      <c r="F14" s="3"/>
      <c r="G14" s="3"/>
      <c r="K14" s="3"/>
      <c r="L14" s="3"/>
    </row>
    <row r="15" spans="1:19" ht="16.5">
      <c r="A15" s="23">
        <v>50</v>
      </c>
      <c r="B15" s="20" t="s">
        <v>10</v>
      </c>
      <c r="C15" s="21">
        <v>4</v>
      </c>
      <c r="D15" s="22">
        <f>A15*C15</f>
        <v>200</v>
      </c>
      <c r="E15" s="3"/>
      <c r="F15" s="3"/>
      <c r="G15" s="3"/>
      <c r="K15" s="3"/>
      <c r="L15" s="3"/>
    </row>
    <row r="16" spans="1:19" ht="16.5">
      <c r="A16" s="23">
        <v>20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  <c r="P16" s="5"/>
      <c r="Q16" s="5"/>
      <c r="R16" s="5"/>
      <c r="S16" s="5"/>
    </row>
    <row r="17" spans="1:21" ht="16.5">
      <c r="A17" s="23">
        <v>10</v>
      </c>
      <c r="B17" s="20" t="s">
        <v>10</v>
      </c>
      <c r="C17" s="21">
        <v>0</v>
      </c>
      <c r="D17" s="22">
        <f>A17*C17</f>
        <v>0</v>
      </c>
      <c r="E17" s="3"/>
      <c r="F17" s="3"/>
    </row>
    <row r="18" spans="1:21" ht="16.5">
      <c r="A18" s="23">
        <v>5</v>
      </c>
      <c r="B18" s="20" t="s">
        <v>10</v>
      </c>
      <c r="C18" s="21">
        <v>7</v>
      </c>
      <c r="D18" s="22">
        <f>A18*C18</f>
        <v>35</v>
      </c>
      <c r="E18" s="3"/>
      <c r="F18" s="3"/>
      <c r="G18" s="3"/>
      <c r="N18" t="s">
        <v>9</v>
      </c>
      <c r="U18" s="5"/>
    </row>
    <row r="19" spans="1:21" ht="16.5">
      <c r="A19" s="24" t="s">
        <v>11</v>
      </c>
      <c r="B19" s="25" t="s">
        <v>10</v>
      </c>
      <c r="C19" s="21">
        <v>6</v>
      </c>
      <c r="D19" s="22">
        <f>+C19*1</f>
        <v>6</v>
      </c>
      <c r="E19" s="3"/>
      <c r="F19" s="3"/>
      <c r="H19" s="3"/>
      <c r="I19" s="3"/>
      <c r="J19" s="3"/>
      <c r="K19" s="50"/>
      <c r="L19" s="3"/>
    </row>
    <row r="20" spans="1:21" ht="16.5">
      <c r="A20" s="24"/>
      <c r="B20" s="25"/>
      <c r="C20" s="21">
        <v>0</v>
      </c>
      <c r="D20" s="22">
        <f>+C20*0.025</f>
        <v>0</v>
      </c>
      <c r="E20" s="3"/>
      <c r="F20" s="3"/>
      <c r="G20" s="3"/>
      <c r="H20" s="52"/>
      <c r="J20" s="3"/>
      <c r="K20" s="3"/>
      <c r="L20" s="3"/>
      <c r="P20" s="5"/>
    </row>
    <row r="21" spans="1:21" ht="16.5">
      <c r="A21" s="63" t="s">
        <v>17</v>
      </c>
      <c r="B21" s="64"/>
      <c r="C21" s="26"/>
      <c r="D21" s="27">
        <f>SUM(D13:D20)</f>
        <v>241</v>
      </c>
      <c r="E21" s="3"/>
      <c r="F21" s="3"/>
      <c r="G21" s="3"/>
      <c r="H21" s="3"/>
      <c r="I21" s="3"/>
      <c r="J21" s="3"/>
      <c r="K21" s="3"/>
      <c r="L21" s="3"/>
    </row>
    <row r="22" spans="1:21" s="5" customFormat="1" ht="18" customHeight="1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</row>
    <row r="23" spans="1:21" ht="15.75" customHeight="1">
      <c r="U23" s="5"/>
    </row>
    <row r="24" spans="1:21" ht="16.5">
      <c r="Q24" s="5"/>
      <c r="R24" s="5"/>
      <c r="S24" s="5"/>
      <c r="T24" s="5"/>
    </row>
    <row r="25" spans="1:21" ht="16.5">
      <c r="P25" s="5"/>
    </row>
    <row r="26" spans="1:21" ht="18" customHeight="1"/>
  </sheetData>
  <mergeCells count="4">
    <mergeCell ref="A2:L2"/>
    <mergeCell ref="I3:I9"/>
    <mergeCell ref="A12:D12"/>
    <mergeCell ref="A21:B21"/>
  </mergeCells>
  <pageMargins left="0.7" right="0.7" top="0.75" bottom="0.7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E968-745E-4471-888C-1220441E411B}">
  <dimension ref="A1:U27"/>
  <sheetViews>
    <sheetView workbookViewId="0">
      <selection sqref="A1:XFD1048576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>
        <v>45687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0</v>
      </c>
      <c r="K4" s="9">
        <f>IF(H4&gt;J4,H4-J4,0)</f>
        <v>0</v>
      </c>
      <c r="L4" s="10">
        <f>IF(J4&gt;H4,J4-H4,0)</f>
        <v>0</v>
      </c>
    </row>
    <row r="5" spans="1:12" ht="16.5">
      <c r="A5" s="6" t="s">
        <v>12</v>
      </c>
      <c r="B5" s="7">
        <v>0</v>
      </c>
      <c r="C5" s="7">
        <v>582</v>
      </c>
      <c r="D5" s="7">
        <v>0</v>
      </c>
      <c r="E5" s="7">
        <v>0</v>
      </c>
      <c r="F5" s="7">
        <v>0</v>
      </c>
      <c r="G5" s="7">
        <v>0</v>
      </c>
      <c r="H5" s="8">
        <f t="shared" ref="H5:H10" si="0">+G5+F5+E5+D5+C5+B5</f>
        <v>582</v>
      </c>
      <c r="I5" s="59"/>
      <c r="J5" s="7">
        <v>0</v>
      </c>
      <c r="K5" s="9">
        <f>IF(H5&gt;J5,H5-J5,0)</f>
        <v>582</v>
      </c>
      <c r="L5" s="10">
        <f>IF(J5&gt;H5,J5-H5,0)</f>
        <v>0</v>
      </c>
    </row>
    <row r="6" spans="1:12" ht="16.5">
      <c r="A6" t="s">
        <v>45</v>
      </c>
      <c r="B6" s="7">
        <v>491</v>
      </c>
      <c r="C6" s="7">
        <f>20+30+58+32+32+26+67+20+63+90+177+20+176+20+124+154+91+20+26+228+26+20+276+36+26+15+154+122+128+24+26+20</f>
        <v>2347</v>
      </c>
      <c r="D6" s="7">
        <v>126</v>
      </c>
      <c r="E6" s="7">
        <v>0</v>
      </c>
      <c r="F6" s="7">
        <v>0</v>
      </c>
      <c r="G6" s="7">
        <v>0</v>
      </c>
      <c r="H6" s="8">
        <f t="shared" si="0"/>
        <v>2964</v>
      </c>
      <c r="I6" s="59"/>
      <c r="J6" s="7">
        <v>2980</v>
      </c>
      <c r="K6" s="9">
        <f>IF(H6&gt;J6,H6-J6,0)</f>
        <v>0</v>
      </c>
      <c r="L6" s="10">
        <f>IF(J6&gt;H6,J6-H6,0)</f>
        <v>16</v>
      </c>
    </row>
    <row r="7" spans="1:12" ht="16.5">
      <c r="A7" t="s">
        <v>23</v>
      </c>
      <c r="B7" s="7">
        <v>633</v>
      </c>
      <c r="C7" s="7">
        <f>25+32+20+20+54+26+32+98+26+32+292+152+42+40+147+20+64+50+17+32+42+25+15</f>
        <v>1303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1936</v>
      </c>
      <c r="I7" s="59"/>
      <c r="J7" s="7">
        <v>1936</v>
      </c>
      <c r="K7" s="9">
        <f>IF(H7&gt;J7,H7-J7,0)</f>
        <v>0</v>
      </c>
      <c r="L7" s="10">
        <f>IF(J7&gt;H7,J7-H7,0)</f>
        <v>0</v>
      </c>
    </row>
    <row r="8" spans="1:12" s="5" customFormat="1" ht="18" customHeight="1">
      <c r="A8" t="s">
        <v>24</v>
      </c>
      <c r="B8" s="7">
        <v>22</v>
      </c>
      <c r="C8" s="7">
        <f>50+26+35+42+84+15+54+104+90</f>
        <v>500</v>
      </c>
      <c r="D8" s="7">
        <v>0</v>
      </c>
      <c r="E8" s="7">
        <v>0</v>
      </c>
      <c r="F8" s="7">
        <v>32</v>
      </c>
      <c r="G8" s="7">
        <v>0</v>
      </c>
      <c r="H8" s="8">
        <f t="shared" si="0"/>
        <v>554</v>
      </c>
      <c r="I8" s="59"/>
      <c r="J8" s="7">
        <v>580</v>
      </c>
      <c r="K8" s="9">
        <f t="shared" ref="K8" si="1">IF(H8&gt;J8,H8-J8,0)</f>
        <v>0</v>
      </c>
      <c r="L8" s="10">
        <f t="shared" ref="L8:L10" si="2">IF(J8&gt;H8,J8-H8,0)</f>
        <v>26</v>
      </c>
    </row>
    <row r="9" spans="1:12" s="5" customFormat="1" ht="15.75" hidden="1" customHeight="1">
      <c r="A9" t="s">
        <v>69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>+G9+F9+E9+D9+C9+B9</f>
        <v>0</v>
      </c>
      <c r="I9" s="59"/>
      <c r="J9" s="7">
        <v>0</v>
      </c>
      <c r="K9" s="9">
        <f>IF(H9&gt;J9,H9-J9,0)</f>
        <v>0</v>
      </c>
      <c r="L9" s="10">
        <f t="shared" si="2"/>
        <v>0</v>
      </c>
    </row>
    <row r="10" spans="1:12" ht="16.5" hidden="1" customHeight="1">
      <c r="A10" t="s">
        <v>45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f t="shared" si="0"/>
        <v>0</v>
      </c>
      <c r="I10" s="59"/>
      <c r="J10" s="7">
        <v>0</v>
      </c>
      <c r="K10" s="9">
        <f t="shared" ref="K10" si="3">IF(H10&gt;J10,H10-J10,0)</f>
        <v>0</v>
      </c>
      <c r="L10" s="10">
        <f t="shared" si="2"/>
        <v>0</v>
      </c>
    </row>
    <row r="11" spans="1:12" ht="17.25" thickBot="1">
      <c r="A11" s="12"/>
      <c r="B11" s="13">
        <f t="shared" ref="B11:G11" si="4">SUM(B4:B10)</f>
        <v>1146</v>
      </c>
      <c r="C11" s="13">
        <f t="shared" si="4"/>
        <v>4732</v>
      </c>
      <c r="D11" s="13">
        <f t="shared" si="4"/>
        <v>126</v>
      </c>
      <c r="E11" s="13">
        <f t="shared" si="4"/>
        <v>0</v>
      </c>
      <c r="F11" s="13">
        <f t="shared" si="4"/>
        <v>32</v>
      </c>
      <c r="G11" s="13">
        <f t="shared" si="4"/>
        <v>0</v>
      </c>
      <c r="H11" s="13">
        <v>0</v>
      </c>
      <c r="I11" s="14"/>
      <c r="J11" s="13">
        <f>SUM(J4:J10)</f>
        <v>5496</v>
      </c>
      <c r="K11" s="13">
        <f>SUM(K4:K10)</f>
        <v>582</v>
      </c>
      <c r="L11" s="13">
        <f>SUM(L4:L10)</f>
        <v>42</v>
      </c>
    </row>
    <row r="12" spans="1:12" ht="17.25" thickBot="1">
      <c r="A12" s="41"/>
      <c r="B12" s="15"/>
      <c r="C12" s="15"/>
      <c r="D12" s="3"/>
      <c r="E12" s="15"/>
      <c r="F12" s="15"/>
      <c r="G12" s="15"/>
      <c r="H12" s="15"/>
      <c r="I12" s="3"/>
      <c r="J12" s="3"/>
      <c r="K12" s="3"/>
      <c r="L12" s="3"/>
    </row>
    <row r="13" spans="1:12" ht="17.25" thickBot="1">
      <c r="A13" s="60" t="s">
        <v>78</v>
      </c>
      <c r="B13" s="61"/>
      <c r="C13" s="61"/>
      <c r="D13" s="62"/>
      <c r="E13" s="15"/>
      <c r="F13" s="15"/>
      <c r="G13" s="15"/>
      <c r="K13" s="3"/>
      <c r="L13" s="3"/>
    </row>
    <row r="14" spans="1:12" ht="16.5">
      <c r="A14" s="19">
        <v>500</v>
      </c>
      <c r="B14" s="28" t="s">
        <v>10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0" t="s">
        <v>10</v>
      </c>
      <c r="C15" s="21">
        <v>10</v>
      </c>
      <c r="D15" s="22">
        <f t="shared" ref="D15" si="5">A15*C15</f>
        <v>1000</v>
      </c>
      <c r="E15" s="3"/>
      <c r="F15" s="3"/>
      <c r="G15" s="3"/>
      <c r="K15" s="3"/>
      <c r="L15" s="3"/>
    </row>
    <row r="16" spans="1:12" ht="16.5">
      <c r="A16" s="23">
        <v>50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21" ht="16.5">
      <c r="A17" s="23">
        <v>20</v>
      </c>
      <c r="B17" s="20" t="s">
        <v>10</v>
      </c>
      <c r="C17" s="21">
        <v>0</v>
      </c>
      <c r="D17" s="22">
        <f>A17*C17</f>
        <v>0</v>
      </c>
      <c r="E17" s="3"/>
      <c r="F17" s="3"/>
      <c r="G17" s="3"/>
      <c r="K17" s="3"/>
      <c r="L17" s="3"/>
      <c r="P17" s="5"/>
      <c r="Q17" s="5"/>
      <c r="R17" s="5"/>
      <c r="S17" s="5"/>
    </row>
    <row r="18" spans="1:21" ht="16.5">
      <c r="A18" s="23">
        <v>10</v>
      </c>
      <c r="B18" s="20" t="s">
        <v>10</v>
      </c>
      <c r="C18" s="21">
        <v>5</v>
      </c>
      <c r="D18" s="22">
        <f>A18*C18</f>
        <v>50</v>
      </c>
      <c r="E18" s="3"/>
      <c r="F18" s="3"/>
    </row>
    <row r="19" spans="1:21" ht="16.5">
      <c r="A19" s="23">
        <v>5</v>
      </c>
      <c r="B19" s="20" t="s">
        <v>10</v>
      </c>
      <c r="C19" s="21">
        <v>16</v>
      </c>
      <c r="D19" s="22">
        <f>A19*C19</f>
        <v>80</v>
      </c>
      <c r="E19" s="3"/>
      <c r="F19" s="3"/>
      <c r="G19" s="3"/>
      <c r="N19" t="s">
        <v>9</v>
      </c>
      <c r="U19" s="5"/>
    </row>
    <row r="20" spans="1:21" ht="16.5">
      <c r="A20" s="24" t="s">
        <v>11</v>
      </c>
      <c r="B20" s="25" t="s">
        <v>10</v>
      </c>
      <c r="C20" s="21">
        <v>16</v>
      </c>
      <c r="D20" s="22">
        <f>+C20*1</f>
        <v>16</v>
      </c>
      <c r="E20" s="3"/>
      <c r="F20" s="3"/>
      <c r="H20" s="3"/>
      <c r="I20" s="3"/>
      <c r="J20" s="3"/>
      <c r="K20" s="50"/>
      <c r="L20" s="3"/>
    </row>
    <row r="21" spans="1:21" ht="16.5">
      <c r="A21" s="24"/>
      <c r="B21" s="25"/>
      <c r="C21" s="21">
        <v>0</v>
      </c>
      <c r="D21" s="22">
        <f>+C21*0.025</f>
        <v>0</v>
      </c>
      <c r="E21" s="3"/>
      <c r="F21" s="3"/>
      <c r="G21" s="3"/>
      <c r="H21" s="52"/>
      <c r="J21" s="3"/>
      <c r="K21" s="3"/>
      <c r="L21" s="3"/>
      <c r="P21" s="5"/>
    </row>
    <row r="22" spans="1:21" ht="16.5">
      <c r="A22" s="63" t="s">
        <v>17</v>
      </c>
      <c r="B22" s="64"/>
      <c r="C22" s="26"/>
      <c r="D22" s="27">
        <f>SUM(D14:D21)</f>
        <v>1146</v>
      </c>
      <c r="E22" s="3"/>
      <c r="F22" s="3"/>
      <c r="G22" s="3"/>
      <c r="H22" s="3"/>
      <c r="I22" s="3"/>
      <c r="J22" s="3"/>
      <c r="K22" s="3"/>
      <c r="L22" s="3"/>
    </row>
    <row r="23" spans="1:21" s="5" customFormat="1" ht="18" customHeight="1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5.75" customHeight="1">
      <c r="U24" s="5"/>
    </row>
    <row r="25" spans="1:21" ht="16.5">
      <c r="Q25" s="5"/>
      <c r="R25" s="5"/>
      <c r="S25" s="5"/>
      <c r="T25" s="5"/>
    </row>
    <row r="26" spans="1:21" ht="16.5">
      <c r="P26" s="5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BF62-DFC3-4763-A034-63907B73DFF9}">
  <dimension ref="A1:U27"/>
  <sheetViews>
    <sheetView tabSelected="1" workbookViewId="0">
      <selection activeCell="C21" sqref="C21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>
        <v>45687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6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8"/>
    </row>
    <row r="3" spans="1:12" ht="49.5">
      <c r="A3" s="46" t="s">
        <v>1</v>
      </c>
      <c r="B3" s="47" t="s">
        <v>2</v>
      </c>
      <c r="C3" s="47" t="s">
        <v>3</v>
      </c>
      <c r="D3" s="47" t="s">
        <v>13</v>
      </c>
      <c r="E3" s="47" t="s">
        <v>8</v>
      </c>
      <c r="F3" s="47" t="s">
        <v>4</v>
      </c>
      <c r="G3" s="47" t="s">
        <v>19</v>
      </c>
      <c r="H3" s="47" t="s">
        <v>5</v>
      </c>
      <c r="I3" s="59"/>
      <c r="J3" s="47" t="s">
        <v>14</v>
      </c>
      <c r="K3" s="47" t="s">
        <v>6</v>
      </c>
      <c r="L3" s="48" t="s">
        <v>7</v>
      </c>
    </row>
    <row r="4" spans="1:12" ht="16.5">
      <c r="A4" s="6" t="s">
        <v>16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8">
        <f>+G4+F4+E4+D4+C4+B4</f>
        <v>0</v>
      </c>
      <c r="I4" s="59"/>
      <c r="J4" s="7">
        <v>5</v>
      </c>
      <c r="K4" s="9">
        <f>IF(H4&gt;J4,H4-J4,0)</f>
        <v>0</v>
      </c>
      <c r="L4" s="10">
        <f>IF(J4&gt;H4,J4-H4,0)</f>
        <v>5</v>
      </c>
    </row>
    <row r="5" spans="1:12" ht="16.5">
      <c r="A5" s="6" t="s">
        <v>12</v>
      </c>
      <c r="B5" s="7">
        <v>0</v>
      </c>
      <c r="C5" s="7">
        <v>286</v>
      </c>
      <c r="D5" s="7">
        <v>0</v>
      </c>
      <c r="E5" s="7">
        <v>0</v>
      </c>
      <c r="F5" s="7">
        <v>0</v>
      </c>
      <c r="G5" s="7">
        <v>0</v>
      </c>
      <c r="H5" s="8">
        <f t="shared" ref="H5:H10" si="0">+G5+F5+E5+D5+C5+B5</f>
        <v>286</v>
      </c>
      <c r="I5" s="59"/>
      <c r="J5" s="7">
        <v>0</v>
      </c>
      <c r="K5" s="9">
        <f>IF(H5&gt;J5,H5-J5,0)</f>
        <v>286</v>
      </c>
      <c r="L5" s="10">
        <f>IF(J5&gt;H5,J5-H5,0)</f>
        <v>0</v>
      </c>
    </row>
    <row r="6" spans="1:12" ht="16.5">
      <c r="A6" t="s">
        <v>30</v>
      </c>
      <c r="B6" s="7">
        <v>150</v>
      </c>
      <c r="C6" s="7">
        <f>20+116+20+32+128+64+243+64+20+25+38+20+144+24+14+60+208+26+20+24+64+20+64+25+84+20+20+78</f>
        <v>1685</v>
      </c>
      <c r="D6" s="7">
        <v>7</v>
      </c>
      <c r="E6" s="7">
        <v>0</v>
      </c>
      <c r="F6" s="7">
        <v>32</v>
      </c>
      <c r="G6" s="7">
        <v>0</v>
      </c>
      <c r="H6" s="8">
        <f t="shared" si="0"/>
        <v>1874</v>
      </c>
      <c r="I6" s="59"/>
      <c r="J6" s="7">
        <v>1899</v>
      </c>
      <c r="K6" s="9">
        <f>IF(H6&gt;J6,H6-J6,0)</f>
        <v>0</v>
      </c>
      <c r="L6" s="10">
        <f>IF(J6&gt;H6,J6-H6,0)</f>
        <v>25</v>
      </c>
    </row>
    <row r="7" spans="1:12" ht="16.5">
      <c r="A7" t="s">
        <v>23</v>
      </c>
      <c r="B7" s="7">
        <v>231</v>
      </c>
      <c r="C7" s="7">
        <f>64+64+2+120+9+52+31+20+122+30+102+129+108+3+64+24+27+12+64+32+24</f>
        <v>1103</v>
      </c>
      <c r="D7" s="7">
        <v>0</v>
      </c>
      <c r="E7" s="7">
        <v>0</v>
      </c>
      <c r="F7" s="7">
        <v>0</v>
      </c>
      <c r="G7" s="7">
        <v>0</v>
      </c>
      <c r="H7" s="8">
        <f t="shared" si="0"/>
        <v>1334</v>
      </c>
      <c r="I7" s="59"/>
      <c r="J7" s="7">
        <v>1334</v>
      </c>
      <c r="K7" s="9">
        <f>IF(H7&gt;J7,H7-J7,0)</f>
        <v>0</v>
      </c>
      <c r="L7" s="10">
        <f>IF(J7&gt;H7,J7-H7,0)</f>
        <v>0</v>
      </c>
    </row>
    <row r="8" spans="1:12" s="5" customFormat="1" ht="18" customHeight="1">
      <c r="A8" t="s">
        <v>79</v>
      </c>
      <c r="B8" s="7">
        <v>539</v>
      </c>
      <c r="C8" s="7">
        <f>47+119+103+100+96+115+12+24+20+64+148+165+32+27+96+115+97+24+90+7+7+293+32+20+108+26+20</f>
        <v>2007</v>
      </c>
      <c r="D8" s="7">
        <v>0</v>
      </c>
      <c r="E8" s="7">
        <v>0</v>
      </c>
      <c r="F8" s="7">
        <v>32</v>
      </c>
      <c r="G8" s="7">
        <v>0</v>
      </c>
      <c r="H8" s="8">
        <f t="shared" si="0"/>
        <v>2578</v>
      </c>
      <c r="I8" s="59"/>
      <c r="J8" s="7">
        <v>2578</v>
      </c>
      <c r="K8" s="9">
        <f t="shared" ref="K8" si="1">IF(H8&gt;J8,H8-J8,0)</f>
        <v>0</v>
      </c>
      <c r="L8" s="10">
        <f t="shared" ref="L8:L10" si="2">IF(J8&gt;H8,J8-H8,0)</f>
        <v>0</v>
      </c>
    </row>
    <row r="9" spans="1:12" s="5" customFormat="1" ht="15.75" hidden="1" customHeight="1">
      <c r="A9" t="s">
        <v>69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f>+G9+F9+E9+D9+C9+B9</f>
        <v>0</v>
      </c>
      <c r="I9" s="59"/>
      <c r="J9" s="7">
        <v>0</v>
      </c>
      <c r="K9" s="9">
        <f>IF(H9&gt;J9,H9-J9,0)</f>
        <v>0</v>
      </c>
      <c r="L9" s="10">
        <f t="shared" si="2"/>
        <v>0</v>
      </c>
    </row>
    <row r="10" spans="1:12" ht="16.5" hidden="1" customHeight="1">
      <c r="A10" t="s">
        <v>45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8">
        <f t="shared" si="0"/>
        <v>0</v>
      </c>
      <c r="I10" s="59"/>
      <c r="J10" s="7">
        <v>0</v>
      </c>
      <c r="K10" s="9">
        <f t="shared" ref="K10" si="3">IF(H10&gt;J10,H10-J10,0)</f>
        <v>0</v>
      </c>
      <c r="L10" s="10">
        <f t="shared" si="2"/>
        <v>0</v>
      </c>
    </row>
    <row r="11" spans="1:12" ht="17.25" thickBot="1">
      <c r="A11" s="12"/>
      <c r="B11" s="13">
        <f t="shared" ref="B11:G11" si="4">SUM(B4:B10)</f>
        <v>920</v>
      </c>
      <c r="C11" s="13">
        <f t="shared" si="4"/>
        <v>5081</v>
      </c>
      <c r="D11" s="13">
        <f t="shared" si="4"/>
        <v>7</v>
      </c>
      <c r="E11" s="13">
        <f t="shared" si="4"/>
        <v>0</v>
      </c>
      <c r="F11" s="13">
        <f t="shared" si="4"/>
        <v>64</v>
      </c>
      <c r="G11" s="13">
        <f t="shared" si="4"/>
        <v>0</v>
      </c>
      <c r="H11" s="13">
        <v>0</v>
      </c>
      <c r="I11" s="14"/>
      <c r="J11" s="13">
        <f>SUM(J4:J10)</f>
        <v>5816</v>
      </c>
      <c r="K11" s="13">
        <f>SUM(K4:K10)</f>
        <v>286</v>
      </c>
      <c r="L11" s="13">
        <f>SUM(L4:L10)</f>
        <v>30</v>
      </c>
    </row>
    <row r="12" spans="1:12" ht="17.25" thickBot="1">
      <c r="A12" s="41"/>
      <c r="B12" s="15"/>
      <c r="C12" s="15"/>
      <c r="D12" s="3"/>
      <c r="E12" s="15"/>
      <c r="F12" s="15"/>
      <c r="G12" s="15"/>
      <c r="H12" s="15"/>
      <c r="I12" s="3"/>
      <c r="J12" s="3"/>
      <c r="K12" s="3"/>
      <c r="L12" s="3"/>
    </row>
    <row r="13" spans="1:12" ht="17.25" thickBot="1">
      <c r="A13" s="60" t="s">
        <v>78</v>
      </c>
      <c r="B13" s="61"/>
      <c r="C13" s="61"/>
      <c r="D13" s="62"/>
      <c r="E13" s="15"/>
      <c r="F13" s="15"/>
      <c r="G13" s="15"/>
      <c r="K13" s="3"/>
      <c r="L13" s="3"/>
    </row>
    <row r="14" spans="1:12" ht="16.5">
      <c r="A14" s="19">
        <v>500</v>
      </c>
      <c r="B14" s="28" t="s">
        <v>10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0" t="s">
        <v>10</v>
      </c>
      <c r="C15" s="21">
        <v>5</v>
      </c>
      <c r="D15" s="22">
        <f t="shared" ref="D15" si="5">A15*C15</f>
        <v>500</v>
      </c>
      <c r="E15" s="3"/>
      <c r="F15" s="3"/>
      <c r="G15" s="3"/>
      <c r="K15" s="3"/>
      <c r="L15" s="3"/>
    </row>
    <row r="16" spans="1:12" ht="16.5">
      <c r="A16" s="23">
        <v>50</v>
      </c>
      <c r="B16" s="20" t="s">
        <v>10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21" ht="16.5">
      <c r="A17" s="23">
        <v>20</v>
      </c>
      <c r="B17" s="20" t="s">
        <v>10</v>
      </c>
      <c r="C17" s="21">
        <v>0</v>
      </c>
      <c r="D17" s="22">
        <f>A17*C17</f>
        <v>0</v>
      </c>
      <c r="E17" s="3"/>
      <c r="F17" s="3"/>
      <c r="G17" s="3"/>
      <c r="K17" s="3"/>
      <c r="L17" s="3"/>
      <c r="P17" s="5"/>
      <c r="Q17" s="5"/>
      <c r="R17" s="5"/>
      <c r="S17" s="5"/>
    </row>
    <row r="18" spans="1:21" ht="16.5">
      <c r="A18" s="23">
        <v>10</v>
      </c>
      <c r="B18" s="20" t="s">
        <v>10</v>
      </c>
      <c r="C18" s="21">
        <v>21</v>
      </c>
      <c r="D18" s="22">
        <f>A18*C18</f>
        <v>210</v>
      </c>
      <c r="E18" s="3"/>
      <c r="F18" s="3"/>
    </row>
    <row r="19" spans="1:21" ht="16.5">
      <c r="A19" s="23">
        <v>5</v>
      </c>
      <c r="B19" s="20" t="s">
        <v>10</v>
      </c>
      <c r="C19" s="21">
        <v>36</v>
      </c>
      <c r="D19" s="22">
        <f>A19*C19</f>
        <v>180</v>
      </c>
      <c r="E19" s="3"/>
      <c r="F19" s="3"/>
      <c r="G19" s="3"/>
      <c r="N19" t="s">
        <v>9</v>
      </c>
      <c r="U19" s="5"/>
    </row>
    <row r="20" spans="1:21" ht="16.5">
      <c r="A20" s="24" t="s">
        <v>11</v>
      </c>
      <c r="B20" s="25" t="s">
        <v>10</v>
      </c>
      <c r="C20" s="21">
        <v>30</v>
      </c>
      <c r="D20" s="22">
        <f>+C20*1</f>
        <v>30</v>
      </c>
      <c r="E20" s="3"/>
      <c r="F20" s="3"/>
      <c r="H20" s="3"/>
      <c r="I20" s="3"/>
      <c r="J20" s="3"/>
      <c r="K20" s="50"/>
      <c r="L20" s="3"/>
    </row>
    <row r="21" spans="1:21" ht="16.5">
      <c r="A21" s="24"/>
      <c r="B21" s="25"/>
      <c r="C21" s="21">
        <v>0</v>
      </c>
      <c r="D21" s="22">
        <f>+C21*0.025</f>
        <v>0</v>
      </c>
      <c r="E21" s="3"/>
      <c r="F21" s="3"/>
      <c r="G21" s="3"/>
      <c r="H21" s="52"/>
      <c r="J21" s="3"/>
      <c r="K21" s="3"/>
      <c r="L21" s="3"/>
      <c r="P21" s="5"/>
    </row>
    <row r="22" spans="1:21" ht="16.5">
      <c r="A22" s="63" t="s">
        <v>17</v>
      </c>
      <c r="B22" s="64"/>
      <c r="C22" s="26"/>
      <c r="D22" s="27">
        <f>SUM(D14:D21)</f>
        <v>920</v>
      </c>
      <c r="E22" s="3"/>
      <c r="F22" s="3"/>
      <c r="G22" s="3"/>
      <c r="H22" s="3"/>
      <c r="I22" s="3"/>
      <c r="J22" s="3"/>
      <c r="K22" s="3"/>
      <c r="L22" s="3"/>
    </row>
    <row r="23" spans="1:21" s="5" customFormat="1" ht="18" customHeight="1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5.75" customHeight="1">
      <c r="U24" s="5"/>
    </row>
    <row r="25" spans="1:21" ht="16.5">
      <c r="Q25" s="5"/>
      <c r="R25" s="5"/>
      <c r="S25" s="5"/>
      <c r="T25" s="5"/>
    </row>
    <row r="26" spans="1:21" ht="16.5">
      <c r="P26" s="5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27.12.2024</vt:lpstr>
      <vt:lpstr>28.12.2024</vt:lpstr>
      <vt:lpstr>29.12.2024</vt:lpstr>
      <vt:lpstr>30.12.2024</vt:lpstr>
      <vt:lpstr>31.12.2024</vt:lpstr>
      <vt:lpstr>01.01.2025</vt:lpstr>
      <vt:lpstr>02.01.2025</vt:lpstr>
      <vt:lpstr>03.01.2025</vt:lpstr>
      <vt:lpstr>04.01.2025</vt:lpstr>
      <vt:lpstr>5.01.2025</vt:lpstr>
      <vt:lpstr>6.01.2025</vt:lpstr>
      <vt:lpstr>7.01.2025</vt:lpstr>
      <vt:lpstr>8.01.2025</vt:lpstr>
      <vt:lpstr>9.01.2025</vt:lpstr>
      <vt:lpstr>10.01.2025</vt:lpstr>
      <vt:lpstr>11.1.2025</vt:lpstr>
      <vt:lpstr>12.1.2025</vt:lpstr>
      <vt:lpstr>13.1.2025</vt:lpstr>
      <vt:lpstr>14.1.2025</vt:lpstr>
      <vt:lpstr>15.1.2025</vt:lpstr>
      <vt:lpstr>16.1.2025</vt:lpstr>
      <vt:lpstr>17.1.2025</vt:lpstr>
      <vt:lpstr>18.1.2025</vt:lpstr>
      <vt:lpstr>19.1.2025</vt:lpstr>
      <vt:lpstr>20.2.2025</vt:lpstr>
      <vt:lpstr>21.1.2025</vt:lpstr>
      <vt:lpstr>22.2.2025</vt:lpstr>
      <vt:lpstr>23.1.2025</vt:lpstr>
      <vt:lpstr>24.1.2025</vt:lpstr>
      <vt:lpstr>25.1.2025</vt:lpstr>
      <vt:lpstr>26.1.2025</vt:lpstr>
      <vt:lpstr>27.1.2025</vt:lpstr>
      <vt:lpstr>28.1.2025</vt:lpstr>
      <vt:lpstr>29.1.2025</vt:lpstr>
      <vt:lpstr>30.01.2025</vt:lpstr>
      <vt:lpstr>31.01.2025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Noir Finance Onizah</cp:lastModifiedBy>
  <cp:lastPrinted>2025-01-31T17:14:31Z</cp:lastPrinted>
  <dcterms:created xsi:type="dcterms:W3CDTF">2024-05-02T07:30:39Z</dcterms:created>
  <dcterms:modified xsi:type="dcterms:W3CDTF">2026-09-12T15:58:44Z</dcterms:modified>
</cp:coreProperties>
</file>