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irFinanceOnizah\Desktop\NOIR 2024 &amp; 2025\"/>
    </mc:Choice>
  </mc:AlternateContent>
  <xr:revisionPtr revIDLastSave="0" documentId="8_{B34666FF-B42D-49C5-BAFA-AC47901F24F0}" xr6:coauthVersionLast="47" xr6:coauthVersionMax="47" xr10:uidLastSave="{00000000-0000-0000-0000-000000000000}"/>
  <bookViews>
    <workbookView xWindow="-120" yWindow="-120" windowWidth="29040" windowHeight="15720" firstSheet="144" activeTab="153" xr2:uid="{6223C861-C656-458D-8C3F-F99AC3478718}"/>
  </bookViews>
  <sheets>
    <sheet name="01.07.2025" sheetId="2" r:id="rId1"/>
    <sheet name="02.07.2025" sheetId="3" r:id="rId2"/>
    <sheet name="03.07.2025" sheetId="4" r:id="rId3"/>
    <sheet name="04.07.2025" sheetId="5" r:id="rId4"/>
    <sheet name="05.07.2025" sheetId="7" r:id="rId5"/>
    <sheet name="06.07.2025" sheetId="8" r:id="rId6"/>
    <sheet name="07.07.2025" sheetId="9" r:id="rId7"/>
    <sheet name="08.07.2025" sheetId="10" r:id="rId8"/>
    <sheet name="09.07.2025" sheetId="11" r:id="rId9"/>
    <sheet name="10.07.2025" sheetId="12" r:id="rId10"/>
    <sheet name="11.07.2025" sheetId="13" r:id="rId11"/>
    <sheet name="12.07.2025" sheetId="14" r:id="rId12"/>
    <sheet name="13.07.2025" sheetId="15" r:id="rId13"/>
    <sheet name="14.07.2025" sheetId="16" r:id="rId14"/>
    <sheet name="15.07.2025" sheetId="17" r:id="rId15"/>
    <sheet name="16.07.2025" sheetId="18" r:id="rId16"/>
    <sheet name="17.07.2025" sheetId="19" r:id="rId17"/>
    <sheet name="18.07.2025" sheetId="20" r:id="rId18"/>
    <sheet name="19.07.2025" sheetId="21" r:id="rId19"/>
    <sheet name="20.07.2025" sheetId="22" r:id="rId20"/>
    <sheet name="21.07.2025" sheetId="23" r:id="rId21"/>
    <sheet name="22.07.2025" sheetId="25" r:id="rId22"/>
    <sheet name="23.07.2025" sheetId="26" r:id="rId23"/>
    <sheet name="24.07.2025" sheetId="28" r:id="rId24"/>
    <sheet name="25.07.2025" sheetId="29" r:id="rId25"/>
    <sheet name="26.07.2025" sheetId="30" r:id="rId26"/>
    <sheet name="27.07.2025" sheetId="31" r:id="rId27"/>
    <sheet name="28.07.2025" sheetId="32" r:id="rId28"/>
    <sheet name="29.07.2025" sheetId="33" r:id="rId29"/>
    <sheet name="30.07.2025" sheetId="34" r:id="rId30"/>
    <sheet name="31.07.2025" sheetId="35" r:id="rId31"/>
    <sheet name="01.08.2025" sheetId="36" r:id="rId32"/>
    <sheet name="02.08.2025" sheetId="37" r:id="rId33"/>
    <sheet name="03.08.2025" sheetId="38" r:id="rId34"/>
    <sheet name="04.08.2025" sheetId="39" r:id="rId35"/>
    <sheet name="05.08.2025" sheetId="40" r:id="rId36"/>
    <sheet name="06.08.2025" sheetId="41" r:id="rId37"/>
    <sheet name="07.08.2025" sheetId="42" r:id="rId38"/>
    <sheet name="08.08.2025" sheetId="43" r:id="rId39"/>
    <sheet name="09.08.2025" sheetId="44" r:id="rId40"/>
    <sheet name="10.08.2025" sheetId="45" r:id="rId41"/>
    <sheet name="11.08.2025" sheetId="46" r:id="rId42"/>
    <sheet name="12.08.2025" sheetId="51" r:id="rId43"/>
    <sheet name="13.08.2025" sheetId="49" r:id="rId44"/>
    <sheet name="14.08.2025" sheetId="50" r:id="rId45"/>
    <sheet name="15.08.2025" sheetId="52" r:id="rId46"/>
    <sheet name="16.08.2025" sheetId="53" r:id="rId47"/>
    <sheet name="Sheet1" sheetId="61" r:id="rId48"/>
    <sheet name="17.08.2025" sheetId="54" r:id="rId49"/>
    <sheet name="18.08.2025" sheetId="55" r:id="rId50"/>
    <sheet name="19.08.2025" sheetId="56" r:id="rId51"/>
    <sheet name="20.08.2025" sheetId="57" r:id="rId52"/>
    <sheet name="21.08.2025" sheetId="58" r:id="rId53"/>
    <sheet name="22.08.2025" sheetId="59" r:id="rId54"/>
    <sheet name="23.08.2025" sheetId="60" r:id="rId55"/>
    <sheet name="24.08.2025" sheetId="62" r:id="rId56"/>
    <sheet name="25.08.2025" sheetId="63" r:id="rId57"/>
    <sheet name="26.08.2025" sheetId="64" r:id="rId58"/>
    <sheet name="27.08.2025" sheetId="65" r:id="rId59"/>
    <sheet name="28.08.2025" sheetId="66" r:id="rId60"/>
    <sheet name="29.08.2025" sheetId="67" r:id="rId61"/>
    <sheet name="30.08.2025" sheetId="68" r:id="rId62"/>
    <sheet name="31.08.2025" sheetId="69" r:id="rId63"/>
    <sheet name="01.09.2025" sheetId="70" r:id="rId64"/>
    <sheet name="02.09.2025" sheetId="71" r:id="rId65"/>
    <sheet name="03.09.2025" sheetId="72" r:id="rId66"/>
    <sheet name="04.09.2025" sheetId="73" r:id="rId67"/>
    <sheet name="05.09.2025" sheetId="74" r:id="rId68"/>
    <sheet name="06.09.2025" sheetId="75" r:id="rId69"/>
    <sheet name="07.09.2025" sheetId="76" r:id="rId70"/>
    <sheet name="08.09.2025" sheetId="77" r:id="rId71"/>
    <sheet name="09.09.2025" sheetId="78" r:id="rId72"/>
    <sheet name="10.09.2025" sheetId="79" r:id="rId73"/>
    <sheet name="11.09.2025" sheetId="80" r:id="rId74"/>
    <sheet name="12.09.2025" sheetId="81" r:id="rId75"/>
    <sheet name="13.09.2025" sheetId="82" r:id="rId76"/>
    <sheet name="14.09.2025" sheetId="83" r:id="rId77"/>
    <sheet name="15.09.2025" sheetId="84" r:id="rId78"/>
    <sheet name="16.09.2025" sheetId="85" r:id="rId79"/>
    <sheet name="17.09.2025" sheetId="86" r:id="rId80"/>
    <sheet name="18.09.2025" sheetId="87" r:id="rId81"/>
    <sheet name="19.09.2025" sheetId="88" r:id="rId82"/>
    <sheet name="20.09.2025" sheetId="89" r:id="rId83"/>
    <sheet name="21.09.2025" sheetId="90" r:id="rId84"/>
    <sheet name="22.09.2025" sheetId="91" r:id="rId85"/>
    <sheet name="23.09.2025" sheetId="92" r:id="rId86"/>
    <sheet name="24.09.2025" sheetId="93" r:id="rId87"/>
    <sheet name="25.09.2025" sheetId="94" r:id="rId88"/>
    <sheet name="26.09.2025" sheetId="95" r:id="rId89"/>
    <sheet name="27.09.2025" sheetId="96" r:id="rId90"/>
    <sheet name="28.09.2025" sheetId="97" r:id="rId91"/>
    <sheet name="29.09.2025" sheetId="98" r:id="rId92"/>
    <sheet name="30.09.2025" sheetId="99" r:id="rId93"/>
    <sheet name="01.10.2025" sheetId="100" r:id="rId94"/>
    <sheet name="02.10.2025" sheetId="101" r:id="rId95"/>
    <sheet name="03.10.2025" sheetId="102" r:id="rId96"/>
    <sheet name="04.10.2025" sheetId="103" r:id="rId97"/>
    <sheet name="05.10.2025" sheetId="104" r:id="rId98"/>
    <sheet name="06.10.2025" sheetId="105" r:id="rId99"/>
    <sheet name="07.10.2025" sheetId="106" r:id="rId100"/>
    <sheet name="08.10.2025" sheetId="107" r:id="rId101"/>
    <sheet name="09.10.2025" sheetId="108" r:id="rId102"/>
    <sheet name="10.10.2025" sheetId="109" r:id="rId103"/>
    <sheet name="11.10.2025" sheetId="110" r:id="rId104"/>
    <sheet name="12.10.2025" sheetId="111" r:id="rId105"/>
    <sheet name="13.10.2025" sheetId="112" r:id="rId106"/>
    <sheet name="14.10.2025" sheetId="113" r:id="rId107"/>
    <sheet name="15.10.2025" sheetId="114" r:id="rId108"/>
    <sheet name="16.10.2025" sheetId="115" r:id="rId109"/>
    <sheet name="17.10.2025" sheetId="116" r:id="rId110"/>
    <sheet name="18.10.2025" sheetId="117" r:id="rId111"/>
    <sheet name="19.10.2025" sheetId="118" r:id="rId112"/>
    <sheet name="20.10.2025" sheetId="119" r:id="rId113"/>
    <sheet name="21.10.2025" sheetId="121" r:id="rId114"/>
    <sheet name="22.10.2025" sheetId="123" r:id="rId115"/>
    <sheet name="23.10.2025" sheetId="124" r:id="rId116"/>
    <sheet name="24.10.2025" sheetId="125" r:id="rId117"/>
    <sheet name="25.10.2025" sheetId="126" r:id="rId118"/>
    <sheet name="26.10.2025" sheetId="127" r:id="rId119"/>
    <sheet name="27.10.2025" sheetId="128" r:id="rId120"/>
    <sheet name="28.10.2025" sheetId="129" r:id="rId121"/>
    <sheet name="29.10.2025" sheetId="130" r:id="rId122"/>
    <sheet name="30.10.2025" sheetId="131" r:id="rId123"/>
    <sheet name="31.10.2025" sheetId="132" r:id="rId124"/>
    <sheet name="01.11.2025" sheetId="133" r:id="rId125"/>
    <sheet name="02.11.2025" sheetId="134" r:id="rId126"/>
    <sheet name="03.11.2025" sheetId="135" r:id="rId127"/>
    <sheet name="04.11.2025" sheetId="136" r:id="rId128"/>
    <sheet name="05.11.2025" sheetId="137" r:id="rId129"/>
    <sheet name="06.11.2025" sheetId="138" r:id="rId130"/>
    <sheet name="07.11.2025" sheetId="139" r:id="rId131"/>
    <sheet name="8.11.2025" sheetId="140" r:id="rId132"/>
    <sheet name="09.11.2025" sheetId="141" r:id="rId133"/>
    <sheet name="10.11.2025" sheetId="142" r:id="rId134"/>
    <sheet name="11.11.2025" sheetId="143" r:id="rId135"/>
    <sheet name="12.11.2025" sheetId="144" r:id="rId136"/>
    <sheet name="13.11.2025" sheetId="145" r:id="rId137"/>
    <sheet name="14.11.2025" sheetId="146" r:id="rId138"/>
    <sheet name="15.11.2025" sheetId="147" r:id="rId139"/>
    <sheet name="16.11.2025" sheetId="148" r:id="rId140"/>
    <sheet name="17.11.2025" sheetId="149" r:id="rId141"/>
    <sheet name="18.11.2025" sheetId="150" r:id="rId142"/>
    <sheet name="19.11.2025" sheetId="151" r:id="rId143"/>
    <sheet name="20.11.2025" sheetId="152" r:id="rId144"/>
    <sheet name="21.11.2025" sheetId="153" r:id="rId145"/>
    <sheet name="22.11.2025" sheetId="154" r:id="rId146"/>
    <sheet name="23.11.2025" sheetId="155" r:id="rId147"/>
    <sheet name="24.11.2025" sheetId="156" r:id="rId148"/>
    <sheet name="25.11.2025" sheetId="157" r:id="rId149"/>
    <sheet name="26.11.2025" sheetId="158" r:id="rId150"/>
    <sheet name="27.11.2025" sheetId="159" r:id="rId151"/>
    <sheet name="28.11.2025" sheetId="160" r:id="rId152"/>
    <sheet name="29.11.2025" sheetId="161" r:id="rId153"/>
    <sheet name="30.11.2025" sheetId="163" r:id="rId15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1" l="1"/>
  <c r="C6" i="160"/>
  <c r="C7" i="163"/>
  <c r="C6" i="163"/>
  <c r="D21" i="163"/>
  <c r="D20" i="163"/>
  <c r="D19" i="163"/>
  <c r="D18" i="163"/>
  <c r="D17" i="163"/>
  <c r="D16" i="163"/>
  <c r="D15" i="163"/>
  <c r="D14" i="163"/>
  <c r="D22" i="163" s="1"/>
  <c r="J11" i="163"/>
  <c r="I11" i="163"/>
  <c r="H11" i="163"/>
  <c r="G11" i="163"/>
  <c r="F11" i="163"/>
  <c r="E11" i="163"/>
  <c r="D11" i="163"/>
  <c r="B11" i="163"/>
  <c r="K10" i="163"/>
  <c r="K9" i="163"/>
  <c r="K8" i="163"/>
  <c r="K7" i="163"/>
  <c r="K5" i="163"/>
  <c r="K4" i="163"/>
  <c r="O21" i="161"/>
  <c r="O20" i="161"/>
  <c r="O19" i="161"/>
  <c r="O18" i="161"/>
  <c r="O17" i="161"/>
  <c r="O16" i="161"/>
  <c r="O15" i="161"/>
  <c r="O14" i="161"/>
  <c r="O22" i="161" s="1"/>
  <c r="C7" i="159"/>
  <c r="D24" i="161"/>
  <c r="C6" i="161"/>
  <c r="D21" i="161"/>
  <c r="D20" i="161"/>
  <c r="D19" i="161"/>
  <c r="D18" i="161"/>
  <c r="D17" i="161"/>
  <c r="D16" i="161"/>
  <c r="D15" i="161"/>
  <c r="D14" i="161"/>
  <c r="D22" i="161" s="1"/>
  <c r="J11" i="161"/>
  <c r="I11" i="161"/>
  <c r="H11" i="161"/>
  <c r="G11" i="161"/>
  <c r="F11" i="161"/>
  <c r="E11" i="161"/>
  <c r="D11" i="161"/>
  <c r="B11" i="161"/>
  <c r="K10" i="161"/>
  <c r="K9" i="161"/>
  <c r="K8" i="161"/>
  <c r="K7" i="161"/>
  <c r="K5" i="161"/>
  <c r="K4" i="161"/>
  <c r="D24" i="160"/>
  <c r="C7" i="160"/>
  <c r="D21" i="160"/>
  <c r="D20" i="160"/>
  <c r="D19" i="160"/>
  <c r="D18" i="160"/>
  <c r="D17" i="160"/>
  <c r="D16" i="160"/>
  <c r="D15" i="160"/>
  <c r="D14" i="160"/>
  <c r="D22" i="160" s="1"/>
  <c r="J11" i="160"/>
  <c r="I11" i="160"/>
  <c r="H11" i="160"/>
  <c r="G11" i="160"/>
  <c r="F11" i="160"/>
  <c r="E11" i="160"/>
  <c r="D11" i="160"/>
  <c r="B11" i="160"/>
  <c r="K10" i="160"/>
  <c r="K9" i="160"/>
  <c r="K8" i="160"/>
  <c r="K7" i="160"/>
  <c r="K5" i="160"/>
  <c r="K4" i="160"/>
  <c r="D24" i="159"/>
  <c r="C6" i="159"/>
  <c r="C10" i="159"/>
  <c r="D21" i="159"/>
  <c r="D20" i="159"/>
  <c r="D19" i="159"/>
  <c r="D18" i="159"/>
  <c r="D17" i="159"/>
  <c r="D16" i="159"/>
  <c r="D15" i="159"/>
  <c r="D14" i="159"/>
  <c r="J11" i="159"/>
  <c r="I11" i="159"/>
  <c r="H11" i="159"/>
  <c r="G11" i="159"/>
  <c r="F11" i="159"/>
  <c r="E11" i="159"/>
  <c r="D11" i="159"/>
  <c r="B11" i="159"/>
  <c r="K10" i="159"/>
  <c r="K9" i="159"/>
  <c r="K8" i="159"/>
  <c r="K7" i="159"/>
  <c r="K5" i="159"/>
  <c r="K4" i="159"/>
  <c r="D24" i="158"/>
  <c r="C7" i="158"/>
  <c r="C6" i="158"/>
  <c r="D21" i="158"/>
  <c r="D20" i="158"/>
  <c r="D19" i="158"/>
  <c r="D18" i="158"/>
  <c r="D17" i="158"/>
  <c r="D16" i="158"/>
  <c r="D15" i="158"/>
  <c r="D22" i="158" s="1"/>
  <c r="D14" i="158"/>
  <c r="J11" i="158"/>
  <c r="I11" i="158"/>
  <c r="H11" i="158"/>
  <c r="G11" i="158"/>
  <c r="F11" i="158"/>
  <c r="E11" i="158"/>
  <c r="D11" i="158"/>
  <c r="B11" i="158"/>
  <c r="K10" i="158"/>
  <c r="K9" i="158"/>
  <c r="K8" i="158"/>
  <c r="K7" i="158"/>
  <c r="O5" i="158"/>
  <c r="K5" i="158"/>
  <c r="N5" i="158" s="1"/>
  <c r="K4" i="158"/>
  <c r="O21" i="157"/>
  <c r="O20" i="157"/>
  <c r="O19" i="157"/>
  <c r="O18" i="157"/>
  <c r="O17" i="157"/>
  <c r="O16" i="157"/>
  <c r="O15" i="157"/>
  <c r="O14" i="157"/>
  <c r="O22" i="157" s="1"/>
  <c r="D24" i="157"/>
  <c r="C6" i="157"/>
  <c r="C7" i="157"/>
  <c r="D21" i="157"/>
  <c r="D20" i="157"/>
  <c r="D19" i="157"/>
  <c r="D18" i="157"/>
  <c r="D17" i="157"/>
  <c r="D16" i="157"/>
  <c r="D15" i="157"/>
  <c r="D14" i="157"/>
  <c r="D22" i="157" s="1"/>
  <c r="J11" i="157"/>
  <c r="I11" i="157"/>
  <c r="H11" i="157"/>
  <c r="G11" i="157"/>
  <c r="F11" i="157"/>
  <c r="E11" i="157"/>
  <c r="D11" i="157"/>
  <c r="B11" i="157"/>
  <c r="K10" i="157"/>
  <c r="K9" i="157"/>
  <c r="K8" i="157"/>
  <c r="K7" i="157"/>
  <c r="K5" i="157"/>
  <c r="K4" i="157"/>
  <c r="D24" i="156"/>
  <c r="C6" i="156"/>
  <c r="C7" i="156"/>
  <c r="D21" i="156"/>
  <c r="D20" i="156"/>
  <c r="D19" i="156"/>
  <c r="D18" i="156"/>
  <c r="D17" i="156"/>
  <c r="D16" i="156"/>
  <c r="D15" i="156"/>
  <c r="D14" i="156"/>
  <c r="J11" i="156"/>
  <c r="I11" i="156"/>
  <c r="H11" i="156"/>
  <c r="G11" i="156"/>
  <c r="F11" i="156"/>
  <c r="E11" i="156"/>
  <c r="D11" i="156"/>
  <c r="C11" i="156"/>
  <c r="B11" i="156"/>
  <c r="K10" i="156"/>
  <c r="K9" i="156"/>
  <c r="K8" i="156"/>
  <c r="K7" i="156"/>
  <c r="K6" i="156"/>
  <c r="K5" i="156"/>
  <c r="K4" i="156"/>
  <c r="C7" i="155"/>
  <c r="C6" i="155"/>
  <c r="D21" i="155"/>
  <c r="D20" i="155"/>
  <c r="D19" i="155"/>
  <c r="D18" i="155"/>
  <c r="D17" i="155"/>
  <c r="D16" i="155"/>
  <c r="D15" i="155"/>
  <c r="D22" i="155" s="1"/>
  <c r="D14" i="155"/>
  <c r="J11" i="155"/>
  <c r="I11" i="155"/>
  <c r="H11" i="155"/>
  <c r="G11" i="155"/>
  <c r="F11" i="155"/>
  <c r="E11" i="155"/>
  <c r="D11" i="155"/>
  <c r="B11" i="155"/>
  <c r="K10" i="155"/>
  <c r="K9" i="155"/>
  <c r="K8" i="155"/>
  <c r="K7" i="155"/>
  <c r="K6" i="155"/>
  <c r="C11" i="155"/>
  <c r="K5" i="155"/>
  <c r="K4" i="155"/>
  <c r="O21" i="154"/>
  <c r="O20" i="154"/>
  <c r="O19" i="154"/>
  <c r="O18" i="154"/>
  <c r="O17" i="154"/>
  <c r="O16" i="154"/>
  <c r="O15" i="154"/>
  <c r="O14" i="154"/>
  <c r="O22" i="154" s="1"/>
  <c r="D24" i="154"/>
  <c r="C7" i="154"/>
  <c r="C6" i="154"/>
  <c r="D21" i="154"/>
  <c r="D20" i="154"/>
  <c r="D19" i="154"/>
  <c r="D18" i="154"/>
  <c r="D17" i="154"/>
  <c r="D16" i="154"/>
  <c r="D15" i="154"/>
  <c r="D14" i="154"/>
  <c r="J11" i="154"/>
  <c r="I11" i="154"/>
  <c r="H11" i="154"/>
  <c r="G11" i="154"/>
  <c r="F11" i="154"/>
  <c r="E11" i="154"/>
  <c r="D11" i="154"/>
  <c r="B11" i="154"/>
  <c r="K10" i="154"/>
  <c r="K9" i="154"/>
  <c r="K8" i="154"/>
  <c r="K7" i="154"/>
  <c r="K5" i="154"/>
  <c r="K4" i="154"/>
  <c r="D24" i="153"/>
  <c r="C6" i="153"/>
  <c r="C7" i="153"/>
  <c r="D21" i="153"/>
  <c r="D20" i="153"/>
  <c r="D19" i="153"/>
  <c r="D18" i="153"/>
  <c r="D17" i="153"/>
  <c r="D16" i="153"/>
  <c r="D15" i="153"/>
  <c r="D14" i="153"/>
  <c r="D22" i="153" s="1"/>
  <c r="J11" i="153"/>
  <c r="I11" i="153"/>
  <c r="H11" i="153"/>
  <c r="G11" i="153"/>
  <c r="F11" i="153"/>
  <c r="E11" i="153"/>
  <c r="D11" i="153"/>
  <c r="B11" i="153"/>
  <c r="K10" i="153"/>
  <c r="K9" i="153"/>
  <c r="K8" i="153"/>
  <c r="K7" i="153"/>
  <c r="K5" i="153"/>
  <c r="K4" i="153"/>
  <c r="D24" i="152"/>
  <c r="C6" i="152"/>
  <c r="C7" i="152"/>
  <c r="D21" i="152"/>
  <c r="D20" i="152"/>
  <c r="D19" i="152"/>
  <c r="D18" i="152"/>
  <c r="D17" i="152"/>
  <c r="D16" i="152"/>
  <c r="D15" i="152"/>
  <c r="D14" i="152"/>
  <c r="D22" i="152" s="1"/>
  <c r="J11" i="152"/>
  <c r="I11" i="152"/>
  <c r="H11" i="152"/>
  <c r="G11" i="152"/>
  <c r="F11" i="152"/>
  <c r="E11" i="152"/>
  <c r="D11" i="152"/>
  <c r="B11" i="152"/>
  <c r="K10" i="152"/>
  <c r="K9" i="152"/>
  <c r="K8" i="152"/>
  <c r="K6" i="152"/>
  <c r="K5" i="152"/>
  <c r="K4" i="152"/>
  <c r="D24" i="151"/>
  <c r="C7" i="151"/>
  <c r="D21" i="151"/>
  <c r="D20" i="151"/>
  <c r="D19" i="151"/>
  <c r="D18" i="151"/>
  <c r="D17" i="151"/>
  <c r="D16" i="151"/>
  <c r="D15" i="151"/>
  <c r="D14" i="151"/>
  <c r="D22" i="151" s="1"/>
  <c r="J11" i="151"/>
  <c r="I11" i="151"/>
  <c r="H11" i="151"/>
  <c r="G11" i="151"/>
  <c r="F11" i="151"/>
  <c r="E11" i="151"/>
  <c r="D11" i="151"/>
  <c r="B11" i="151"/>
  <c r="K10" i="151"/>
  <c r="K9" i="151"/>
  <c r="K8" i="151"/>
  <c r="K6" i="151"/>
  <c r="K5" i="151"/>
  <c r="K4" i="151"/>
  <c r="D24" i="150"/>
  <c r="C7" i="150"/>
  <c r="C10" i="150"/>
  <c r="D21" i="150"/>
  <c r="D20" i="150"/>
  <c r="D19" i="150"/>
  <c r="D18" i="150"/>
  <c r="D17" i="150"/>
  <c r="D16" i="150"/>
  <c r="D15" i="150"/>
  <c r="D14" i="150"/>
  <c r="D22" i="150" s="1"/>
  <c r="J11" i="150"/>
  <c r="I11" i="150"/>
  <c r="H11" i="150"/>
  <c r="G11" i="150"/>
  <c r="F11" i="150"/>
  <c r="E11" i="150"/>
  <c r="D11" i="150"/>
  <c r="B11" i="150"/>
  <c r="K10" i="150"/>
  <c r="K9" i="150"/>
  <c r="K8" i="150"/>
  <c r="K7" i="150"/>
  <c r="C11" i="150"/>
  <c r="K6" i="150"/>
  <c r="K5" i="150"/>
  <c r="K4" i="150"/>
  <c r="C7" i="149"/>
  <c r="D21" i="149"/>
  <c r="D20" i="149"/>
  <c r="D19" i="149"/>
  <c r="D18" i="149"/>
  <c r="D17" i="149"/>
  <c r="D16" i="149"/>
  <c r="D15" i="149"/>
  <c r="D14" i="149"/>
  <c r="J11" i="149"/>
  <c r="I11" i="149"/>
  <c r="H11" i="149"/>
  <c r="G11" i="149"/>
  <c r="F11" i="149"/>
  <c r="E11" i="149"/>
  <c r="D11" i="149"/>
  <c r="B11" i="149"/>
  <c r="K10" i="149"/>
  <c r="K9" i="149"/>
  <c r="K8" i="149"/>
  <c r="K7" i="149"/>
  <c r="K5" i="149"/>
  <c r="K4" i="149"/>
  <c r="C7" i="148"/>
  <c r="C6" i="148"/>
  <c r="D21" i="148"/>
  <c r="D20" i="148"/>
  <c r="D19" i="148"/>
  <c r="D18" i="148"/>
  <c r="D17" i="148"/>
  <c r="D16" i="148"/>
  <c r="D15" i="148"/>
  <c r="D22" i="148" s="1"/>
  <c r="D14" i="148"/>
  <c r="J11" i="148"/>
  <c r="I11" i="148"/>
  <c r="H11" i="148"/>
  <c r="G11" i="148"/>
  <c r="F11" i="148"/>
  <c r="E11" i="148"/>
  <c r="D11" i="148"/>
  <c r="B11" i="148"/>
  <c r="K10" i="148"/>
  <c r="K9" i="148"/>
  <c r="K8" i="148"/>
  <c r="K7" i="148"/>
  <c r="K5" i="148"/>
  <c r="K4" i="148"/>
  <c r="O21" i="147"/>
  <c r="O20" i="147"/>
  <c r="O19" i="147"/>
  <c r="O18" i="147"/>
  <c r="O17" i="147"/>
  <c r="O16" i="147"/>
  <c r="O15" i="147"/>
  <c r="O14" i="147"/>
  <c r="D24" i="147"/>
  <c r="C7" i="147"/>
  <c r="C6" i="147"/>
  <c r="D21" i="147"/>
  <c r="D20" i="147"/>
  <c r="D19" i="147"/>
  <c r="D18" i="147"/>
  <c r="D17" i="147"/>
  <c r="D16" i="147"/>
  <c r="D15" i="147"/>
  <c r="D14" i="147"/>
  <c r="D22" i="147" s="1"/>
  <c r="J11" i="147"/>
  <c r="I11" i="147"/>
  <c r="H11" i="147"/>
  <c r="G11" i="147"/>
  <c r="F11" i="147"/>
  <c r="E11" i="147"/>
  <c r="D11" i="147"/>
  <c r="B11" i="147"/>
  <c r="K10" i="147"/>
  <c r="K9" i="147"/>
  <c r="K8" i="147"/>
  <c r="K7" i="147"/>
  <c r="K5" i="147"/>
  <c r="K4" i="147"/>
  <c r="D24" i="146"/>
  <c r="C6" i="146"/>
  <c r="C7" i="146"/>
  <c r="D21" i="146"/>
  <c r="D20" i="146"/>
  <c r="D19" i="146"/>
  <c r="D18" i="146"/>
  <c r="D17" i="146"/>
  <c r="D16" i="146"/>
  <c r="D15" i="146"/>
  <c r="D14" i="146"/>
  <c r="D22" i="146" s="1"/>
  <c r="J11" i="146"/>
  <c r="I11" i="146"/>
  <c r="H11" i="146"/>
  <c r="G11" i="146"/>
  <c r="F11" i="146"/>
  <c r="E11" i="146"/>
  <c r="D11" i="146"/>
  <c r="B11" i="146"/>
  <c r="K10" i="146"/>
  <c r="K9" i="146"/>
  <c r="K8" i="146"/>
  <c r="K6" i="146"/>
  <c r="K5" i="146"/>
  <c r="K4" i="146"/>
  <c r="D24" i="145"/>
  <c r="C7" i="145"/>
  <c r="C10" i="145"/>
  <c r="D21" i="145"/>
  <c r="D20" i="145"/>
  <c r="D19" i="145"/>
  <c r="D18" i="145"/>
  <c r="D17" i="145"/>
  <c r="D16" i="145"/>
  <c r="D15" i="145"/>
  <c r="D14" i="145"/>
  <c r="D22" i="145" s="1"/>
  <c r="J11" i="145"/>
  <c r="I11" i="145"/>
  <c r="H11" i="145"/>
  <c r="G11" i="145"/>
  <c r="F11" i="145"/>
  <c r="E11" i="145"/>
  <c r="D11" i="145"/>
  <c r="B11" i="145"/>
  <c r="K9" i="145"/>
  <c r="K8" i="145"/>
  <c r="K7" i="145"/>
  <c r="K6" i="145"/>
  <c r="K5" i="145"/>
  <c r="K4" i="145"/>
  <c r="D24" i="144"/>
  <c r="C10" i="144"/>
  <c r="D21" i="144"/>
  <c r="D20" i="144"/>
  <c r="D19" i="144"/>
  <c r="D18" i="144"/>
  <c r="D17" i="144"/>
  <c r="D16" i="144"/>
  <c r="D15" i="144"/>
  <c r="D14" i="144"/>
  <c r="J11" i="144"/>
  <c r="I11" i="144"/>
  <c r="H11" i="144"/>
  <c r="G11" i="144"/>
  <c r="F11" i="144"/>
  <c r="E11" i="144"/>
  <c r="D11" i="144"/>
  <c r="B11" i="144"/>
  <c r="K10" i="144"/>
  <c r="K9" i="144"/>
  <c r="K8" i="144"/>
  <c r="K7" i="144"/>
  <c r="K5" i="144"/>
  <c r="K4" i="144"/>
  <c r="D24" i="143"/>
  <c r="C7" i="143"/>
  <c r="C6" i="143"/>
  <c r="D21" i="143"/>
  <c r="D20" i="143"/>
  <c r="D19" i="143"/>
  <c r="D18" i="143"/>
  <c r="D17" i="143"/>
  <c r="D16" i="143"/>
  <c r="D15" i="143"/>
  <c r="D14" i="143"/>
  <c r="D22" i="143" s="1"/>
  <c r="J11" i="143"/>
  <c r="I11" i="143"/>
  <c r="H11" i="143"/>
  <c r="G11" i="143"/>
  <c r="F11" i="143"/>
  <c r="E11" i="143"/>
  <c r="D11" i="143"/>
  <c r="B11" i="143"/>
  <c r="K10" i="143"/>
  <c r="K9" i="143"/>
  <c r="K8" i="143"/>
  <c r="K6" i="143"/>
  <c r="K5" i="143"/>
  <c r="K4" i="143"/>
  <c r="D24" i="142"/>
  <c r="C7" i="142"/>
  <c r="D21" i="142"/>
  <c r="D20" i="142"/>
  <c r="D19" i="142"/>
  <c r="D18" i="142"/>
  <c r="D17" i="142"/>
  <c r="D16" i="142"/>
  <c r="D15" i="142"/>
  <c r="D14" i="142"/>
  <c r="D22" i="142" s="1"/>
  <c r="J11" i="142"/>
  <c r="I11" i="142"/>
  <c r="H11" i="142"/>
  <c r="G11" i="142"/>
  <c r="F11" i="142"/>
  <c r="E11" i="142"/>
  <c r="D11" i="142"/>
  <c r="B11" i="142"/>
  <c r="K10" i="142"/>
  <c r="K9" i="142"/>
  <c r="K8" i="142"/>
  <c r="K7" i="142"/>
  <c r="K6" i="142"/>
  <c r="C11" i="142"/>
  <c r="K5" i="142"/>
  <c r="O4" i="142"/>
  <c r="K4" i="142"/>
  <c r="C7" i="141"/>
  <c r="C6" i="141"/>
  <c r="D21" i="141"/>
  <c r="D20" i="141"/>
  <c r="D19" i="141"/>
  <c r="D18" i="141"/>
  <c r="D17" i="141"/>
  <c r="D16" i="141"/>
  <c r="D15" i="141"/>
  <c r="D14" i="141"/>
  <c r="D22" i="141" s="1"/>
  <c r="J11" i="141"/>
  <c r="I11" i="141"/>
  <c r="H11" i="141"/>
  <c r="G11" i="141"/>
  <c r="F11" i="141"/>
  <c r="E11" i="141"/>
  <c r="D11" i="141"/>
  <c r="B11" i="141"/>
  <c r="O10" i="141"/>
  <c r="N10" i="141"/>
  <c r="K10" i="141"/>
  <c r="K9" i="141"/>
  <c r="K8" i="141"/>
  <c r="K7" i="141"/>
  <c r="K5" i="141"/>
  <c r="K4" i="141"/>
  <c r="D24" i="140"/>
  <c r="O21" i="140"/>
  <c r="O20" i="140"/>
  <c r="O19" i="140"/>
  <c r="O18" i="140"/>
  <c r="O17" i="140"/>
  <c r="O16" i="140"/>
  <c r="O15" i="140"/>
  <c r="O14" i="140"/>
  <c r="O22" i="140" s="1"/>
  <c r="C7" i="140"/>
  <c r="C6" i="140"/>
  <c r="D21" i="140"/>
  <c r="D20" i="140"/>
  <c r="D19" i="140"/>
  <c r="D18" i="140"/>
  <c r="D17" i="140"/>
  <c r="D16" i="140"/>
  <c r="D15" i="140"/>
  <c r="D14" i="140"/>
  <c r="J11" i="140"/>
  <c r="I11" i="140"/>
  <c r="H11" i="140"/>
  <c r="G11" i="140"/>
  <c r="F11" i="140"/>
  <c r="E11" i="140"/>
  <c r="D11" i="140"/>
  <c r="B11" i="140"/>
  <c r="K10" i="140"/>
  <c r="K9" i="140"/>
  <c r="K8" i="140"/>
  <c r="K7" i="140"/>
  <c r="K5" i="140"/>
  <c r="K4" i="140"/>
  <c r="D24" i="139"/>
  <c r="C6" i="139"/>
  <c r="C7" i="139"/>
  <c r="D21" i="139"/>
  <c r="D20" i="139"/>
  <c r="D19" i="139"/>
  <c r="D18" i="139"/>
  <c r="D17" i="139"/>
  <c r="D16" i="139"/>
  <c r="D15" i="139"/>
  <c r="D14" i="139"/>
  <c r="D22" i="139" s="1"/>
  <c r="J11" i="139"/>
  <c r="I11" i="139"/>
  <c r="H11" i="139"/>
  <c r="G11" i="139"/>
  <c r="F11" i="139"/>
  <c r="E11" i="139"/>
  <c r="D11" i="139"/>
  <c r="B11" i="139"/>
  <c r="K10" i="139"/>
  <c r="K9" i="139"/>
  <c r="K8" i="139"/>
  <c r="K7" i="139"/>
  <c r="K5" i="139"/>
  <c r="K4" i="139"/>
  <c r="D24" i="138"/>
  <c r="C6" i="138"/>
  <c r="C7" i="138"/>
  <c r="K7" i="138" s="1"/>
  <c r="D21" i="138"/>
  <c r="D20" i="138"/>
  <c r="D19" i="138"/>
  <c r="D18" i="138"/>
  <c r="D17" i="138"/>
  <c r="D16" i="138"/>
  <c r="D15" i="138"/>
  <c r="D14" i="138"/>
  <c r="D22" i="138" s="1"/>
  <c r="J11" i="138"/>
  <c r="I11" i="138"/>
  <c r="H11" i="138"/>
  <c r="G11" i="138"/>
  <c r="F11" i="138"/>
  <c r="E11" i="138"/>
  <c r="D11" i="138"/>
  <c r="B11" i="138"/>
  <c r="K10" i="138"/>
  <c r="K9" i="138"/>
  <c r="K8" i="138"/>
  <c r="K5" i="138"/>
  <c r="K4" i="138"/>
  <c r="D24" i="137"/>
  <c r="C6" i="137"/>
  <c r="D21" i="137"/>
  <c r="D20" i="137"/>
  <c r="D19" i="137"/>
  <c r="D18" i="137"/>
  <c r="D17" i="137"/>
  <c r="D16" i="137"/>
  <c r="D15" i="137"/>
  <c r="D14" i="137"/>
  <c r="J11" i="137"/>
  <c r="I11" i="137"/>
  <c r="H11" i="137"/>
  <c r="G11" i="137"/>
  <c r="F11" i="137"/>
  <c r="E11" i="137"/>
  <c r="D11" i="137"/>
  <c r="B11" i="137"/>
  <c r="O10" i="137"/>
  <c r="K10" i="137"/>
  <c r="N10" i="137" s="1"/>
  <c r="K9" i="137"/>
  <c r="K8" i="137"/>
  <c r="K6" i="137"/>
  <c r="K5" i="137"/>
  <c r="K4" i="137"/>
  <c r="D24" i="136"/>
  <c r="C7" i="136"/>
  <c r="D21" i="136"/>
  <c r="D20" i="136"/>
  <c r="D19" i="136"/>
  <c r="D18" i="136"/>
  <c r="D17" i="136"/>
  <c r="D16" i="136"/>
  <c r="D15" i="136"/>
  <c r="D14" i="136"/>
  <c r="J11" i="136"/>
  <c r="I11" i="136"/>
  <c r="H11" i="136"/>
  <c r="G11" i="136"/>
  <c r="F11" i="136"/>
  <c r="E11" i="136"/>
  <c r="D11" i="136"/>
  <c r="B11" i="136"/>
  <c r="K10" i="136"/>
  <c r="K9" i="136"/>
  <c r="K8" i="136"/>
  <c r="K7" i="136"/>
  <c r="K5" i="136"/>
  <c r="K4" i="136"/>
  <c r="D24" i="135"/>
  <c r="C7" i="135"/>
  <c r="C8" i="135"/>
  <c r="C6" i="135"/>
  <c r="D21" i="135"/>
  <c r="D20" i="135"/>
  <c r="D19" i="135"/>
  <c r="D18" i="135"/>
  <c r="D17" i="135"/>
  <c r="D16" i="135"/>
  <c r="D15" i="135"/>
  <c r="D14" i="135"/>
  <c r="D22" i="135" s="1"/>
  <c r="J11" i="135"/>
  <c r="I11" i="135"/>
  <c r="H11" i="135"/>
  <c r="G11" i="135"/>
  <c r="F11" i="135"/>
  <c r="E11" i="135"/>
  <c r="D11" i="135"/>
  <c r="C11" i="135"/>
  <c r="B11" i="135"/>
  <c r="K10" i="135"/>
  <c r="O9" i="135"/>
  <c r="K9" i="135"/>
  <c r="N9" i="135" s="1"/>
  <c r="K8" i="135"/>
  <c r="K7" i="135"/>
  <c r="K6" i="135"/>
  <c r="K5" i="135"/>
  <c r="K4" i="135"/>
  <c r="C8" i="134"/>
  <c r="C11" i="134" s="1"/>
  <c r="D21" i="134"/>
  <c r="D20" i="134"/>
  <c r="D19" i="134"/>
  <c r="D18" i="134"/>
  <c r="D17" i="134"/>
  <c r="D16" i="134"/>
  <c r="D15" i="134"/>
  <c r="D14" i="134"/>
  <c r="J11" i="134"/>
  <c r="I11" i="134"/>
  <c r="H11" i="134"/>
  <c r="G11" i="134"/>
  <c r="F11" i="134"/>
  <c r="E11" i="134"/>
  <c r="D11" i="134"/>
  <c r="B11" i="134"/>
  <c r="K10" i="134"/>
  <c r="K9" i="134"/>
  <c r="K8" i="134"/>
  <c r="K7" i="134"/>
  <c r="K6" i="134"/>
  <c r="K5" i="134"/>
  <c r="K4" i="134"/>
  <c r="N21" i="133"/>
  <c r="N20" i="133"/>
  <c r="N19" i="133"/>
  <c r="N18" i="133"/>
  <c r="N17" i="133"/>
  <c r="N16" i="133"/>
  <c r="N15" i="133"/>
  <c r="N14" i="133"/>
  <c r="N22" i="133" s="1"/>
  <c r="D24" i="133"/>
  <c r="C8" i="133"/>
  <c r="C6" i="133"/>
  <c r="C7" i="133"/>
  <c r="D21" i="133"/>
  <c r="D20" i="133"/>
  <c r="D19" i="133"/>
  <c r="D18" i="133"/>
  <c r="D17" i="133"/>
  <c r="D16" i="133"/>
  <c r="D15" i="133"/>
  <c r="D14" i="133"/>
  <c r="J11" i="133"/>
  <c r="I11" i="133"/>
  <c r="H11" i="133"/>
  <c r="G11" i="133"/>
  <c r="F11" i="133"/>
  <c r="E11" i="133"/>
  <c r="D11" i="133"/>
  <c r="C11" i="133"/>
  <c r="B11" i="133"/>
  <c r="K10" i="133"/>
  <c r="K9" i="133"/>
  <c r="K8" i="133"/>
  <c r="K7" i="133"/>
  <c r="K6" i="133"/>
  <c r="K5" i="133"/>
  <c r="K4" i="133"/>
  <c r="D24" i="132"/>
  <c r="C6" i="132"/>
  <c r="B11" i="132"/>
  <c r="C8" i="132"/>
  <c r="D21" i="132"/>
  <c r="D20" i="132"/>
  <c r="D19" i="132"/>
  <c r="D18" i="132"/>
  <c r="D17" i="132"/>
  <c r="D16" i="132"/>
  <c r="D15" i="132"/>
  <c r="D14" i="132"/>
  <c r="J11" i="132"/>
  <c r="I11" i="132"/>
  <c r="H11" i="132"/>
  <c r="G11" i="132"/>
  <c r="F11" i="132"/>
  <c r="E11" i="132"/>
  <c r="D11" i="132"/>
  <c r="K10" i="132"/>
  <c r="K9" i="132"/>
  <c r="K8" i="132"/>
  <c r="K7" i="132"/>
  <c r="K5" i="132"/>
  <c r="N4" i="132"/>
  <c r="K4" i="132"/>
  <c r="O4" i="132" s="1"/>
  <c r="D24" i="131"/>
  <c r="C9" i="131"/>
  <c r="C6" i="131"/>
  <c r="C8" i="131"/>
  <c r="D21" i="131"/>
  <c r="D20" i="131"/>
  <c r="D19" i="131"/>
  <c r="D18" i="131"/>
  <c r="D17" i="131"/>
  <c r="D16" i="131"/>
  <c r="D15" i="131"/>
  <c r="D14" i="131"/>
  <c r="D22" i="131" s="1"/>
  <c r="J11" i="131"/>
  <c r="I11" i="131"/>
  <c r="H11" i="131"/>
  <c r="G11" i="131"/>
  <c r="F11" i="131"/>
  <c r="E11" i="131"/>
  <c r="D11" i="131"/>
  <c r="B11" i="131"/>
  <c r="K10" i="131"/>
  <c r="K9" i="131"/>
  <c r="K8" i="131"/>
  <c r="K7" i="131"/>
  <c r="K5" i="131"/>
  <c r="K4" i="131"/>
  <c r="D24" i="130"/>
  <c r="C6" i="130"/>
  <c r="C9" i="130"/>
  <c r="D21" i="130"/>
  <c r="D20" i="130"/>
  <c r="D19" i="130"/>
  <c r="D18" i="130"/>
  <c r="D17" i="130"/>
  <c r="D16" i="130"/>
  <c r="D15" i="130"/>
  <c r="D14" i="130"/>
  <c r="D22" i="130" s="1"/>
  <c r="J11" i="130"/>
  <c r="I11" i="130"/>
  <c r="H11" i="130"/>
  <c r="G11" i="130"/>
  <c r="F11" i="130"/>
  <c r="E11" i="130"/>
  <c r="D11" i="130"/>
  <c r="B11" i="130"/>
  <c r="K10" i="130"/>
  <c r="K8" i="130"/>
  <c r="K7" i="130"/>
  <c r="K6" i="130"/>
  <c r="K5" i="130"/>
  <c r="K4" i="130"/>
  <c r="N21" i="129"/>
  <c r="N20" i="129"/>
  <c r="N19" i="129"/>
  <c r="N18" i="129"/>
  <c r="N17" i="129"/>
  <c r="N16" i="129"/>
  <c r="N15" i="129"/>
  <c r="N14" i="129"/>
  <c r="N22" i="129" s="1"/>
  <c r="D24" i="129"/>
  <c r="C9" i="129"/>
  <c r="C10" i="129"/>
  <c r="K10" i="129" s="1"/>
  <c r="D21" i="129"/>
  <c r="D20" i="129"/>
  <c r="D19" i="129"/>
  <c r="D18" i="129"/>
  <c r="D17" i="129"/>
  <c r="D16" i="129"/>
  <c r="D15" i="129"/>
  <c r="D14" i="129"/>
  <c r="D22" i="129" s="1"/>
  <c r="J11" i="129"/>
  <c r="I11" i="129"/>
  <c r="H11" i="129"/>
  <c r="G11" i="129"/>
  <c r="F11" i="129"/>
  <c r="E11" i="129"/>
  <c r="D11" i="129"/>
  <c r="B11" i="129"/>
  <c r="K9" i="129"/>
  <c r="K8" i="129"/>
  <c r="K7" i="129"/>
  <c r="K5" i="129"/>
  <c r="K4" i="129"/>
  <c r="C6" i="128"/>
  <c r="D21" i="128"/>
  <c r="D20" i="128"/>
  <c r="D19" i="128"/>
  <c r="D22" i="128" s="1"/>
  <c r="D18" i="128"/>
  <c r="D17" i="128"/>
  <c r="D16" i="128"/>
  <c r="D15" i="128"/>
  <c r="D14" i="128"/>
  <c r="J11" i="128"/>
  <c r="I11" i="128"/>
  <c r="H11" i="128"/>
  <c r="G11" i="128"/>
  <c r="F11" i="128"/>
  <c r="E11" i="128"/>
  <c r="D11" i="128"/>
  <c r="C11" i="128"/>
  <c r="B11" i="128"/>
  <c r="K10" i="128"/>
  <c r="K9" i="128"/>
  <c r="K8" i="128"/>
  <c r="K7" i="128"/>
  <c r="K6" i="128"/>
  <c r="K5" i="128"/>
  <c r="K4" i="128"/>
  <c r="C6" i="127"/>
  <c r="C9" i="127"/>
  <c r="D21" i="127"/>
  <c r="D20" i="127"/>
  <c r="D19" i="127"/>
  <c r="D18" i="127"/>
  <c r="D17" i="127"/>
  <c r="D16" i="127"/>
  <c r="D15" i="127"/>
  <c r="D14" i="127"/>
  <c r="D22" i="127" s="1"/>
  <c r="J11" i="127"/>
  <c r="I11" i="127"/>
  <c r="H11" i="127"/>
  <c r="G11" i="127"/>
  <c r="F11" i="127"/>
  <c r="E11" i="127"/>
  <c r="D11" i="127"/>
  <c r="B11" i="127"/>
  <c r="K10" i="127"/>
  <c r="K9" i="127"/>
  <c r="K8" i="127"/>
  <c r="N7" i="127"/>
  <c r="K7" i="127"/>
  <c r="O7" i="127" s="1"/>
  <c r="K5" i="127"/>
  <c r="K4" i="127"/>
  <c r="D24" i="126"/>
  <c r="C6" i="126"/>
  <c r="C9" i="126"/>
  <c r="O21" i="126"/>
  <c r="D21" i="126"/>
  <c r="O20" i="126"/>
  <c r="D20" i="126"/>
  <c r="O19" i="126"/>
  <c r="D19" i="126"/>
  <c r="O18" i="126"/>
  <c r="D18" i="126"/>
  <c r="O17" i="126"/>
  <c r="D17" i="126"/>
  <c r="O16" i="126"/>
  <c r="D16" i="126"/>
  <c r="O15" i="126"/>
  <c r="D15" i="126"/>
  <c r="O14" i="126"/>
  <c r="O22" i="126" s="1"/>
  <c r="D14" i="126"/>
  <c r="D22" i="126" s="1"/>
  <c r="J11" i="126"/>
  <c r="I11" i="126"/>
  <c r="H11" i="126"/>
  <c r="G11" i="126"/>
  <c r="F11" i="126"/>
  <c r="E11" i="126"/>
  <c r="D11" i="126"/>
  <c r="B11" i="126"/>
  <c r="K10" i="126"/>
  <c r="K9" i="126"/>
  <c r="K8" i="126"/>
  <c r="K7" i="126"/>
  <c r="K5" i="126"/>
  <c r="K4" i="126"/>
  <c r="O21" i="125"/>
  <c r="O20" i="125"/>
  <c r="O19" i="125"/>
  <c r="O18" i="125"/>
  <c r="O17" i="125"/>
  <c r="O16" i="125"/>
  <c r="O15" i="125"/>
  <c r="O14" i="125"/>
  <c r="O22" i="125" s="1"/>
  <c r="D24" i="125"/>
  <c r="C6" i="125"/>
  <c r="C9" i="125"/>
  <c r="D21" i="125"/>
  <c r="D20" i="125"/>
  <c r="D19" i="125"/>
  <c r="D18" i="125"/>
  <c r="D17" i="125"/>
  <c r="D16" i="125"/>
  <c r="D15" i="125"/>
  <c r="D14" i="125"/>
  <c r="J11" i="125"/>
  <c r="I11" i="125"/>
  <c r="H11" i="125"/>
  <c r="G11" i="125"/>
  <c r="F11" i="125"/>
  <c r="E11" i="125"/>
  <c r="D11" i="125"/>
  <c r="B11" i="125"/>
  <c r="K10" i="125"/>
  <c r="K8" i="125"/>
  <c r="K7" i="125"/>
  <c r="K6" i="125"/>
  <c r="K5" i="125"/>
  <c r="K4" i="125"/>
  <c r="D24" i="124"/>
  <c r="C10" i="124"/>
  <c r="C9" i="124"/>
  <c r="C6" i="124"/>
  <c r="D21" i="124"/>
  <c r="D20" i="124"/>
  <c r="D19" i="124"/>
  <c r="D18" i="124"/>
  <c r="D17" i="124"/>
  <c r="D16" i="124"/>
  <c r="D15" i="124"/>
  <c r="D14" i="124"/>
  <c r="D22" i="124" s="1"/>
  <c r="J11" i="124"/>
  <c r="I11" i="124"/>
  <c r="H11" i="124"/>
  <c r="G11" i="124"/>
  <c r="F11" i="124"/>
  <c r="E11" i="124"/>
  <c r="D11" i="124"/>
  <c r="B11" i="124"/>
  <c r="K9" i="124"/>
  <c r="K8" i="124"/>
  <c r="K7" i="124"/>
  <c r="K6" i="124"/>
  <c r="K5" i="124"/>
  <c r="K4" i="124"/>
  <c r="C10" i="123"/>
  <c r="D24" i="123"/>
  <c r="D21" i="123"/>
  <c r="D20" i="123"/>
  <c r="D19" i="123"/>
  <c r="D18" i="123"/>
  <c r="D17" i="123"/>
  <c r="D16" i="123"/>
  <c r="D15" i="123"/>
  <c r="D14" i="123"/>
  <c r="D22" i="123" s="1"/>
  <c r="J11" i="123"/>
  <c r="I11" i="123"/>
  <c r="H11" i="123"/>
  <c r="G11" i="123"/>
  <c r="F11" i="123"/>
  <c r="E11" i="123"/>
  <c r="D11" i="123"/>
  <c r="B11" i="123"/>
  <c r="K10" i="123"/>
  <c r="K9" i="123"/>
  <c r="K8" i="123"/>
  <c r="K7" i="123"/>
  <c r="K5" i="123"/>
  <c r="K4" i="123"/>
  <c r="D24" i="121"/>
  <c r="C10" i="118"/>
  <c r="C6" i="118"/>
  <c r="N21" i="121"/>
  <c r="N20" i="121"/>
  <c r="N19" i="121"/>
  <c r="N18" i="121"/>
  <c r="N17" i="121"/>
  <c r="N16" i="121"/>
  <c r="N15" i="121"/>
  <c r="N14" i="121"/>
  <c r="N22" i="121" s="1"/>
  <c r="D24" i="119"/>
  <c r="C6" i="121"/>
  <c r="D21" i="121"/>
  <c r="D20" i="121"/>
  <c r="D19" i="121"/>
  <c r="D18" i="121"/>
  <c r="D17" i="121"/>
  <c r="D16" i="121"/>
  <c r="D15" i="121"/>
  <c r="D14" i="121"/>
  <c r="D22" i="121" s="1"/>
  <c r="J11" i="121"/>
  <c r="I11" i="121"/>
  <c r="H11" i="121"/>
  <c r="G11" i="121"/>
  <c r="F11" i="121"/>
  <c r="E11" i="121"/>
  <c r="D11" i="121"/>
  <c r="B11" i="121"/>
  <c r="N10" i="121"/>
  <c r="K10" i="121"/>
  <c r="O10" i="121" s="1"/>
  <c r="K9" i="121"/>
  <c r="K8" i="121"/>
  <c r="K7" i="121"/>
  <c r="K5" i="121"/>
  <c r="K4" i="121"/>
  <c r="C6" i="119"/>
  <c r="C7" i="119"/>
  <c r="K7" i="119" s="1"/>
  <c r="D21" i="119"/>
  <c r="D20" i="119"/>
  <c r="D19" i="119"/>
  <c r="D18" i="119"/>
  <c r="D17" i="119"/>
  <c r="D16" i="119"/>
  <c r="D15" i="119"/>
  <c r="D14" i="119"/>
  <c r="D22" i="119" s="1"/>
  <c r="J11" i="119"/>
  <c r="I11" i="119"/>
  <c r="H11" i="119"/>
  <c r="G11" i="119"/>
  <c r="F11" i="119"/>
  <c r="E11" i="119"/>
  <c r="D11" i="119"/>
  <c r="B11" i="119"/>
  <c r="K10" i="119"/>
  <c r="K9" i="119"/>
  <c r="K8" i="119"/>
  <c r="K5" i="119"/>
  <c r="K4" i="119"/>
  <c r="D21" i="118"/>
  <c r="D20" i="118"/>
  <c r="D19" i="118"/>
  <c r="D18" i="118"/>
  <c r="D17" i="118"/>
  <c r="D16" i="118"/>
  <c r="D15" i="118"/>
  <c r="D14" i="118"/>
  <c r="D22" i="118" s="1"/>
  <c r="J11" i="118"/>
  <c r="I11" i="118"/>
  <c r="H11" i="118"/>
  <c r="G11" i="118"/>
  <c r="F11" i="118"/>
  <c r="E11" i="118"/>
  <c r="D11" i="118"/>
  <c r="B11" i="118"/>
  <c r="K10" i="118"/>
  <c r="K9" i="118"/>
  <c r="K8" i="118"/>
  <c r="K7" i="118"/>
  <c r="K5" i="118"/>
  <c r="K4" i="118"/>
  <c r="N21" i="117"/>
  <c r="N20" i="117"/>
  <c r="N19" i="117"/>
  <c r="N18" i="117"/>
  <c r="N17" i="117"/>
  <c r="N16" i="117"/>
  <c r="N15" i="117"/>
  <c r="N14" i="117"/>
  <c r="N22" i="117" s="1"/>
  <c r="D24" i="117"/>
  <c r="D24" i="116"/>
  <c r="C7" i="117"/>
  <c r="K7" i="117" s="1"/>
  <c r="C6" i="117"/>
  <c r="D21" i="117"/>
  <c r="D20" i="117"/>
  <c r="D19" i="117"/>
  <c r="D18" i="117"/>
  <c r="D17" i="117"/>
  <c r="D16" i="117"/>
  <c r="D15" i="117"/>
  <c r="D14" i="117"/>
  <c r="D22" i="117" s="1"/>
  <c r="J11" i="117"/>
  <c r="I11" i="117"/>
  <c r="H11" i="117"/>
  <c r="G11" i="117"/>
  <c r="F11" i="117"/>
  <c r="E11" i="117"/>
  <c r="D11" i="117"/>
  <c r="B11" i="117"/>
  <c r="K10" i="117"/>
  <c r="K9" i="117"/>
  <c r="K8" i="117"/>
  <c r="K5" i="117"/>
  <c r="K4" i="117"/>
  <c r="C10" i="116"/>
  <c r="K10" i="116"/>
  <c r="C6" i="116"/>
  <c r="C7" i="116"/>
  <c r="D21" i="116"/>
  <c r="D20" i="116"/>
  <c r="D19" i="116"/>
  <c r="D18" i="116"/>
  <c r="D17" i="116"/>
  <c r="D16" i="116"/>
  <c r="D15" i="116"/>
  <c r="D22" i="116" s="1"/>
  <c r="D14" i="116"/>
  <c r="J11" i="116"/>
  <c r="I11" i="116"/>
  <c r="H11" i="116"/>
  <c r="G11" i="116"/>
  <c r="F11" i="116"/>
  <c r="E11" i="116"/>
  <c r="D11" i="116"/>
  <c r="B11" i="116"/>
  <c r="K9" i="116"/>
  <c r="K8" i="116"/>
  <c r="K7" i="116"/>
  <c r="K5" i="116"/>
  <c r="K4" i="116"/>
  <c r="D24" i="115"/>
  <c r="C10" i="115"/>
  <c r="C6" i="115"/>
  <c r="C7" i="115"/>
  <c r="D21" i="115"/>
  <c r="D20" i="115"/>
  <c r="D19" i="115"/>
  <c r="D18" i="115"/>
  <c r="D17" i="115"/>
  <c r="D16" i="115"/>
  <c r="D15" i="115"/>
  <c r="D14" i="115"/>
  <c r="J11" i="115"/>
  <c r="I11" i="115"/>
  <c r="H11" i="115"/>
  <c r="G11" i="115"/>
  <c r="F11" i="115"/>
  <c r="E11" i="115"/>
  <c r="D11" i="115"/>
  <c r="C11" i="115"/>
  <c r="B11" i="115"/>
  <c r="K10" i="115"/>
  <c r="K9" i="115"/>
  <c r="K8" i="115"/>
  <c r="K7" i="115"/>
  <c r="K6" i="115"/>
  <c r="K5" i="115"/>
  <c r="K4" i="115"/>
  <c r="D24" i="114"/>
  <c r="C7" i="114"/>
  <c r="C6" i="114"/>
  <c r="D21" i="114"/>
  <c r="D20" i="114"/>
  <c r="D19" i="114"/>
  <c r="D18" i="114"/>
  <c r="D17" i="114"/>
  <c r="D16" i="114"/>
  <c r="D15" i="114"/>
  <c r="D14" i="114"/>
  <c r="D22" i="114" s="1"/>
  <c r="J11" i="114"/>
  <c r="I11" i="114"/>
  <c r="H11" i="114"/>
  <c r="G11" i="114"/>
  <c r="F11" i="114"/>
  <c r="E11" i="114"/>
  <c r="D11" i="114"/>
  <c r="B11" i="114"/>
  <c r="K10" i="114"/>
  <c r="K9" i="114"/>
  <c r="K8" i="114"/>
  <c r="K6" i="114"/>
  <c r="K5" i="114"/>
  <c r="K4" i="114"/>
  <c r="D24" i="113"/>
  <c r="C7" i="113"/>
  <c r="D21" i="113"/>
  <c r="D20" i="113"/>
  <c r="D19" i="113"/>
  <c r="D18" i="113"/>
  <c r="D17" i="113"/>
  <c r="D16" i="113"/>
  <c r="D15" i="113"/>
  <c r="D14" i="113"/>
  <c r="J11" i="113"/>
  <c r="I11" i="113"/>
  <c r="H11" i="113"/>
  <c r="G11" i="113"/>
  <c r="F11" i="113"/>
  <c r="E11" i="113"/>
  <c r="D11" i="113"/>
  <c r="B11" i="113"/>
  <c r="K10" i="113"/>
  <c r="K9" i="113"/>
  <c r="K8" i="113"/>
  <c r="K6" i="113"/>
  <c r="K5" i="113"/>
  <c r="K4" i="113"/>
  <c r="C7" i="112"/>
  <c r="C10" i="112"/>
  <c r="D21" i="112"/>
  <c r="D20" i="112"/>
  <c r="D19" i="112"/>
  <c r="D18" i="112"/>
  <c r="D17" i="112"/>
  <c r="D16" i="112"/>
  <c r="D15" i="112"/>
  <c r="D14" i="112"/>
  <c r="D22" i="112" s="1"/>
  <c r="J11" i="112"/>
  <c r="I11" i="112"/>
  <c r="H11" i="112"/>
  <c r="G11" i="112"/>
  <c r="F11" i="112"/>
  <c r="E11" i="112"/>
  <c r="D11" i="112"/>
  <c r="C11" i="112"/>
  <c r="B11" i="112"/>
  <c r="K10" i="112"/>
  <c r="K9" i="112"/>
  <c r="K8" i="112"/>
  <c r="K7" i="112"/>
  <c r="K6" i="112"/>
  <c r="K5" i="112"/>
  <c r="K4" i="112"/>
  <c r="C6" i="111"/>
  <c r="C7" i="111"/>
  <c r="D21" i="111"/>
  <c r="D20" i="111"/>
  <c r="D19" i="111"/>
  <c r="D18" i="111"/>
  <c r="D17" i="111"/>
  <c r="D16" i="111"/>
  <c r="D15" i="111"/>
  <c r="D14" i="111"/>
  <c r="D22" i="111" s="1"/>
  <c r="J11" i="111"/>
  <c r="I11" i="111"/>
  <c r="H11" i="111"/>
  <c r="G11" i="111"/>
  <c r="F11" i="111"/>
  <c r="E11" i="111"/>
  <c r="D11" i="111"/>
  <c r="B11" i="111"/>
  <c r="O10" i="111"/>
  <c r="N10" i="111"/>
  <c r="K10" i="111"/>
  <c r="K9" i="111"/>
  <c r="K8" i="111"/>
  <c r="K7" i="111"/>
  <c r="K5" i="111"/>
  <c r="K4" i="111"/>
  <c r="O21" i="110"/>
  <c r="O20" i="110"/>
  <c r="O19" i="110"/>
  <c r="O18" i="110"/>
  <c r="O17" i="110"/>
  <c r="O16" i="110"/>
  <c r="O15" i="110"/>
  <c r="O14" i="110"/>
  <c r="D24" i="110"/>
  <c r="C7" i="110"/>
  <c r="C6" i="110"/>
  <c r="D21" i="110"/>
  <c r="D20" i="110"/>
  <c r="D19" i="110"/>
  <c r="D18" i="110"/>
  <c r="D17" i="110"/>
  <c r="D16" i="110"/>
  <c r="D15" i="110"/>
  <c r="D14" i="110"/>
  <c r="D22" i="110" s="1"/>
  <c r="J11" i="110"/>
  <c r="I11" i="110"/>
  <c r="H11" i="110"/>
  <c r="G11" i="110"/>
  <c r="F11" i="110"/>
  <c r="E11" i="110"/>
  <c r="D11" i="110"/>
  <c r="B11" i="110"/>
  <c r="K10" i="110"/>
  <c r="K9" i="110"/>
  <c r="K8" i="110"/>
  <c r="K7" i="110"/>
  <c r="K5" i="110"/>
  <c r="K4" i="110"/>
  <c r="D24" i="109"/>
  <c r="C6" i="109"/>
  <c r="K6" i="109" s="1"/>
  <c r="C8" i="109"/>
  <c r="C7" i="109"/>
  <c r="D21" i="109"/>
  <c r="D20" i="109"/>
  <c r="D19" i="109"/>
  <c r="D18" i="109"/>
  <c r="D17" i="109"/>
  <c r="D16" i="109"/>
  <c r="D15" i="109"/>
  <c r="D14" i="109"/>
  <c r="J11" i="109"/>
  <c r="I11" i="109"/>
  <c r="H11" i="109"/>
  <c r="G11" i="109"/>
  <c r="F11" i="109"/>
  <c r="E11" i="109"/>
  <c r="D11" i="109"/>
  <c r="B11" i="109"/>
  <c r="K10" i="109"/>
  <c r="K9" i="109"/>
  <c r="K8" i="109"/>
  <c r="K5" i="109"/>
  <c r="K4" i="109"/>
  <c r="O21" i="108"/>
  <c r="O20" i="108"/>
  <c r="O19" i="108"/>
  <c r="O18" i="108"/>
  <c r="O17" i="108"/>
  <c r="O16" i="108"/>
  <c r="O15" i="108"/>
  <c r="O14" i="108"/>
  <c r="D24" i="108"/>
  <c r="C8" i="108"/>
  <c r="C9" i="108"/>
  <c r="C7" i="108"/>
  <c r="D21" i="108"/>
  <c r="D20" i="108"/>
  <c r="D19" i="108"/>
  <c r="D18" i="108"/>
  <c r="D17" i="108"/>
  <c r="D16" i="108"/>
  <c r="D15" i="108"/>
  <c r="D22" i="108" s="1"/>
  <c r="D14" i="108"/>
  <c r="J11" i="108"/>
  <c r="I11" i="108"/>
  <c r="H11" i="108"/>
  <c r="G11" i="108"/>
  <c r="F11" i="108"/>
  <c r="E11" i="108"/>
  <c r="D11" i="108"/>
  <c r="C11" i="108"/>
  <c r="B11" i="108"/>
  <c r="K10" i="108"/>
  <c r="K9" i="108"/>
  <c r="K8" i="108"/>
  <c r="K7" i="108"/>
  <c r="K6" i="108"/>
  <c r="K5" i="108"/>
  <c r="O4" i="108"/>
  <c r="K4" i="108"/>
  <c r="N4" i="108" s="1"/>
  <c r="D24" i="107"/>
  <c r="C7" i="107"/>
  <c r="D21" i="107"/>
  <c r="D20" i="107"/>
  <c r="D19" i="107"/>
  <c r="D18" i="107"/>
  <c r="D17" i="107"/>
  <c r="D16" i="107"/>
  <c r="D15" i="107"/>
  <c r="D14" i="107"/>
  <c r="J11" i="107"/>
  <c r="I11" i="107"/>
  <c r="H11" i="107"/>
  <c r="G11" i="107"/>
  <c r="F11" i="107"/>
  <c r="E11" i="107"/>
  <c r="D11" i="107"/>
  <c r="C11" i="107"/>
  <c r="B11" i="107"/>
  <c r="K10" i="107"/>
  <c r="K9" i="107"/>
  <c r="K8" i="107"/>
  <c r="K7" i="107"/>
  <c r="K6" i="107"/>
  <c r="K5" i="107"/>
  <c r="K4" i="107"/>
  <c r="D24" i="106"/>
  <c r="C7" i="106"/>
  <c r="C9" i="106"/>
  <c r="D21" i="106"/>
  <c r="D20" i="106"/>
  <c r="D19" i="106"/>
  <c r="D18" i="106"/>
  <c r="D17" i="106"/>
  <c r="D16" i="106"/>
  <c r="D15" i="106"/>
  <c r="D14" i="106"/>
  <c r="J11" i="106"/>
  <c r="I11" i="106"/>
  <c r="H11" i="106"/>
  <c r="G11" i="106"/>
  <c r="F11" i="106"/>
  <c r="E11" i="106"/>
  <c r="D11" i="106"/>
  <c r="B11" i="106"/>
  <c r="K10" i="106"/>
  <c r="K9" i="106"/>
  <c r="K8" i="106"/>
  <c r="K6" i="106"/>
  <c r="K5" i="106"/>
  <c r="K4" i="106"/>
  <c r="C7" i="105"/>
  <c r="C9" i="105"/>
  <c r="D21" i="105"/>
  <c r="D20" i="105"/>
  <c r="D19" i="105"/>
  <c r="D18" i="105"/>
  <c r="D17" i="105"/>
  <c r="D16" i="105"/>
  <c r="D15" i="105"/>
  <c r="D14" i="105"/>
  <c r="D22" i="105" s="1"/>
  <c r="J11" i="105"/>
  <c r="I11" i="105"/>
  <c r="H11" i="105"/>
  <c r="G11" i="105"/>
  <c r="F11" i="105"/>
  <c r="E11" i="105"/>
  <c r="D11" i="105"/>
  <c r="B11" i="105"/>
  <c r="K10" i="105"/>
  <c r="K9" i="105"/>
  <c r="K8" i="105"/>
  <c r="K6" i="105"/>
  <c r="K5" i="105"/>
  <c r="K4" i="105"/>
  <c r="C9" i="104"/>
  <c r="K9" i="104" s="1"/>
  <c r="C7" i="104"/>
  <c r="D21" i="104"/>
  <c r="D20" i="104"/>
  <c r="D19" i="104"/>
  <c r="D18" i="104"/>
  <c r="D17" i="104"/>
  <c r="D16" i="104"/>
  <c r="D15" i="104"/>
  <c r="D14" i="104"/>
  <c r="J11" i="104"/>
  <c r="I11" i="104"/>
  <c r="H11" i="104"/>
  <c r="G11" i="104"/>
  <c r="F11" i="104"/>
  <c r="E11" i="104"/>
  <c r="D11" i="104"/>
  <c r="B11" i="104"/>
  <c r="K10" i="104"/>
  <c r="K8" i="104"/>
  <c r="K7" i="104"/>
  <c r="C11" i="104"/>
  <c r="K6" i="104"/>
  <c r="K5" i="104"/>
  <c r="K4" i="104"/>
  <c r="N21" i="103"/>
  <c r="N20" i="103"/>
  <c r="N19" i="103"/>
  <c r="N18" i="103"/>
  <c r="N17" i="103"/>
  <c r="N16" i="103"/>
  <c r="N15" i="103"/>
  <c r="N14" i="103"/>
  <c r="N22" i="103" s="1"/>
  <c r="D24" i="103"/>
  <c r="C7" i="103"/>
  <c r="C10" i="103"/>
  <c r="C9" i="103"/>
  <c r="D21" i="103"/>
  <c r="D20" i="103"/>
  <c r="D19" i="103"/>
  <c r="D18" i="103"/>
  <c r="D17" i="103"/>
  <c r="D16" i="103"/>
  <c r="D15" i="103"/>
  <c r="D14" i="103"/>
  <c r="D22" i="103" s="1"/>
  <c r="J11" i="103"/>
  <c r="I11" i="103"/>
  <c r="H11" i="103"/>
  <c r="G11" i="103"/>
  <c r="F11" i="103"/>
  <c r="E11" i="103"/>
  <c r="D11" i="103"/>
  <c r="B11" i="103"/>
  <c r="K10" i="103"/>
  <c r="K9" i="103"/>
  <c r="K8" i="103"/>
  <c r="K6" i="103"/>
  <c r="K5" i="103"/>
  <c r="K4" i="103"/>
  <c r="D24" i="102"/>
  <c r="C7" i="102"/>
  <c r="C10" i="102"/>
  <c r="C9" i="102"/>
  <c r="D21" i="102"/>
  <c r="D20" i="102"/>
  <c r="D19" i="102"/>
  <c r="D18" i="102"/>
  <c r="D17" i="102"/>
  <c r="D16" i="102"/>
  <c r="D15" i="102"/>
  <c r="D14" i="102"/>
  <c r="J11" i="102"/>
  <c r="I11" i="102"/>
  <c r="H11" i="102"/>
  <c r="G11" i="102"/>
  <c r="F11" i="102"/>
  <c r="E11" i="102"/>
  <c r="D11" i="102"/>
  <c r="B11" i="102"/>
  <c r="K10" i="102"/>
  <c r="K9" i="102"/>
  <c r="K8" i="102"/>
  <c r="K6" i="102"/>
  <c r="K5" i="102"/>
  <c r="K4" i="102"/>
  <c r="C7" i="101"/>
  <c r="C10" i="101"/>
  <c r="C9" i="101"/>
  <c r="D21" i="101"/>
  <c r="D20" i="101"/>
  <c r="D19" i="101"/>
  <c r="D18" i="101"/>
  <c r="D17" i="101"/>
  <c r="D16" i="101"/>
  <c r="D15" i="101"/>
  <c r="D14" i="101"/>
  <c r="D22" i="101" s="1"/>
  <c r="J11" i="101"/>
  <c r="I11" i="101"/>
  <c r="H11" i="101"/>
  <c r="G11" i="101"/>
  <c r="F11" i="101"/>
  <c r="E11" i="101"/>
  <c r="D11" i="101"/>
  <c r="B11" i="101"/>
  <c r="K10" i="101"/>
  <c r="K9" i="101"/>
  <c r="K8" i="101"/>
  <c r="K6" i="101"/>
  <c r="K5" i="101"/>
  <c r="K4" i="101"/>
  <c r="C7" i="100"/>
  <c r="C9" i="100"/>
  <c r="D21" i="100"/>
  <c r="D20" i="100"/>
  <c r="D19" i="100"/>
  <c r="D18" i="100"/>
  <c r="D17" i="100"/>
  <c r="D16" i="100"/>
  <c r="D15" i="100"/>
  <c r="D14" i="100"/>
  <c r="D22" i="100" s="1"/>
  <c r="J11" i="100"/>
  <c r="I11" i="100"/>
  <c r="H11" i="100"/>
  <c r="G11" i="100"/>
  <c r="F11" i="100"/>
  <c r="E11" i="100"/>
  <c r="D11" i="100"/>
  <c r="B11" i="100"/>
  <c r="K10" i="100"/>
  <c r="K8" i="100"/>
  <c r="K7" i="100"/>
  <c r="K6" i="100"/>
  <c r="K5" i="100"/>
  <c r="K4" i="100"/>
  <c r="C9" i="99"/>
  <c r="D22" i="99"/>
  <c r="D21" i="99"/>
  <c r="D20" i="99"/>
  <c r="D19" i="99"/>
  <c r="D18" i="99"/>
  <c r="D17" i="99"/>
  <c r="D16" i="99"/>
  <c r="D15" i="99"/>
  <c r="D14" i="99"/>
  <c r="J11" i="99"/>
  <c r="I11" i="99"/>
  <c r="H11" i="99"/>
  <c r="G11" i="99"/>
  <c r="F11" i="99"/>
  <c r="E11" i="99"/>
  <c r="D11" i="99"/>
  <c r="C11" i="99"/>
  <c r="B11" i="99"/>
  <c r="K10" i="99"/>
  <c r="K9" i="99"/>
  <c r="K8" i="99"/>
  <c r="K7" i="99"/>
  <c r="K6" i="99"/>
  <c r="K5" i="99"/>
  <c r="K4" i="99"/>
  <c r="B9" i="98"/>
  <c r="C7" i="98"/>
  <c r="D21" i="98"/>
  <c r="D20" i="98"/>
  <c r="D19" i="98"/>
  <c r="D18" i="98"/>
  <c r="D17" i="98"/>
  <c r="D16" i="98"/>
  <c r="D15" i="98"/>
  <c r="D14" i="98"/>
  <c r="D22" i="98" s="1"/>
  <c r="J11" i="98"/>
  <c r="I11" i="98"/>
  <c r="H11" i="98"/>
  <c r="G11" i="98"/>
  <c r="F11" i="98"/>
  <c r="E11" i="98"/>
  <c r="D11" i="98"/>
  <c r="B11" i="98"/>
  <c r="K10" i="98"/>
  <c r="K9" i="98"/>
  <c r="K8" i="98"/>
  <c r="K6" i="98"/>
  <c r="K5" i="98"/>
  <c r="K4" i="98"/>
  <c r="C9" i="97"/>
  <c r="K9" i="97" s="1"/>
  <c r="C7" i="97"/>
  <c r="D21" i="97"/>
  <c r="D20" i="97"/>
  <c r="D19" i="97"/>
  <c r="D18" i="97"/>
  <c r="D17" i="97"/>
  <c r="D16" i="97"/>
  <c r="D15" i="97"/>
  <c r="D14" i="97"/>
  <c r="J11" i="97"/>
  <c r="I11" i="97"/>
  <c r="H11" i="97"/>
  <c r="G11" i="97"/>
  <c r="F11" i="97"/>
  <c r="E11" i="97"/>
  <c r="D11" i="97"/>
  <c r="B11" i="97"/>
  <c r="K10" i="97"/>
  <c r="K8" i="97"/>
  <c r="N6" i="97"/>
  <c r="K6" i="97"/>
  <c r="O6" i="97" s="1"/>
  <c r="K5" i="97"/>
  <c r="K4" i="97"/>
  <c r="D24" i="96"/>
  <c r="C9" i="96"/>
  <c r="C7" i="96"/>
  <c r="O21" i="96"/>
  <c r="D21" i="96"/>
  <c r="O20" i="96"/>
  <c r="D20" i="96"/>
  <c r="O19" i="96"/>
  <c r="D19" i="96"/>
  <c r="O18" i="96"/>
  <c r="D18" i="96"/>
  <c r="O17" i="96"/>
  <c r="D17" i="96"/>
  <c r="O16" i="96"/>
  <c r="D16" i="96"/>
  <c r="O15" i="96"/>
  <c r="D15" i="96"/>
  <c r="O14" i="96"/>
  <c r="O22" i="96" s="1"/>
  <c r="D14" i="96"/>
  <c r="D22" i="96" s="1"/>
  <c r="J11" i="96"/>
  <c r="I11" i="96"/>
  <c r="H11" i="96"/>
  <c r="G11" i="96"/>
  <c r="F11" i="96"/>
  <c r="E11" i="96"/>
  <c r="D11" i="96"/>
  <c r="B11" i="96"/>
  <c r="K10" i="96"/>
  <c r="K9" i="96"/>
  <c r="K8" i="96"/>
  <c r="K6" i="96"/>
  <c r="K5" i="96"/>
  <c r="K4" i="96"/>
  <c r="D24" i="95"/>
  <c r="C7" i="95"/>
  <c r="C9" i="95"/>
  <c r="D21" i="95"/>
  <c r="D20" i="95"/>
  <c r="D19" i="95"/>
  <c r="D18" i="95"/>
  <c r="D17" i="95"/>
  <c r="D16" i="95"/>
  <c r="D15" i="95"/>
  <c r="D14" i="95"/>
  <c r="J11" i="95"/>
  <c r="I11" i="95"/>
  <c r="H11" i="95"/>
  <c r="G11" i="95"/>
  <c r="F11" i="95"/>
  <c r="E11" i="95"/>
  <c r="D11" i="95"/>
  <c r="B11" i="95"/>
  <c r="K10" i="95"/>
  <c r="K9" i="95"/>
  <c r="K8" i="95"/>
  <c r="K7" i="95"/>
  <c r="C11" i="95"/>
  <c r="K6" i="95"/>
  <c r="K5" i="95"/>
  <c r="K4" i="95"/>
  <c r="D24" i="94"/>
  <c r="C7" i="94"/>
  <c r="C9" i="94"/>
  <c r="D21" i="94"/>
  <c r="D20" i="94"/>
  <c r="D19" i="94"/>
  <c r="D18" i="94"/>
  <c r="D17" i="94"/>
  <c r="D16" i="94"/>
  <c r="D15" i="94"/>
  <c r="D14" i="94"/>
  <c r="D22" i="94" s="1"/>
  <c r="J11" i="94"/>
  <c r="I11" i="94"/>
  <c r="H11" i="94"/>
  <c r="G11" i="94"/>
  <c r="F11" i="94"/>
  <c r="E11" i="94"/>
  <c r="D11" i="94"/>
  <c r="B11" i="94"/>
  <c r="K10" i="94"/>
  <c r="K9" i="94"/>
  <c r="K8" i="94"/>
  <c r="K6" i="94"/>
  <c r="K5" i="94"/>
  <c r="K4" i="94"/>
  <c r="D24" i="93"/>
  <c r="C7" i="93"/>
  <c r="D21" i="93"/>
  <c r="D20" i="93"/>
  <c r="D19" i="93"/>
  <c r="D18" i="93"/>
  <c r="D17" i="93"/>
  <c r="D16" i="93"/>
  <c r="D15" i="93"/>
  <c r="D14" i="93"/>
  <c r="D22" i="93" s="1"/>
  <c r="J11" i="93"/>
  <c r="I11" i="93"/>
  <c r="H11" i="93"/>
  <c r="G11" i="93"/>
  <c r="F11" i="93"/>
  <c r="E11" i="93"/>
  <c r="D11" i="93"/>
  <c r="B11" i="93"/>
  <c r="K10" i="93"/>
  <c r="K9" i="93"/>
  <c r="K8" i="93"/>
  <c r="K6" i="93"/>
  <c r="K5" i="93"/>
  <c r="K4" i="93"/>
  <c r="D24" i="92"/>
  <c r="C9" i="92"/>
  <c r="C7" i="92"/>
  <c r="D21" i="92"/>
  <c r="D20" i="92"/>
  <c r="D19" i="92"/>
  <c r="D18" i="92"/>
  <c r="D17" i="92"/>
  <c r="D16" i="92"/>
  <c r="D15" i="92"/>
  <c r="D14" i="92"/>
  <c r="D22" i="92" s="1"/>
  <c r="J11" i="92"/>
  <c r="I11" i="92"/>
  <c r="H11" i="92"/>
  <c r="G11" i="92"/>
  <c r="F11" i="92"/>
  <c r="E11" i="92"/>
  <c r="D11" i="92"/>
  <c r="B11" i="92"/>
  <c r="K10" i="92"/>
  <c r="K8" i="92"/>
  <c r="K7" i="92"/>
  <c r="K6" i="92"/>
  <c r="K5" i="92"/>
  <c r="K4" i="92"/>
  <c r="D24" i="91"/>
  <c r="C9" i="91"/>
  <c r="D21" i="91"/>
  <c r="D20" i="91"/>
  <c r="D19" i="91"/>
  <c r="D18" i="91"/>
  <c r="D17" i="91"/>
  <c r="D16" i="91"/>
  <c r="D15" i="91"/>
  <c r="D14" i="91"/>
  <c r="D22" i="91" s="1"/>
  <c r="J11" i="91"/>
  <c r="I11" i="91"/>
  <c r="H11" i="91"/>
  <c r="G11" i="91"/>
  <c r="F11" i="91"/>
  <c r="E11" i="91"/>
  <c r="D11" i="91"/>
  <c r="B11" i="91"/>
  <c r="K10" i="91"/>
  <c r="K9" i="91"/>
  <c r="K8" i="91"/>
  <c r="K6" i="91"/>
  <c r="K5" i="91"/>
  <c r="K4" i="91"/>
  <c r="C9" i="90"/>
  <c r="C7" i="90"/>
  <c r="D21" i="90"/>
  <c r="D20" i="90"/>
  <c r="D19" i="90"/>
  <c r="D18" i="90"/>
  <c r="D17" i="90"/>
  <c r="D16" i="90"/>
  <c r="D15" i="90"/>
  <c r="D14" i="90"/>
  <c r="D22" i="90" s="1"/>
  <c r="J11" i="90"/>
  <c r="I11" i="90"/>
  <c r="H11" i="90"/>
  <c r="G11" i="90"/>
  <c r="F11" i="90"/>
  <c r="E11" i="90"/>
  <c r="D11" i="90"/>
  <c r="B11" i="90"/>
  <c r="K10" i="90"/>
  <c r="K9" i="90"/>
  <c r="K8" i="90"/>
  <c r="K6" i="90"/>
  <c r="K5" i="90"/>
  <c r="K4" i="90"/>
  <c r="D24" i="89"/>
  <c r="C7" i="89"/>
  <c r="C10" i="89"/>
  <c r="C9" i="89"/>
  <c r="N21" i="89"/>
  <c r="D21" i="89"/>
  <c r="N20" i="89"/>
  <c r="D20" i="89"/>
  <c r="N19" i="89"/>
  <c r="D19" i="89"/>
  <c r="N18" i="89"/>
  <c r="D18" i="89"/>
  <c r="N17" i="89"/>
  <c r="D17" i="89"/>
  <c r="N16" i="89"/>
  <c r="D16" i="89"/>
  <c r="N15" i="89"/>
  <c r="D15" i="89"/>
  <c r="N14" i="89"/>
  <c r="N22" i="89" s="1"/>
  <c r="D14" i="89"/>
  <c r="J11" i="89"/>
  <c r="I11" i="89"/>
  <c r="H11" i="89"/>
  <c r="G11" i="89"/>
  <c r="F11" i="89"/>
  <c r="E11" i="89"/>
  <c r="B11" i="89"/>
  <c r="K9" i="89"/>
  <c r="K8" i="89"/>
  <c r="K6" i="89"/>
  <c r="K5" i="89"/>
  <c r="K4" i="89"/>
  <c r="D24" i="88"/>
  <c r="C10" i="88"/>
  <c r="K10" i="88" s="1"/>
  <c r="C9" i="88"/>
  <c r="C7" i="88"/>
  <c r="D21" i="88"/>
  <c r="D20" i="88"/>
  <c r="D19" i="88"/>
  <c r="D18" i="88"/>
  <c r="D17" i="88"/>
  <c r="D16" i="88"/>
  <c r="D15" i="88"/>
  <c r="D14" i="88"/>
  <c r="D22" i="88" s="1"/>
  <c r="J11" i="88"/>
  <c r="I11" i="88"/>
  <c r="H11" i="88"/>
  <c r="G11" i="88"/>
  <c r="F11" i="88"/>
  <c r="E11" i="88"/>
  <c r="D11" i="88"/>
  <c r="B11" i="88"/>
  <c r="K9" i="88"/>
  <c r="K8" i="88"/>
  <c r="K6" i="88"/>
  <c r="K5" i="88"/>
  <c r="K4" i="88"/>
  <c r="D24" i="87"/>
  <c r="C10" i="87"/>
  <c r="C9" i="87"/>
  <c r="C7" i="87"/>
  <c r="D21" i="87"/>
  <c r="D20" i="87"/>
  <c r="D19" i="87"/>
  <c r="D18" i="87"/>
  <c r="D17" i="87"/>
  <c r="D16" i="87"/>
  <c r="D15" i="87"/>
  <c r="D14" i="87"/>
  <c r="D22" i="87" s="1"/>
  <c r="J11" i="87"/>
  <c r="I11" i="87"/>
  <c r="H11" i="87"/>
  <c r="G11" i="87"/>
  <c r="F11" i="87"/>
  <c r="E11" i="87"/>
  <c r="D11" i="87"/>
  <c r="B11" i="87"/>
  <c r="K10" i="87"/>
  <c r="K9" i="87"/>
  <c r="K8" i="87"/>
  <c r="K6" i="87"/>
  <c r="K5" i="87"/>
  <c r="K4" i="87"/>
  <c r="D24" i="86"/>
  <c r="C7" i="86"/>
  <c r="D21" i="86"/>
  <c r="D20" i="86"/>
  <c r="D19" i="86"/>
  <c r="D18" i="86"/>
  <c r="D17" i="86"/>
  <c r="D16" i="86"/>
  <c r="D15" i="86"/>
  <c r="D14" i="86"/>
  <c r="D22" i="86" s="1"/>
  <c r="J11" i="86"/>
  <c r="I11" i="86"/>
  <c r="H11" i="86"/>
  <c r="G11" i="86"/>
  <c r="F11" i="86"/>
  <c r="E11" i="86"/>
  <c r="D11" i="86"/>
  <c r="B11" i="86"/>
  <c r="K10" i="86"/>
  <c r="K9" i="86"/>
  <c r="K8" i="86"/>
  <c r="K7" i="86"/>
  <c r="C11" i="86"/>
  <c r="K6" i="86"/>
  <c r="K5" i="86"/>
  <c r="K4" i="86"/>
  <c r="D24" i="85"/>
  <c r="C10" i="85"/>
  <c r="C7" i="85"/>
  <c r="D21" i="85"/>
  <c r="D20" i="85"/>
  <c r="D19" i="85"/>
  <c r="D18" i="85"/>
  <c r="D17" i="85"/>
  <c r="D16" i="85"/>
  <c r="D15" i="85"/>
  <c r="D14" i="85"/>
  <c r="D22" i="85" s="1"/>
  <c r="J11" i="85"/>
  <c r="I11" i="85"/>
  <c r="H11" i="85"/>
  <c r="G11" i="85"/>
  <c r="F11" i="85"/>
  <c r="E11" i="85"/>
  <c r="D11" i="85"/>
  <c r="C11" i="85"/>
  <c r="B11" i="85"/>
  <c r="K10" i="85"/>
  <c r="K9" i="85"/>
  <c r="K8" i="85"/>
  <c r="K7" i="85"/>
  <c r="K6" i="85"/>
  <c r="K5" i="85"/>
  <c r="K4" i="85"/>
  <c r="D24" i="84"/>
  <c r="D21" i="84"/>
  <c r="D20" i="84"/>
  <c r="D19" i="84"/>
  <c r="D18" i="84"/>
  <c r="D17" i="84"/>
  <c r="D16" i="84"/>
  <c r="D15" i="84"/>
  <c r="D14" i="84"/>
  <c r="D22" i="84" s="1"/>
  <c r="J11" i="84"/>
  <c r="I11" i="84"/>
  <c r="H11" i="84"/>
  <c r="G11" i="84"/>
  <c r="F11" i="84"/>
  <c r="E11" i="84"/>
  <c r="D11" i="84"/>
  <c r="B11" i="84"/>
  <c r="K10" i="84"/>
  <c r="K9" i="84"/>
  <c r="K8" i="84"/>
  <c r="K6" i="84"/>
  <c r="K5" i="84"/>
  <c r="K4" i="84"/>
  <c r="C7" i="83"/>
  <c r="D21" i="83"/>
  <c r="D20" i="83"/>
  <c r="D19" i="83"/>
  <c r="D18" i="83"/>
  <c r="D17" i="83"/>
  <c r="D16" i="83"/>
  <c r="D15" i="83"/>
  <c r="D14" i="83"/>
  <c r="D22" i="83" s="1"/>
  <c r="J11" i="83"/>
  <c r="I11" i="83"/>
  <c r="H11" i="83"/>
  <c r="G11" i="83"/>
  <c r="F11" i="83"/>
  <c r="E11" i="83"/>
  <c r="D11" i="83"/>
  <c r="B11" i="83"/>
  <c r="K10" i="83"/>
  <c r="K9" i="83"/>
  <c r="K8" i="83"/>
  <c r="K6" i="83"/>
  <c r="K5" i="83"/>
  <c r="K4" i="83"/>
  <c r="D24" i="82"/>
  <c r="C7" i="82"/>
  <c r="C9" i="82"/>
  <c r="C10" i="82"/>
  <c r="N21" i="82"/>
  <c r="D21" i="82"/>
  <c r="N20" i="82"/>
  <c r="D20" i="82"/>
  <c r="N19" i="82"/>
  <c r="D19" i="82"/>
  <c r="N18" i="82"/>
  <c r="D18" i="82"/>
  <c r="N17" i="82"/>
  <c r="D17" i="82"/>
  <c r="N16" i="82"/>
  <c r="D16" i="82"/>
  <c r="N15" i="82"/>
  <c r="D15" i="82"/>
  <c r="D22" i="82" s="1"/>
  <c r="N14" i="82"/>
  <c r="D14" i="82"/>
  <c r="J11" i="82"/>
  <c r="I11" i="82"/>
  <c r="H11" i="82"/>
  <c r="G11" i="82"/>
  <c r="F11" i="82"/>
  <c r="E11" i="82"/>
  <c r="D11" i="82"/>
  <c r="C11" i="82"/>
  <c r="B11" i="82"/>
  <c r="K10" i="82"/>
  <c r="K9" i="82"/>
  <c r="K8" i="82"/>
  <c r="K7" i="82"/>
  <c r="K6" i="82"/>
  <c r="K5" i="82"/>
  <c r="K4" i="82"/>
  <c r="D24" i="81"/>
  <c r="C10" i="81"/>
  <c r="C7" i="81"/>
  <c r="C9" i="81"/>
  <c r="D21" i="81"/>
  <c r="D20" i="81"/>
  <c r="D19" i="81"/>
  <c r="D18" i="81"/>
  <c r="D17" i="81"/>
  <c r="D16" i="81"/>
  <c r="D15" i="81"/>
  <c r="D14" i="81"/>
  <c r="J11" i="81"/>
  <c r="I11" i="81"/>
  <c r="H11" i="81"/>
  <c r="G11" i="81"/>
  <c r="F11" i="81"/>
  <c r="E11" i="81"/>
  <c r="D11" i="81"/>
  <c r="B11" i="81"/>
  <c r="K9" i="81"/>
  <c r="K8" i="81"/>
  <c r="K7" i="81"/>
  <c r="K6" i="81"/>
  <c r="K5" i="81"/>
  <c r="K4" i="81"/>
  <c r="D24" i="80"/>
  <c r="C9" i="80"/>
  <c r="C10" i="80"/>
  <c r="C7" i="80"/>
  <c r="D21" i="80"/>
  <c r="D20" i="80"/>
  <c r="D19" i="80"/>
  <c r="D18" i="80"/>
  <c r="D17" i="80"/>
  <c r="D16" i="80"/>
  <c r="D15" i="80"/>
  <c r="D14" i="80"/>
  <c r="D22" i="80" s="1"/>
  <c r="J11" i="80"/>
  <c r="I11" i="80"/>
  <c r="H11" i="80"/>
  <c r="G11" i="80"/>
  <c r="F11" i="80"/>
  <c r="E11" i="80"/>
  <c r="D11" i="80"/>
  <c r="B11" i="80"/>
  <c r="K10" i="80"/>
  <c r="K8" i="80"/>
  <c r="K7" i="80"/>
  <c r="K6" i="80"/>
  <c r="K5" i="80"/>
  <c r="K4" i="80"/>
  <c r="D24" i="79"/>
  <c r="C9" i="79"/>
  <c r="D21" i="79"/>
  <c r="D20" i="79"/>
  <c r="D19" i="79"/>
  <c r="D18" i="79"/>
  <c r="D17" i="79"/>
  <c r="D16" i="79"/>
  <c r="D15" i="79"/>
  <c r="D14" i="79"/>
  <c r="D22" i="79" s="1"/>
  <c r="J11" i="79"/>
  <c r="I11" i="79"/>
  <c r="H11" i="79"/>
  <c r="G11" i="79"/>
  <c r="F11" i="79"/>
  <c r="E11" i="79"/>
  <c r="D11" i="79"/>
  <c r="C11" i="79"/>
  <c r="B11" i="79"/>
  <c r="K10" i="79"/>
  <c r="K9" i="79"/>
  <c r="K8" i="79"/>
  <c r="K7" i="79"/>
  <c r="K6" i="79"/>
  <c r="K5" i="79"/>
  <c r="K4" i="79"/>
  <c r="D24" i="78"/>
  <c r="C7" i="78"/>
  <c r="C9" i="78"/>
  <c r="D21" i="78"/>
  <c r="D20" i="78"/>
  <c r="D19" i="78"/>
  <c r="D18" i="78"/>
  <c r="D17" i="78"/>
  <c r="D16" i="78"/>
  <c r="D15" i="78"/>
  <c r="D14" i="78"/>
  <c r="D22" i="78" s="1"/>
  <c r="J11" i="78"/>
  <c r="I11" i="78"/>
  <c r="H11" i="78"/>
  <c r="G11" i="78"/>
  <c r="F11" i="78"/>
  <c r="E11" i="78"/>
  <c r="D11" i="78"/>
  <c r="C11" i="78"/>
  <c r="B11" i="78"/>
  <c r="K10" i="78"/>
  <c r="K9" i="78"/>
  <c r="K8" i="78"/>
  <c r="K7" i="78"/>
  <c r="K6" i="78"/>
  <c r="K5" i="78"/>
  <c r="K4" i="78"/>
  <c r="D24" i="77"/>
  <c r="C7" i="77"/>
  <c r="C9" i="77"/>
  <c r="D21" i="77"/>
  <c r="D20" i="77"/>
  <c r="D19" i="77"/>
  <c r="D18" i="77"/>
  <c r="D17" i="77"/>
  <c r="D16" i="77"/>
  <c r="D15" i="77"/>
  <c r="D14" i="77"/>
  <c r="J11" i="77"/>
  <c r="I11" i="77"/>
  <c r="H11" i="77"/>
  <c r="G11" i="77"/>
  <c r="F11" i="77"/>
  <c r="E11" i="77"/>
  <c r="D11" i="77"/>
  <c r="B11" i="77"/>
  <c r="K10" i="77"/>
  <c r="K9" i="77"/>
  <c r="K8" i="77"/>
  <c r="K6" i="77"/>
  <c r="K5" i="77"/>
  <c r="K4" i="77"/>
  <c r="C7" i="76"/>
  <c r="C9" i="76"/>
  <c r="D21" i="76"/>
  <c r="D20" i="76"/>
  <c r="D19" i="76"/>
  <c r="D18" i="76"/>
  <c r="D17" i="76"/>
  <c r="D16" i="76"/>
  <c r="D15" i="76"/>
  <c r="D14" i="76"/>
  <c r="D22" i="76" s="1"/>
  <c r="J11" i="76"/>
  <c r="I11" i="76"/>
  <c r="H11" i="76"/>
  <c r="G11" i="76"/>
  <c r="F11" i="76"/>
  <c r="E11" i="76"/>
  <c r="D11" i="76"/>
  <c r="C11" i="76"/>
  <c r="B11" i="76"/>
  <c r="K10" i="76"/>
  <c r="K9" i="76"/>
  <c r="K8" i="76"/>
  <c r="K7" i="76"/>
  <c r="K6" i="76"/>
  <c r="K5" i="76"/>
  <c r="K4" i="76"/>
  <c r="D24" i="75"/>
  <c r="C10" i="75"/>
  <c r="K10" i="75" s="1"/>
  <c r="C9" i="75"/>
  <c r="C7" i="75"/>
  <c r="N21" i="75"/>
  <c r="D21" i="75"/>
  <c r="N20" i="75"/>
  <c r="D20" i="75"/>
  <c r="N19" i="75"/>
  <c r="D19" i="75"/>
  <c r="N18" i="75"/>
  <c r="D18" i="75"/>
  <c r="N17" i="75"/>
  <c r="D17" i="75"/>
  <c r="N16" i="75"/>
  <c r="D16" i="75"/>
  <c r="N15" i="75"/>
  <c r="D15" i="75"/>
  <c r="N14" i="75"/>
  <c r="D14" i="75"/>
  <c r="D22" i="75" s="1"/>
  <c r="J11" i="75"/>
  <c r="I11" i="75"/>
  <c r="H11" i="75"/>
  <c r="G11" i="75"/>
  <c r="F11" i="75"/>
  <c r="E11" i="75"/>
  <c r="D11" i="75"/>
  <c r="B11" i="75"/>
  <c r="K9" i="75"/>
  <c r="K8" i="75"/>
  <c r="K6" i="75"/>
  <c r="K5" i="75"/>
  <c r="K4" i="75"/>
  <c r="D24" i="74"/>
  <c r="C7" i="74"/>
  <c r="C9" i="74"/>
  <c r="C10" i="74"/>
  <c r="D21" i="74"/>
  <c r="D20" i="74"/>
  <c r="D19" i="74"/>
  <c r="D18" i="74"/>
  <c r="D17" i="74"/>
  <c r="D16" i="74"/>
  <c r="D15" i="74"/>
  <c r="D14" i="74"/>
  <c r="D22" i="74" s="1"/>
  <c r="J11" i="74"/>
  <c r="I11" i="74"/>
  <c r="H11" i="74"/>
  <c r="G11" i="74"/>
  <c r="F11" i="74"/>
  <c r="E11" i="74"/>
  <c r="D11" i="74"/>
  <c r="C11" i="74"/>
  <c r="B11" i="74"/>
  <c r="K10" i="74"/>
  <c r="K9" i="74"/>
  <c r="K8" i="74"/>
  <c r="K7" i="74"/>
  <c r="K6" i="74"/>
  <c r="K5" i="74"/>
  <c r="K4" i="74"/>
  <c r="D24" i="73"/>
  <c r="C9" i="73"/>
  <c r="C10" i="73"/>
  <c r="C7" i="73"/>
  <c r="D21" i="73"/>
  <c r="D20" i="73"/>
  <c r="D19" i="73"/>
  <c r="D18" i="73"/>
  <c r="D17" i="73"/>
  <c r="D16" i="73"/>
  <c r="D15" i="73"/>
  <c r="D14" i="73"/>
  <c r="D22" i="73" s="1"/>
  <c r="J11" i="73"/>
  <c r="I11" i="73"/>
  <c r="H11" i="73"/>
  <c r="G11" i="73"/>
  <c r="F11" i="73"/>
  <c r="E11" i="73"/>
  <c r="D11" i="73"/>
  <c r="B11" i="73"/>
  <c r="K10" i="73"/>
  <c r="K9" i="73"/>
  <c r="K8" i="73"/>
  <c r="K6" i="73"/>
  <c r="K5" i="73"/>
  <c r="K4" i="73"/>
  <c r="D24" i="72"/>
  <c r="C9" i="72"/>
  <c r="C7" i="72"/>
  <c r="D21" i="72"/>
  <c r="D20" i="72"/>
  <c r="D19" i="72"/>
  <c r="D18" i="72"/>
  <c r="D17" i="72"/>
  <c r="D16" i="72"/>
  <c r="D15" i="72"/>
  <c r="D14" i="72"/>
  <c r="D22" i="72" s="1"/>
  <c r="J11" i="72"/>
  <c r="I11" i="72"/>
  <c r="H11" i="72"/>
  <c r="G11" i="72"/>
  <c r="F11" i="72"/>
  <c r="E11" i="72"/>
  <c r="D11" i="72"/>
  <c r="B11" i="72"/>
  <c r="K10" i="72"/>
  <c r="K9" i="72"/>
  <c r="K8" i="72"/>
  <c r="K6" i="72"/>
  <c r="K5" i="72"/>
  <c r="K4" i="72"/>
  <c r="D24" i="71"/>
  <c r="D24" i="70"/>
  <c r="C10" i="71"/>
  <c r="C7" i="71"/>
  <c r="C9" i="71"/>
  <c r="D21" i="71"/>
  <c r="D20" i="71"/>
  <c r="D19" i="71"/>
  <c r="D18" i="71"/>
  <c r="D17" i="71"/>
  <c r="D16" i="71"/>
  <c r="D15" i="71"/>
  <c r="D14" i="71"/>
  <c r="D22" i="71" s="1"/>
  <c r="J11" i="71"/>
  <c r="I11" i="71"/>
  <c r="H11" i="71"/>
  <c r="G11" i="71"/>
  <c r="F11" i="71"/>
  <c r="E11" i="71"/>
  <c r="D11" i="71"/>
  <c r="B11" i="71"/>
  <c r="K10" i="71"/>
  <c r="K9" i="71"/>
  <c r="K8" i="71"/>
  <c r="K6" i="71"/>
  <c r="K5" i="71"/>
  <c r="K4" i="71"/>
  <c r="C9" i="70"/>
  <c r="C7" i="70"/>
  <c r="D21" i="70"/>
  <c r="D20" i="70"/>
  <c r="D19" i="70"/>
  <c r="D18" i="70"/>
  <c r="D17" i="70"/>
  <c r="D16" i="70"/>
  <c r="D15" i="70"/>
  <c r="D14" i="70"/>
  <c r="D22" i="70" s="1"/>
  <c r="J11" i="70"/>
  <c r="I11" i="70"/>
  <c r="H11" i="70"/>
  <c r="G11" i="70"/>
  <c r="F11" i="70"/>
  <c r="E11" i="70"/>
  <c r="D11" i="70"/>
  <c r="B11" i="70"/>
  <c r="K10" i="70"/>
  <c r="K9" i="70"/>
  <c r="K8" i="70"/>
  <c r="K7" i="70"/>
  <c r="K5" i="70"/>
  <c r="K4" i="70"/>
  <c r="C6" i="69"/>
  <c r="C7" i="69"/>
  <c r="D21" i="69"/>
  <c r="D20" i="69"/>
  <c r="D19" i="69"/>
  <c r="D18" i="69"/>
  <c r="D17" i="69"/>
  <c r="D16" i="69"/>
  <c r="D15" i="69"/>
  <c r="D14" i="69"/>
  <c r="J11" i="69"/>
  <c r="I11" i="69"/>
  <c r="H11" i="69"/>
  <c r="G11" i="69"/>
  <c r="F11" i="69"/>
  <c r="E11" i="69"/>
  <c r="D11" i="69"/>
  <c r="B11" i="69"/>
  <c r="K10" i="69"/>
  <c r="K9" i="69"/>
  <c r="K8" i="69"/>
  <c r="K7" i="69"/>
  <c r="K5" i="69"/>
  <c r="K4" i="69"/>
  <c r="D24" i="68"/>
  <c r="C10" i="68"/>
  <c r="C6" i="68"/>
  <c r="C7" i="68"/>
  <c r="N21" i="68"/>
  <c r="D21" i="68"/>
  <c r="N20" i="68"/>
  <c r="D20" i="68"/>
  <c r="N19" i="68"/>
  <c r="D19" i="68"/>
  <c r="N18" i="68"/>
  <c r="D18" i="68"/>
  <c r="N17" i="68"/>
  <c r="D17" i="68"/>
  <c r="N16" i="68"/>
  <c r="D16" i="68"/>
  <c r="N15" i="68"/>
  <c r="D15" i="68"/>
  <c r="N14" i="68"/>
  <c r="D14" i="68"/>
  <c r="D22" i="68" s="1"/>
  <c r="J11" i="68"/>
  <c r="I11" i="68"/>
  <c r="H11" i="68"/>
  <c r="G11" i="68"/>
  <c r="F11" i="68"/>
  <c r="E11" i="68"/>
  <c r="D11" i="68"/>
  <c r="B11" i="68"/>
  <c r="K10" i="68"/>
  <c r="K9" i="68"/>
  <c r="K8" i="68"/>
  <c r="K7" i="68"/>
  <c r="K5" i="68"/>
  <c r="K4" i="68"/>
  <c r="D24" i="67"/>
  <c r="D24" i="66"/>
  <c r="C10" i="67"/>
  <c r="K10" i="67" s="1"/>
  <c r="C7" i="67"/>
  <c r="C6" i="67"/>
  <c r="D21" i="67"/>
  <c r="D20" i="67"/>
  <c r="D19" i="67"/>
  <c r="D18" i="67"/>
  <c r="D17" i="67"/>
  <c r="D16" i="67"/>
  <c r="D15" i="67"/>
  <c r="D14" i="67"/>
  <c r="D22" i="67" s="1"/>
  <c r="J11" i="67"/>
  <c r="I11" i="67"/>
  <c r="H11" i="67"/>
  <c r="G11" i="67"/>
  <c r="F11" i="67"/>
  <c r="E11" i="67"/>
  <c r="D11" i="67"/>
  <c r="B11" i="67"/>
  <c r="K9" i="67"/>
  <c r="K8" i="67"/>
  <c r="K6" i="67"/>
  <c r="K5" i="67"/>
  <c r="K4" i="67"/>
  <c r="C10" i="66"/>
  <c r="C7" i="66"/>
  <c r="D21" i="66"/>
  <c r="D20" i="66"/>
  <c r="D19" i="66"/>
  <c r="D18" i="66"/>
  <c r="D17" i="66"/>
  <c r="D16" i="66"/>
  <c r="D15" i="66"/>
  <c r="D14" i="66"/>
  <c r="D22" i="66" s="1"/>
  <c r="J11" i="66"/>
  <c r="I11" i="66"/>
  <c r="H11" i="66"/>
  <c r="G11" i="66"/>
  <c r="F11" i="66"/>
  <c r="E11" i="66"/>
  <c r="D11" i="66"/>
  <c r="C11" i="66"/>
  <c r="B11" i="66"/>
  <c r="K10" i="66"/>
  <c r="K9" i="66"/>
  <c r="K8" i="66"/>
  <c r="K7" i="66"/>
  <c r="K6" i="66"/>
  <c r="K5" i="66"/>
  <c r="K4" i="66"/>
  <c r="D24" i="65"/>
  <c r="C7" i="65"/>
  <c r="C6" i="65"/>
  <c r="D21" i="65"/>
  <c r="D20" i="65"/>
  <c r="D19" i="65"/>
  <c r="D18" i="65"/>
  <c r="D17" i="65"/>
  <c r="D16" i="65"/>
  <c r="D15" i="65"/>
  <c r="D14" i="65"/>
  <c r="D22" i="65" s="1"/>
  <c r="J11" i="65"/>
  <c r="I11" i="65"/>
  <c r="H11" i="65"/>
  <c r="G11" i="65"/>
  <c r="F11" i="65"/>
  <c r="E11" i="65"/>
  <c r="D11" i="65"/>
  <c r="B11" i="65"/>
  <c r="K10" i="65"/>
  <c r="K9" i="65"/>
  <c r="K8" i="65"/>
  <c r="K7" i="65"/>
  <c r="K5" i="65"/>
  <c r="K4" i="65"/>
  <c r="D24" i="64"/>
  <c r="C6" i="64"/>
  <c r="C7" i="64"/>
  <c r="D21" i="64"/>
  <c r="D20" i="64"/>
  <c r="D19" i="64"/>
  <c r="D18" i="64"/>
  <c r="D17" i="64"/>
  <c r="D16" i="64"/>
  <c r="D15" i="64"/>
  <c r="D14" i="64"/>
  <c r="J11" i="64"/>
  <c r="I11" i="64"/>
  <c r="H11" i="64"/>
  <c r="G11" i="64"/>
  <c r="F11" i="64"/>
  <c r="E11" i="64"/>
  <c r="D11" i="64"/>
  <c r="B11" i="64"/>
  <c r="K10" i="64"/>
  <c r="K9" i="64"/>
  <c r="K8" i="64"/>
  <c r="K6" i="64"/>
  <c r="K5" i="64"/>
  <c r="K4" i="64"/>
  <c r="D24" i="63"/>
  <c r="C7" i="63"/>
  <c r="D21" i="63"/>
  <c r="D20" i="63"/>
  <c r="D19" i="63"/>
  <c r="D18" i="63"/>
  <c r="D17" i="63"/>
  <c r="D16" i="63"/>
  <c r="D15" i="63"/>
  <c r="D14" i="63"/>
  <c r="D22" i="63" s="1"/>
  <c r="J11" i="63"/>
  <c r="I11" i="63"/>
  <c r="H11" i="63"/>
  <c r="G11" i="63"/>
  <c r="F11" i="63"/>
  <c r="E11" i="63"/>
  <c r="D11" i="63"/>
  <c r="B11" i="63"/>
  <c r="K10" i="63"/>
  <c r="K9" i="63"/>
  <c r="K8" i="63"/>
  <c r="K7" i="63"/>
  <c r="K6" i="63"/>
  <c r="C11" i="63"/>
  <c r="K5" i="63"/>
  <c r="K4" i="63"/>
  <c r="C10" i="62"/>
  <c r="C6" i="62"/>
  <c r="D21" i="62"/>
  <c r="D20" i="62"/>
  <c r="D19" i="62"/>
  <c r="D18" i="62"/>
  <c r="D17" i="62"/>
  <c r="D16" i="62"/>
  <c r="D15" i="62"/>
  <c r="D14" i="62"/>
  <c r="D22" i="62" s="1"/>
  <c r="J11" i="62"/>
  <c r="I11" i="62"/>
  <c r="H11" i="62"/>
  <c r="G11" i="62"/>
  <c r="F11" i="62"/>
  <c r="E11" i="62"/>
  <c r="D11" i="62"/>
  <c r="B11" i="62"/>
  <c r="K10" i="62"/>
  <c r="K9" i="62"/>
  <c r="K8" i="62"/>
  <c r="K7" i="62"/>
  <c r="K5" i="62"/>
  <c r="K4" i="62"/>
  <c r="N21" i="60"/>
  <c r="N20" i="60"/>
  <c r="N19" i="60"/>
  <c r="N18" i="60"/>
  <c r="N17" i="60"/>
  <c r="N16" i="60"/>
  <c r="N15" i="60"/>
  <c r="N14" i="60"/>
  <c r="D24" i="60"/>
  <c r="C7" i="60"/>
  <c r="C6" i="60"/>
  <c r="D21" i="60"/>
  <c r="D20" i="60"/>
  <c r="D19" i="60"/>
  <c r="D18" i="60"/>
  <c r="D17" i="60"/>
  <c r="D16" i="60"/>
  <c r="D15" i="60"/>
  <c r="D14" i="60"/>
  <c r="D22" i="60" s="1"/>
  <c r="J11" i="60"/>
  <c r="I11" i="60"/>
  <c r="H11" i="60"/>
  <c r="G11" i="60"/>
  <c r="F11" i="60"/>
  <c r="E11" i="60"/>
  <c r="D11" i="60"/>
  <c r="B11" i="60"/>
  <c r="K10" i="60"/>
  <c r="K9" i="60"/>
  <c r="K8" i="60"/>
  <c r="K7" i="60"/>
  <c r="K5" i="60"/>
  <c r="K4" i="60"/>
  <c r="D24" i="59"/>
  <c r="C6" i="59"/>
  <c r="C7" i="59"/>
  <c r="D24" i="58"/>
  <c r="D21" i="59"/>
  <c r="D20" i="59"/>
  <c r="D19" i="59"/>
  <c r="D18" i="59"/>
  <c r="D17" i="59"/>
  <c r="D16" i="59"/>
  <c r="D15" i="59"/>
  <c r="D14" i="59"/>
  <c r="D22" i="59" s="1"/>
  <c r="J11" i="59"/>
  <c r="I11" i="59"/>
  <c r="H11" i="59"/>
  <c r="G11" i="59"/>
  <c r="F11" i="59"/>
  <c r="E11" i="59"/>
  <c r="D11" i="59"/>
  <c r="B11" i="59"/>
  <c r="K10" i="59"/>
  <c r="K9" i="59"/>
  <c r="K8" i="59"/>
  <c r="K7" i="59"/>
  <c r="K5" i="59"/>
  <c r="K4" i="59"/>
  <c r="C7" i="58"/>
  <c r="C6" i="58"/>
  <c r="D21" i="58"/>
  <c r="D20" i="58"/>
  <c r="D19" i="58"/>
  <c r="D18" i="58"/>
  <c r="D17" i="58"/>
  <c r="D16" i="58"/>
  <c r="D15" i="58"/>
  <c r="D14" i="58"/>
  <c r="D22" i="58" s="1"/>
  <c r="J11" i="58"/>
  <c r="I11" i="58"/>
  <c r="H11" i="58"/>
  <c r="G11" i="58"/>
  <c r="F11" i="58"/>
  <c r="E11" i="58"/>
  <c r="D11" i="58"/>
  <c r="C11" i="58"/>
  <c r="B11" i="58"/>
  <c r="K10" i="58"/>
  <c r="K9" i="58"/>
  <c r="K8" i="58"/>
  <c r="K7" i="58"/>
  <c r="K6" i="58"/>
  <c r="K5" i="58"/>
  <c r="K4" i="58"/>
  <c r="D24" i="57"/>
  <c r="C7" i="57"/>
  <c r="C6" i="57"/>
  <c r="D21" i="57"/>
  <c r="D20" i="57"/>
  <c r="D19" i="57"/>
  <c r="D18" i="57"/>
  <c r="D17" i="57"/>
  <c r="D16" i="57"/>
  <c r="D15" i="57"/>
  <c r="D22" i="57" s="1"/>
  <c r="D14" i="57"/>
  <c r="J11" i="57"/>
  <c r="I11" i="57"/>
  <c r="H11" i="57"/>
  <c r="G11" i="57"/>
  <c r="F11" i="57"/>
  <c r="E11" i="57"/>
  <c r="D11" i="57"/>
  <c r="C11" i="57"/>
  <c r="B11" i="57"/>
  <c r="K10" i="57"/>
  <c r="K9" i="57"/>
  <c r="K8" i="57"/>
  <c r="K7" i="57"/>
  <c r="K6" i="57"/>
  <c r="K5" i="57"/>
  <c r="K4" i="57"/>
  <c r="D24" i="56"/>
  <c r="C6" i="56"/>
  <c r="C7" i="56"/>
  <c r="D21" i="56"/>
  <c r="D20" i="56"/>
  <c r="D19" i="56"/>
  <c r="D18" i="56"/>
  <c r="D17" i="56"/>
  <c r="D16" i="56"/>
  <c r="D15" i="56"/>
  <c r="D14" i="56"/>
  <c r="D22" i="56" s="1"/>
  <c r="J11" i="56"/>
  <c r="I11" i="56"/>
  <c r="H11" i="56"/>
  <c r="G11" i="56"/>
  <c r="F11" i="56"/>
  <c r="E11" i="56"/>
  <c r="D11" i="56"/>
  <c r="B11" i="56"/>
  <c r="K10" i="56"/>
  <c r="K9" i="56"/>
  <c r="K8" i="56"/>
  <c r="K7" i="56"/>
  <c r="K5" i="56"/>
  <c r="K4" i="56"/>
  <c r="D24" i="55"/>
  <c r="C6" i="55"/>
  <c r="C7" i="55"/>
  <c r="D21" i="55"/>
  <c r="D20" i="55"/>
  <c r="D19" i="55"/>
  <c r="D18" i="55"/>
  <c r="D17" i="55"/>
  <c r="D16" i="55"/>
  <c r="D15" i="55"/>
  <c r="D14" i="55"/>
  <c r="J11" i="55"/>
  <c r="I11" i="55"/>
  <c r="H11" i="55"/>
  <c r="G11" i="55"/>
  <c r="F11" i="55"/>
  <c r="E11" i="55"/>
  <c r="D11" i="55"/>
  <c r="B11" i="55"/>
  <c r="K10" i="55"/>
  <c r="K9" i="55"/>
  <c r="K8" i="55"/>
  <c r="K7" i="55"/>
  <c r="K5" i="55"/>
  <c r="K4" i="55"/>
  <c r="C7" i="54"/>
  <c r="C6" i="54"/>
  <c r="D21" i="54"/>
  <c r="D20" i="54"/>
  <c r="D19" i="54"/>
  <c r="D18" i="54"/>
  <c r="D17" i="54"/>
  <c r="D16" i="54"/>
  <c r="D15" i="54"/>
  <c r="D14" i="54"/>
  <c r="D22" i="54" s="1"/>
  <c r="J11" i="54"/>
  <c r="I11" i="54"/>
  <c r="H11" i="54"/>
  <c r="G11" i="54"/>
  <c r="F11" i="54"/>
  <c r="E11" i="54"/>
  <c r="D11" i="54"/>
  <c r="B11" i="54"/>
  <c r="K10" i="54"/>
  <c r="K9" i="54"/>
  <c r="K8" i="54"/>
  <c r="K7" i="54"/>
  <c r="K5" i="54"/>
  <c r="K4" i="54"/>
  <c r="N21" i="53"/>
  <c r="N20" i="53"/>
  <c r="N19" i="53"/>
  <c r="N18" i="53"/>
  <c r="N17" i="53"/>
  <c r="N16" i="53"/>
  <c r="N15" i="53"/>
  <c r="N14" i="53"/>
  <c r="D24" i="53"/>
  <c r="C6" i="53"/>
  <c r="C7" i="53"/>
  <c r="D21" i="53"/>
  <c r="D20" i="53"/>
  <c r="D19" i="53"/>
  <c r="D18" i="53"/>
  <c r="D17" i="53"/>
  <c r="D16" i="53"/>
  <c r="D15" i="53"/>
  <c r="D14" i="53"/>
  <c r="J11" i="53"/>
  <c r="I11" i="53"/>
  <c r="H11" i="53"/>
  <c r="G11" i="53"/>
  <c r="F11" i="53"/>
  <c r="E11" i="53"/>
  <c r="D11" i="53"/>
  <c r="B11" i="53"/>
  <c r="K10" i="53"/>
  <c r="K9" i="53"/>
  <c r="K8" i="53"/>
  <c r="K7" i="53"/>
  <c r="K5" i="53"/>
  <c r="K4" i="53"/>
  <c r="D24" i="52"/>
  <c r="C6" i="52"/>
  <c r="C7" i="52"/>
  <c r="C8" i="52"/>
  <c r="D21" i="52"/>
  <c r="D20" i="52"/>
  <c r="D19" i="52"/>
  <c r="D18" i="52"/>
  <c r="D17" i="52"/>
  <c r="D16" i="52"/>
  <c r="D15" i="52"/>
  <c r="D14" i="52"/>
  <c r="J11" i="52"/>
  <c r="I11" i="52"/>
  <c r="H11" i="52"/>
  <c r="G11" i="52"/>
  <c r="F11" i="52"/>
  <c r="E11" i="52"/>
  <c r="D11" i="52"/>
  <c r="B11" i="52"/>
  <c r="K10" i="52"/>
  <c r="K9" i="52"/>
  <c r="K8" i="52"/>
  <c r="K6" i="52"/>
  <c r="K5" i="52"/>
  <c r="K4" i="52"/>
  <c r="D24" i="50"/>
  <c r="D24" i="49"/>
  <c r="D24" i="51"/>
  <c r="D24" i="46"/>
  <c r="D21" i="51"/>
  <c r="D20" i="51"/>
  <c r="D19" i="51"/>
  <c r="D18" i="51"/>
  <c r="D17" i="51"/>
  <c r="D16" i="51"/>
  <c r="D15" i="51"/>
  <c r="D14" i="51"/>
  <c r="D22" i="51" s="1"/>
  <c r="I7" i="51"/>
  <c r="C9" i="51"/>
  <c r="C8" i="51"/>
  <c r="C7" i="51"/>
  <c r="J11" i="51"/>
  <c r="I11" i="51"/>
  <c r="H11" i="51"/>
  <c r="G11" i="51"/>
  <c r="F11" i="51"/>
  <c r="E11" i="51"/>
  <c r="D11" i="51"/>
  <c r="B11" i="51"/>
  <c r="K10" i="51"/>
  <c r="K9" i="51"/>
  <c r="K8" i="51"/>
  <c r="K6" i="51"/>
  <c r="K5" i="51"/>
  <c r="K4" i="51"/>
  <c r="C8" i="50"/>
  <c r="K8" i="50" s="1"/>
  <c r="C7" i="50"/>
  <c r="C10" i="50"/>
  <c r="D21" i="50"/>
  <c r="D20" i="50"/>
  <c r="D19" i="50"/>
  <c r="D18" i="50"/>
  <c r="D17" i="50"/>
  <c r="D16" i="50"/>
  <c r="D15" i="50"/>
  <c r="D14" i="50"/>
  <c r="D22" i="50" s="1"/>
  <c r="J11" i="50"/>
  <c r="H11" i="50"/>
  <c r="G11" i="50"/>
  <c r="F11" i="50"/>
  <c r="E11" i="50"/>
  <c r="D11" i="50"/>
  <c r="B11" i="50"/>
  <c r="K10" i="50"/>
  <c r="K9" i="50"/>
  <c r="I11" i="50"/>
  <c r="K7" i="50"/>
  <c r="K5" i="50"/>
  <c r="K4" i="50"/>
  <c r="C6" i="49"/>
  <c r="K6" i="49"/>
  <c r="C7" i="49"/>
  <c r="I7" i="49"/>
  <c r="C8" i="49"/>
  <c r="D21" i="49"/>
  <c r="D20" i="49"/>
  <c r="D19" i="49"/>
  <c r="D18" i="49"/>
  <c r="D17" i="49"/>
  <c r="D16" i="49"/>
  <c r="D15" i="49"/>
  <c r="D14" i="49"/>
  <c r="J11" i="49"/>
  <c r="I11" i="49"/>
  <c r="H11" i="49"/>
  <c r="G11" i="49"/>
  <c r="F11" i="49"/>
  <c r="E11" i="49"/>
  <c r="D11" i="49"/>
  <c r="B11" i="49"/>
  <c r="K10" i="49"/>
  <c r="K9" i="49"/>
  <c r="K8" i="49"/>
  <c r="K5" i="49"/>
  <c r="K4" i="49"/>
  <c r="I7" i="46"/>
  <c r="C7" i="46"/>
  <c r="C8" i="46"/>
  <c r="D21" i="46"/>
  <c r="D20" i="46"/>
  <c r="D19" i="46"/>
  <c r="D18" i="46"/>
  <c r="D17" i="46"/>
  <c r="D16" i="46"/>
  <c r="D15" i="46"/>
  <c r="D14" i="46"/>
  <c r="D22" i="46" s="1"/>
  <c r="J11" i="46"/>
  <c r="I11" i="46"/>
  <c r="H11" i="46"/>
  <c r="G11" i="46"/>
  <c r="F11" i="46"/>
  <c r="E11" i="46"/>
  <c r="D11" i="46"/>
  <c r="B11" i="46"/>
  <c r="K10" i="46"/>
  <c r="K9" i="46"/>
  <c r="K8" i="46"/>
  <c r="K6" i="46"/>
  <c r="K5" i="46"/>
  <c r="K4" i="46"/>
  <c r="C7" i="45"/>
  <c r="C8" i="45"/>
  <c r="K8" i="45" s="1"/>
  <c r="D21" i="45"/>
  <c r="D20" i="45"/>
  <c r="D19" i="45"/>
  <c r="D18" i="45"/>
  <c r="D17" i="45"/>
  <c r="D16" i="45"/>
  <c r="D15" i="45"/>
  <c r="D14" i="45"/>
  <c r="J11" i="45"/>
  <c r="H11" i="45"/>
  <c r="G11" i="45"/>
  <c r="F11" i="45"/>
  <c r="E11" i="45"/>
  <c r="D11" i="45"/>
  <c r="B11" i="45"/>
  <c r="K10" i="45"/>
  <c r="K9" i="45"/>
  <c r="I11" i="45"/>
  <c r="K6" i="45"/>
  <c r="K5" i="45"/>
  <c r="K4" i="45"/>
  <c r="N21" i="44"/>
  <c r="N20" i="44"/>
  <c r="N19" i="44"/>
  <c r="N18" i="44"/>
  <c r="N17" i="44"/>
  <c r="N16" i="44"/>
  <c r="N15" i="44"/>
  <c r="N14" i="44"/>
  <c r="D24" i="44"/>
  <c r="I8" i="44"/>
  <c r="C8" i="44"/>
  <c r="C7" i="44"/>
  <c r="C9" i="44"/>
  <c r="D21" i="44"/>
  <c r="D20" i="44"/>
  <c r="D19" i="44"/>
  <c r="D18" i="44"/>
  <c r="D17" i="44"/>
  <c r="D16" i="44"/>
  <c r="D15" i="44"/>
  <c r="D14" i="44"/>
  <c r="J11" i="44"/>
  <c r="I11" i="44"/>
  <c r="H11" i="44"/>
  <c r="G11" i="44"/>
  <c r="F11" i="44"/>
  <c r="E11" i="44"/>
  <c r="D11" i="44"/>
  <c r="B11" i="44"/>
  <c r="K10" i="44"/>
  <c r="K9" i="44"/>
  <c r="K8" i="44"/>
  <c r="K6" i="44"/>
  <c r="K5" i="44"/>
  <c r="K4" i="44"/>
  <c r="D24" i="43"/>
  <c r="C8" i="43"/>
  <c r="C9" i="43"/>
  <c r="C7" i="43"/>
  <c r="D24" i="42"/>
  <c r="C7" i="42"/>
  <c r="C9" i="42"/>
  <c r="C8" i="42"/>
  <c r="D21" i="43"/>
  <c r="D20" i="43"/>
  <c r="D19" i="43"/>
  <c r="D18" i="43"/>
  <c r="D17" i="43"/>
  <c r="D16" i="43"/>
  <c r="D15" i="43"/>
  <c r="D14" i="43"/>
  <c r="J11" i="43"/>
  <c r="I11" i="43"/>
  <c r="H11" i="43"/>
  <c r="G11" i="43"/>
  <c r="F11" i="43"/>
  <c r="E11" i="43"/>
  <c r="D11" i="43"/>
  <c r="B11" i="43"/>
  <c r="K10" i="43"/>
  <c r="K9" i="43"/>
  <c r="K8" i="43"/>
  <c r="K6" i="43"/>
  <c r="K5" i="43"/>
  <c r="K4" i="43"/>
  <c r="D21" i="42"/>
  <c r="D20" i="42"/>
  <c r="D19" i="42"/>
  <c r="D18" i="42"/>
  <c r="D17" i="42"/>
  <c r="D16" i="42"/>
  <c r="D15" i="42"/>
  <c r="D14" i="42"/>
  <c r="D22" i="42" s="1"/>
  <c r="J11" i="42"/>
  <c r="I11" i="42"/>
  <c r="H11" i="42"/>
  <c r="G11" i="42"/>
  <c r="F11" i="42"/>
  <c r="E11" i="42"/>
  <c r="D11" i="42"/>
  <c r="B11" i="42"/>
  <c r="K10" i="42"/>
  <c r="K9" i="42"/>
  <c r="K8" i="42"/>
  <c r="K6" i="42"/>
  <c r="K5" i="42"/>
  <c r="K4" i="42"/>
  <c r="D24" i="41"/>
  <c r="C7" i="41"/>
  <c r="C9" i="41"/>
  <c r="D21" i="41"/>
  <c r="D20" i="41"/>
  <c r="D19" i="41"/>
  <c r="D18" i="41"/>
  <c r="D17" i="41"/>
  <c r="D16" i="41"/>
  <c r="D15" i="41"/>
  <c r="D14" i="41"/>
  <c r="D22" i="41" s="1"/>
  <c r="J11" i="41"/>
  <c r="H11" i="41"/>
  <c r="G11" i="41"/>
  <c r="F11" i="41"/>
  <c r="E11" i="41"/>
  <c r="D11" i="41"/>
  <c r="B11" i="41"/>
  <c r="I11" i="41"/>
  <c r="K10" i="41"/>
  <c r="K9" i="41"/>
  <c r="K8" i="41"/>
  <c r="K6" i="41"/>
  <c r="K5" i="41"/>
  <c r="K4" i="41"/>
  <c r="D24" i="40"/>
  <c r="C7" i="40"/>
  <c r="I10" i="40"/>
  <c r="C10" i="40"/>
  <c r="C9" i="40"/>
  <c r="D21" i="40"/>
  <c r="D20" i="40"/>
  <c r="D19" i="40"/>
  <c r="D18" i="40"/>
  <c r="D17" i="40"/>
  <c r="D16" i="40"/>
  <c r="D15" i="40"/>
  <c r="D14" i="40"/>
  <c r="J11" i="40"/>
  <c r="I11" i="40"/>
  <c r="H11" i="40"/>
  <c r="G11" i="40"/>
  <c r="F11" i="40"/>
  <c r="E11" i="40"/>
  <c r="D11" i="40"/>
  <c r="B11" i="40"/>
  <c r="K10" i="40"/>
  <c r="K9" i="40"/>
  <c r="K8" i="40"/>
  <c r="K6" i="40"/>
  <c r="K5" i="40"/>
  <c r="K4" i="40"/>
  <c r="D24" i="39"/>
  <c r="C9" i="39"/>
  <c r="C7" i="39"/>
  <c r="C10" i="39"/>
  <c r="D21" i="39"/>
  <c r="D20" i="39"/>
  <c r="D19" i="39"/>
  <c r="D18" i="39"/>
  <c r="D17" i="39"/>
  <c r="D16" i="39"/>
  <c r="D15" i="39"/>
  <c r="D14" i="39"/>
  <c r="J11" i="39"/>
  <c r="I11" i="39"/>
  <c r="H11" i="39"/>
  <c r="G11" i="39"/>
  <c r="F11" i="39"/>
  <c r="E11" i="39"/>
  <c r="D11" i="39"/>
  <c r="B11" i="39"/>
  <c r="K10" i="39"/>
  <c r="K9" i="39"/>
  <c r="K8" i="39"/>
  <c r="K6" i="39"/>
  <c r="K5" i="39"/>
  <c r="K4" i="39"/>
  <c r="C7" i="38"/>
  <c r="C10" i="38"/>
  <c r="C9" i="38"/>
  <c r="D21" i="38"/>
  <c r="D20" i="38"/>
  <c r="D19" i="38"/>
  <c r="D18" i="38"/>
  <c r="D17" i="38"/>
  <c r="D16" i="38"/>
  <c r="D15" i="38"/>
  <c r="D14" i="38"/>
  <c r="J11" i="38"/>
  <c r="I11" i="38"/>
  <c r="H11" i="38"/>
  <c r="G11" i="38"/>
  <c r="F11" i="38"/>
  <c r="E11" i="38"/>
  <c r="D11" i="38"/>
  <c r="B11" i="38"/>
  <c r="K10" i="38"/>
  <c r="O8" i="38"/>
  <c r="K8" i="38"/>
  <c r="N8" i="38" s="1"/>
  <c r="K7" i="38"/>
  <c r="K6" i="38"/>
  <c r="K5" i="38"/>
  <c r="K4" i="38"/>
  <c r="D24" i="37"/>
  <c r="N21" i="37"/>
  <c r="N20" i="37"/>
  <c r="N19" i="37"/>
  <c r="N18" i="37"/>
  <c r="N17" i="37"/>
  <c r="N16" i="37"/>
  <c r="N15" i="37"/>
  <c r="N14" i="37"/>
  <c r="N22" i="37" s="1"/>
  <c r="C9" i="37"/>
  <c r="I7" i="37"/>
  <c r="C7" i="37"/>
  <c r="C10" i="37"/>
  <c r="D21" i="37"/>
  <c r="D20" i="37"/>
  <c r="D19" i="37"/>
  <c r="D18" i="37"/>
  <c r="D17" i="37"/>
  <c r="D16" i="37"/>
  <c r="D15" i="37"/>
  <c r="D14" i="37"/>
  <c r="J11" i="37"/>
  <c r="I11" i="37"/>
  <c r="H11" i="37"/>
  <c r="G11" i="37"/>
  <c r="F11" i="37"/>
  <c r="E11" i="37"/>
  <c r="D11" i="37"/>
  <c r="B11" i="37"/>
  <c r="K10" i="37"/>
  <c r="K9" i="37"/>
  <c r="K8" i="37"/>
  <c r="K6" i="37"/>
  <c r="K5" i="37"/>
  <c r="K4" i="37"/>
  <c r="D24" i="36"/>
  <c r="C9" i="36"/>
  <c r="C10" i="36"/>
  <c r="C7" i="36"/>
  <c r="D21" i="36"/>
  <c r="D20" i="36"/>
  <c r="D19" i="36"/>
  <c r="D18" i="36"/>
  <c r="D17" i="36"/>
  <c r="D16" i="36"/>
  <c r="D15" i="36"/>
  <c r="D14" i="36"/>
  <c r="D22" i="36" s="1"/>
  <c r="J11" i="36"/>
  <c r="I11" i="36"/>
  <c r="H11" i="36"/>
  <c r="G11" i="36"/>
  <c r="F11" i="36"/>
  <c r="E11" i="36"/>
  <c r="D11" i="36"/>
  <c r="B11" i="36"/>
  <c r="K10" i="36"/>
  <c r="K9" i="36"/>
  <c r="K8" i="36"/>
  <c r="K6" i="36"/>
  <c r="K5" i="36"/>
  <c r="K4" i="36"/>
  <c r="D24" i="35"/>
  <c r="C10" i="35"/>
  <c r="C9" i="35"/>
  <c r="C7" i="35"/>
  <c r="D21" i="35"/>
  <c r="D20" i="35"/>
  <c r="D19" i="35"/>
  <c r="D18" i="35"/>
  <c r="D17" i="35"/>
  <c r="D16" i="35"/>
  <c r="D15" i="35"/>
  <c r="D14" i="35"/>
  <c r="J11" i="35"/>
  <c r="I11" i="35"/>
  <c r="H11" i="35"/>
  <c r="G11" i="35"/>
  <c r="F11" i="35"/>
  <c r="E11" i="35"/>
  <c r="D11" i="35"/>
  <c r="B11" i="35"/>
  <c r="K10" i="35"/>
  <c r="K9" i="35"/>
  <c r="K8" i="35"/>
  <c r="K6" i="35"/>
  <c r="K5" i="35"/>
  <c r="K4" i="35"/>
  <c r="D24" i="34"/>
  <c r="C7" i="34"/>
  <c r="C10" i="34"/>
  <c r="C9" i="34"/>
  <c r="D21" i="34"/>
  <c r="D20" i="34"/>
  <c r="D19" i="34"/>
  <c r="D18" i="34"/>
  <c r="D17" i="34"/>
  <c r="D16" i="34"/>
  <c r="D15" i="34"/>
  <c r="D14" i="34"/>
  <c r="J11" i="34"/>
  <c r="I11" i="34"/>
  <c r="H11" i="34"/>
  <c r="G11" i="34"/>
  <c r="F11" i="34"/>
  <c r="E11" i="34"/>
  <c r="D11" i="34"/>
  <c r="B11" i="34"/>
  <c r="K10" i="34"/>
  <c r="K9" i="34"/>
  <c r="K8" i="34"/>
  <c r="K7" i="34"/>
  <c r="C11" i="34"/>
  <c r="K6" i="34"/>
  <c r="K5" i="34"/>
  <c r="K4" i="34"/>
  <c r="D24" i="33"/>
  <c r="C10" i="33"/>
  <c r="C7" i="33"/>
  <c r="I9" i="33"/>
  <c r="C9" i="33"/>
  <c r="B11" i="33"/>
  <c r="D24" i="32"/>
  <c r="C7" i="32"/>
  <c r="C10" i="32"/>
  <c r="K10" i="32"/>
  <c r="D21" i="33"/>
  <c r="D20" i="33"/>
  <c r="D19" i="33"/>
  <c r="D18" i="33"/>
  <c r="D17" i="33"/>
  <c r="D16" i="33"/>
  <c r="D15" i="33"/>
  <c r="D14" i="33"/>
  <c r="D22" i="33" s="1"/>
  <c r="J11" i="33"/>
  <c r="I11" i="33"/>
  <c r="H11" i="33"/>
  <c r="G11" i="33"/>
  <c r="F11" i="33"/>
  <c r="E11" i="33"/>
  <c r="D11" i="33"/>
  <c r="K10" i="33"/>
  <c r="K9" i="33"/>
  <c r="K8" i="33"/>
  <c r="K6" i="33"/>
  <c r="K5" i="33"/>
  <c r="K4" i="33"/>
  <c r="D21" i="32"/>
  <c r="D20" i="32"/>
  <c r="D19" i="32"/>
  <c r="D18" i="32"/>
  <c r="D17" i="32"/>
  <c r="D16" i="32"/>
  <c r="D15" i="32"/>
  <c r="D14" i="32"/>
  <c r="J11" i="32"/>
  <c r="I11" i="32"/>
  <c r="H11" i="32"/>
  <c r="G11" i="32"/>
  <c r="F11" i="32"/>
  <c r="E11" i="32"/>
  <c r="D11" i="32"/>
  <c r="B11" i="32"/>
  <c r="K9" i="32"/>
  <c r="K8" i="32"/>
  <c r="K6" i="32"/>
  <c r="K5" i="32"/>
  <c r="K4" i="32"/>
  <c r="C7" i="31"/>
  <c r="C10" i="31"/>
  <c r="K10" i="31" s="1"/>
  <c r="D21" i="31"/>
  <c r="D20" i="31"/>
  <c r="D19" i="31"/>
  <c r="D18" i="31"/>
  <c r="D17" i="31"/>
  <c r="D16" i="31"/>
  <c r="D15" i="31"/>
  <c r="D14" i="31"/>
  <c r="D22" i="31" s="1"/>
  <c r="J11" i="31"/>
  <c r="I11" i="31"/>
  <c r="H11" i="31"/>
  <c r="G11" i="31"/>
  <c r="F11" i="31"/>
  <c r="E11" i="31"/>
  <c r="D11" i="31"/>
  <c r="B11" i="31"/>
  <c r="K9" i="31"/>
  <c r="K8" i="31"/>
  <c r="K7" i="31"/>
  <c r="K5" i="31"/>
  <c r="K4" i="31"/>
  <c r="D24" i="30"/>
  <c r="D24" i="29"/>
  <c r="D24" i="28"/>
  <c r="D24" i="26"/>
  <c r="D24" i="25"/>
  <c r="N21" i="30"/>
  <c r="N20" i="30"/>
  <c r="N19" i="30"/>
  <c r="N18" i="30"/>
  <c r="N17" i="30"/>
  <c r="N16" i="30"/>
  <c r="N15" i="30"/>
  <c r="N14" i="30"/>
  <c r="N22" i="30" s="1"/>
  <c r="C9" i="30"/>
  <c r="C7" i="30"/>
  <c r="C6" i="30"/>
  <c r="D21" i="30"/>
  <c r="D20" i="30"/>
  <c r="D19" i="30"/>
  <c r="D18" i="30"/>
  <c r="D17" i="30"/>
  <c r="D16" i="30"/>
  <c r="D15" i="30"/>
  <c r="D14" i="30"/>
  <c r="D22" i="30" s="1"/>
  <c r="J11" i="30"/>
  <c r="I11" i="30"/>
  <c r="H11" i="30"/>
  <c r="G11" i="30"/>
  <c r="F11" i="30"/>
  <c r="E11" i="30"/>
  <c r="D11" i="30"/>
  <c r="B11" i="30"/>
  <c r="K10" i="30"/>
  <c r="K8" i="30"/>
  <c r="K7" i="30"/>
  <c r="K6" i="30"/>
  <c r="K5" i="30"/>
  <c r="K4" i="30"/>
  <c r="C6" i="29"/>
  <c r="C7" i="29"/>
  <c r="C9" i="29"/>
  <c r="C10" i="29"/>
  <c r="I7" i="29"/>
  <c r="D21" i="29"/>
  <c r="D20" i="29"/>
  <c r="D19" i="29"/>
  <c r="D18" i="29"/>
  <c r="D17" i="29"/>
  <c r="D16" i="29"/>
  <c r="D15" i="29"/>
  <c r="D14" i="29"/>
  <c r="D22" i="29" s="1"/>
  <c r="J11" i="29"/>
  <c r="I11" i="29"/>
  <c r="H11" i="29"/>
  <c r="G11" i="29"/>
  <c r="F11" i="29"/>
  <c r="E11" i="29"/>
  <c r="D11" i="29"/>
  <c r="B11" i="29"/>
  <c r="K10" i="29"/>
  <c r="K9" i="29"/>
  <c r="K8" i="29"/>
  <c r="K7" i="29"/>
  <c r="K5" i="29"/>
  <c r="K4" i="29"/>
  <c r="C10" i="28"/>
  <c r="C6" i="28"/>
  <c r="C7" i="28"/>
  <c r="D21" i="28"/>
  <c r="D20" i="28"/>
  <c r="D19" i="28"/>
  <c r="D18" i="28"/>
  <c r="D17" i="28"/>
  <c r="D16" i="28"/>
  <c r="D15" i="28"/>
  <c r="D14" i="28"/>
  <c r="J11" i="28"/>
  <c r="I11" i="28"/>
  <c r="H11" i="28"/>
  <c r="G11" i="28"/>
  <c r="F11" i="28"/>
  <c r="E11" i="28"/>
  <c r="D11" i="28"/>
  <c r="B11" i="28"/>
  <c r="K10" i="28"/>
  <c r="K9" i="28"/>
  <c r="K8" i="28"/>
  <c r="K7" i="28"/>
  <c r="K5" i="28"/>
  <c r="K4" i="28"/>
  <c r="C6" i="26"/>
  <c r="K6" i="26" s="1"/>
  <c r="C7" i="26"/>
  <c r="K7" i="26" s="1"/>
  <c r="C10" i="26"/>
  <c r="D21" i="26"/>
  <c r="D20" i="26"/>
  <c r="D19" i="26"/>
  <c r="D18" i="26"/>
  <c r="D17" i="26"/>
  <c r="D16" i="26"/>
  <c r="D15" i="26"/>
  <c r="D14" i="26"/>
  <c r="D22" i="26" s="1"/>
  <c r="J11" i="26"/>
  <c r="I11" i="26"/>
  <c r="H11" i="26"/>
  <c r="G11" i="26"/>
  <c r="F11" i="26"/>
  <c r="E11" i="26"/>
  <c r="D11" i="26"/>
  <c r="C11" i="26"/>
  <c r="B11" i="26"/>
  <c r="K10" i="26"/>
  <c r="O9" i="26"/>
  <c r="N9" i="26"/>
  <c r="K9" i="26"/>
  <c r="K8" i="26"/>
  <c r="K5" i="26"/>
  <c r="K4" i="26"/>
  <c r="C6" i="25"/>
  <c r="C7" i="25"/>
  <c r="D21" i="25"/>
  <c r="D20" i="25"/>
  <c r="D19" i="25"/>
  <c r="D18" i="25"/>
  <c r="D17" i="25"/>
  <c r="D16" i="25"/>
  <c r="D15" i="25"/>
  <c r="D14" i="25"/>
  <c r="J11" i="25"/>
  <c r="I11" i="25"/>
  <c r="H11" i="25"/>
  <c r="G11" i="25"/>
  <c r="F11" i="25"/>
  <c r="E11" i="25"/>
  <c r="D11" i="25"/>
  <c r="B11" i="25"/>
  <c r="K10" i="25"/>
  <c r="O9" i="25"/>
  <c r="K9" i="25"/>
  <c r="N9" i="25" s="1"/>
  <c r="K8" i="25"/>
  <c r="K6" i="25"/>
  <c r="K5" i="25"/>
  <c r="K4" i="25"/>
  <c r="C6" i="23"/>
  <c r="C7" i="23"/>
  <c r="D21" i="23"/>
  <c r="D20" i="23"/>
  <c r="D19" i="23"/>
  <c r="D18" i="23"/>
  <c r="D17" i="23"/>
  <c r="D16" i="23"/>
  <c r="D15" i="23"/>
  <c r="D22" i="23" s="1"/>
  <c r="D14" i="23"/>
  <c r="J11" i="23"/>
  <c r="I11" i="23"/>
  <c r="H11" i="23"/>
  <c r="G11" i="23"/>
  <c r="F11" i="23"/>
  <c r="E11" i="23"/>
  <c r="D11" i="23"/>
  <c r="B11" i="23"/>
  <c r="K10" i="23"/>
  <c r="K9" i="23"/>
  <c r="K8" i="23"/>
  <c r="K7" i="23"/>
  <c r="K5" i="23"/>
  <c r="K4" i="23"/>
  <c r="N21" i="22"/>
  <c r="N20" i="22"/>
  <c r="N19" i="22"/>
  <c r="N18" i="22"/>
  <c r="N17" i="22"/>
  <c r="N16" i="22"/>
  <c r="N15" i="22"/>
  <c r="N14" i="22"/>
  <c r="N22" i="22" s="1"/>
  <c r="D24" i="22"/>
  <c r="C6" i="22"/>
  <c r="C7" i="22"/>
  <c r="D21" i="22"/>
  <c r="D20" i="22"/>
  <c r="D19" i="22"/>
  <c r="D18" i="22"/>
  <c r="D17" i="22"/>
  <c r="D16" i="22"/>
  <c r="D15" i="22"/>
  <c r="D14" i="22"/>
  <c r="J11" i="22"/>
  <c r="I11" i="22"/>
  <c r="H11" i="22"/>
  <c r="G11" i="22"/>
  <c r="F11" i="22"/>
  <c r="E11" i="22"/>
  <c r="D11" i="22"/>
  <c r="B11" i="22"/>
  <c r="K10" i="22"/>
  <c r="K9" i="22"/>
  <c r="K8" i="22"/>
  <c r="K7" i="22"/>
  <c r="K5" i="22"/>
  <c r="K4" i="22"/>
  <c r="D24" i="21"/>
  <c r="C6" i="21"/>
  <c r="D21" i="21"/>
  <c r="D20" i="21"/>
  <c r="D19" i="21"/>
  <c r="D18" i="21"/>
  <c r="D17" i="21"/>
  <c r="D16" i="21"/>
  <c r="D15" i="21"/>
  <c r="D14" i="21"/>
  <c r="D22" i="21" s="1"/>
  <c r="J11" i="21"/>
  <c r="I11" i="21"/>
  <c r="H11" i="21"/>
  <c r="G11" i="21"/>
  <c r="F11" i="21"/>
  <c r="E11" i="21"/>
  <c r="D11" i="21"/>
  <c r="B11" i="21"/>
  <c r="K10" i="21"/>
  <c r="K9" i="21"/>
  <c r="K8" i="21"/>
  <c r="K7" i="21"/>
  <c r="K5" i="21"/>
  <c r="K4" i="21"/>
  <c r="D24" i="20"/>
  <c r="C7" i="20"/>
  <c r="C6" i="20"/>
  <c r="K4" i="18"/>
  <c r="D24" i="19"/>
  <c r="D24" i="18"/>
  <c r="D24" i="17"/>
  <c r="D21" i="20"/>
  <c r="D20" i="20"/>
  <c r="D19" i="20"/>
  <c r="D18" i="20"/>
  <c r="D17" i="20"/>
  <c r="D16" i="20"/>
  <c r="D15" i="20"/>
  <c r="D14" i="20"/>
  <c r="D22" i="20" s="1"/>
  <c r="J11" i="20"/>
  <c r="I11" i="20"/>
  <c r="H11" i="20"/>
  <c r="G11" i="20"/>
  <c r="F11" i="20"/>
  <c r="E11" i="20"/>
  <c r="D11" i="20"/>
  <c r="B11" i="20"/>
  <c r="K10" i="20"/>
  <c r="K9" i="20"/>
  <c r="K8" i="20"/>
  <c r="K7" i="20"/>
  <c r="K5" i="20"/>
  <c r="K4" i="20"/>
  <c r="D21" i="19"/>
  <c r="D20" i="19"/>
  <c r="D19" i="19"/>
  <c r="D18" i="19"/>
  <c r="D17" i="19"/>
  <c r="D16" i="19"/>
  <c r="D15" i="19"/>
  <c r="D14" i="19"/>
  <c r="D22" i="19" s="1"/>
  <c r="J11" i="19"/>
  <c r="I11" i="19"/>
  <c r="H11" i="19"/>
  <c r="G11" i="19"/>
  <c r="F11" i="19"/>
  <c r="E11" i="19"/>
  <c r="D11" i="19"/>
  <c r="C11" i="19"/>
  <c r="B11" i="19"/>
  <c r="K10" i="19"/>
  <c r="K9" i="19"/>
  <c r="K8" i="19"/>
  <c r="K7" i="19"/>
  <c r="K6" i="19"/>
  <c r="K5" i="19"/>
  <c r="K4" i="19"/>
  <c r="D21" i="18"/>
  <c r="D20" i="18"/>
  <c r="D19" i="18"/>
  <c r="D18" i="18"/>
  <c r="D17" i="18"/>
  <c r="D16" i="18"/>
  <c r="D15" i="18"/>
  <c r="D14" i="18"/>
  <c r="D22" i="18" s="1"/>
  <c r="J11" i="18"/>
  <c r="I11" i="18"/>
  <c r="H11" i="18"/>
  <c r="G11" i="18"/>
  <c r="F11" i="18"/>
  <c r="E11" i="18"/>
  <c r="D11" i="18"/>
  <c r="C11" i="18"/>
  <c r="B11" i="18"/>
  <c r="K10" i="18"/>
  <c r="K9" i="18"/>
  <c r="K8" i="18"/>
  <c r="K7" i="18"/>
  <c r="K6" i="18"/>
  <c r="K5" i="18"/>
  <c r="D21" i="17"/>
  <c r="D20" i="17"/>
  <c r="D19" i="17"/>
  <c r="D18" i="17"/>
  <c r="D17" i="17"/>
  <c r="D16" i="17"/>
  <c r="D15" i="17"/>
  <c r="D14" i="17"/>
  <c r="J11" i="17"/>
  <c r="I11" i="17"/>
  <c r="H11" i="17"/>
  <c r="G11" i="17"/>
  <c r="F11" i="17"/>
  <c r="E11" i="17"/>
  <c r="D11" i="17"/>
  <c r="B11" i="17"/>
  <c r="K10" i="17"/>
  <c r="K9" i="17"/>
  <c r="K8" i="17"/>
  <c r="K7" i="17"/>
  <c r="K6" i="17"/>
  <c r="C11" i="17"/>
  <c r="K5" i="17"/>
  <c r="K4" i="17"/>
  <c r="D24" i="16"/>
  <c r="C6" i="16"/>
  <c r="K6" i="16" s="1"/>
  <c r="C7" i="16"/>
  <c r="D21" i="16"/>
  <c r="D20" i="16"/>
  <c r="D19" i="16"/>
  <c r="D18" i="16"/>
  <c r="D17" i="16"/>
  <c r="D16" i="16"/>
  <c r="D15" i="16"/>
  <c r="D14" i="16"/>
  <c r="J11" i="16"/>
  <c r="I11" i="16"/>
  <c r="H11" i="16"/>
  <c r="G11" i="16"/>
  <c r="F11" i="16"/>
  <c r="E11" i="16"/>
  <c r="D11" i="16"/>
  <c r="B11" i="16"/>
  <c r="K10" i="16"/>
  <c r="K9" i="16"/>
  <c r="K8" i="16"/>
  <c r="K5" i="16"/>
  <c r="K4" i="16"/>
  <c r="C7" i="15"/>
  <c r="D21" i="15"/>
  <c r="D20" i="15"/>
  <c r="D19" i="15"/>
  <c r="D18" i="15"/>
  <c r="D17" i="15"/>
  <c r="D16" i="15"/>
  <c r="D15" i="15"/>
  <c r="D14" i="15"/>
  <c r="D22" i="15" s="1"/>
  <c r="J11" i="15"/>
  <c r="I11" i="15"/>
  <c r="H11" i="15"/>
  <c r="G11" i="15"/>
  <c r="F11" i="15"/>
  <c r="E11" i="15"/>
  <c r="D11" i="15"/>
  <c r="B11" i="15"/>
  <c r="O10" i="15"/>
  <c r="K10" i="15"/>
  <c r="N10" i="15" s="1"/>
  <c r="K9" i="15"/>
  <c r="K8" i="15"/>
  <c r="K7" i="15"/>
  <c r="K5" i="15"/>
  <c r="K4" i="15"/>
  <c r="N21" i="14"/>
  <c r="N20" i="14"/>
  <c r="N19" i="14"/>
  <c r="N18" i="14"/>
  <c r="N17" i="14"/>
  <c r="N16" i="14"/>
  <c r="N15" i="14"/>
  <c r="N14" i="14"/>
  <c r="D24" i="14"/>
  <c r="C7" i="14"/>
  <c r="C6" i="14"/>
  <c r="D21" i="14"/>
  <c r="D20" i="14"/>
  <c r="D19" i="14"/>
  <c r="D18" i="14"/>
  <c r="D17" i="14"/>
  <c r="D16" i="14"/>
  <c r="D15" i="14"/>
  <c r="D14" i="14"/>
  <c r="D22" i="14" s="1"/>
  <c r="J11" i="14"/>
  <c r="I11" i="14"/>
  <c r="H11" i="14"/>
  <c r="G11" i="14"/>
  <c r="F11" i="14"/>
  <c r="E11" i="14"/>
  <c r="D11" i="14"/>
  <c r="B11" i="14"/>
  <c r="K10" i="14"/>
  <c r="K9" i="14"/>
  <c r="K8" i="14"/>
  <c r="K7" i="14"/>
  <c r="K5" i="14"/>
  <c r="K4" i="14"/>
  <c r="D24" i="13"/>
  <c r="C7" i="13"/>
  <c r="C10" i="13"/>
  <c r="C6" i="13"/>
  <c r="D21" i="13"/>
  <c r="D20" i="13"/>
  <c r="D19" i="13"/>
  <c r="D18" i="13"/>
  <c r="D17" i="13"/>
  <c r="D16" i="13"/>
  <c r="D15" i="13"/>
  <c r="D14" i="13"/>
  <c r="J11" i="13"/>
  <c r="I11" i="13"/>
  <c r="H11" i="13"/>
  <c r="G11" i="13"/>
  <c r="F11" i="13"/>
  <c r="E11" i="13"/>
  <c r="D11" i="13"/>
  <c r="B11" i="13"/>
  <c r="K10" i="13"/>
  <c r="N9" i="13"/>
  <c r="K9" i="13"/>
  <c r="O9" i="13" s="1"/>
  <c r="K8" i="13"/>
  <c r="K7" i="13"/>
  <c r="K5" i="13"/>
  <c r="K4" i="13"/>
  <c r="D24" i="12"/>
  <c r="C7" i="12"/>
  <c r="C6" i="12"/>
  <c r="C10" i="12"/>
  <c r="K10" i="12"/>
  <c r="D21" i="12"/>
  <c r="D20" i="12"/>
  <c r="D19" i="12"/>
  <c r="D18" i="12"/>
  <c r="D17" i="12"/>
  <c r="D16" i="12"/>
  <c r="D15" i="12"/>
  <c r="D14" i="12"/>
  <c r="J11" i="12"/>
  <c r="I11" i="12"/>
  <c r="H11" i="12"/>
  <c r="G11" i="12"/>
  <c r="F11" i="12"/>
  <c r="E11" i="12"/>
  <c r="D11" i="12"/>
  <c r="B11" i="12"/>
  <c r="K9" i="12"/>
  <c r="K8" i="12"/>
  <c r="K7" i="12"/>
  <c r="K5" i="12"/>
  <c r="K4" i="12"/>
  <c r="D24" i="11"/>
  <c r="C6" i="11"/>
  <c r="C7" i="11"/>
  <c r="D21" i="11"/>
  <c r="D20" i="11"/>
  <c r="D19" i="11"/>
  <c r="D18" i="11"/>
  <c r="D17" i="11"/>
  <c r="D16" i="11"/>
  <c r="D15" i="11"/>
  <c r="D14" i="11"/>
  <c r="J11" i="11"/>
  <c r="I11" i="11"/>
  <c r="H11" i="11"/>
  <c r="G11" i="11"/>
  <c r="F11" i="11"/>
  <c r="E11" i="11"/>
  <c r="D11" i="11"/>
  <c r="B11" i="11"/>
  <c r="K10" i="11"/>
  <c r="K9" i="11"/>
  <c r="K8" i="11"/>
  <c r="K7" i="11"/>
  <c r="K5" i="11"/>
  <c r="K4" i="11"/>
  <c r="D24" i="10"/>
  <c r="C6" i="10"/>
  <c r="C7" i="10"/>
  <c r="D21" i="10"/>
  <c r="D20" i="10"/>
  <c r="D19" i="10"/>
  <c r="D18" i="10"/>
  <c r="D17" i="10"/>
  <c r="D16" i="10"/>
  <c r="D15" i="10"/>
  <c r="D14" i="10"/>
  <c r="J11" i="10"/>
  <c r="I11" i="10"/>
  <c r="H11" i="10"/>
  <c r="G11" i="10"/>
  <c r="F11" i="10"/>
  <c r="E11" i="10"/>
  <c r="D11" i="10"/>
  <c r="B11" i="10"/>
  <c r="K10" i="10"/>
  <c r="K9" i="10"/>
  <c r="K8" i="10"/>
  <c r="K7" i="10"/>
  <c r="K5" i="10"/>
  <c r="K4" i="10"/>
  <c r="D24" i="9"/>
  <c r="C6" i="9"/>
  <c r="C7" i="9"/>
  <c r="D21" i="9"/>
  <c r="D20" i="9"/>
  <c r="D19" i="9"/>
  <c r="D18" i="9"/>
  <c r="D17" i="9"/>
  <c r="D16" i="9"/>
  <c r="D15" i="9"/>
  <c r="D14" i="9"/>
  <c r="J11" i="9"/>
  <c r="I11" i="9"/>
  <c r="H11" i="9"/>
  <c r="G11" i="9"/>
  <c r="F11" i="9"/>
  <c r="E11" i="9"/>
  <c r="D11" i="9"/>
  <c r="B11" i="9"/>
  <c r="K10" i="9"/>
  <c r="K9" i="9"/>
  <c r="K8" i="9"/>
  <c r="K7" i="9"/>
  <c r="K5" i="9"/>
  <c r="K4" i="9"/>
  <c r="C6" i="8"/>
  <c r="K6" i="8"/>
  <c r="C7" i="8"/>
  <c r="C8" i="8"/>
  <c r="K8" i="8" s="1"/>
  <c r="D21" i="8"/>
  <c r="D20" i="8"/>
  <c r="D19" i="8"/>
  <c r="D18" i="8"/>
  <c r="D17" i="8"/>
  <c r="D16" i="8"/>
  <c r="D15" i="8"/>
  <c r="D14" i="8"/>
  <c r="J11" i="8"/>
  <c r="I11" i="8"/>
  <c r="H11" i="8"/>
  <c r="G11" i="8"/>
  <c r="F11" i="8"/>
  <c r="E11" i="8"/>
  <c r="D11" i="8"/>
  <c r="B11" i="8"/>
  <c r="K10" i="8"/>
  <c r="K9" i="8"/>
  <c r="K7" i="8"/>
  <c r="K5" i="8"/>
  <c r="K4" i="8"/>
  <c r="D24" i="7"/>
  <c r="C6" i="7"/>
  <c r="C7" i="7"/>
  <c r="I8" i="7"/>
  <c r="C8" i="7"/>
  <c r="N21" i="7"/>
  <c r="D21" i="7"/>
  <c r="N20" i="7"/>
  <c r="D20" i="7"/>
  <c r="N19" i="7"/>
  <c r="D19" i="7"/>
  <c r="N18" i="7"/>
  <c r="D18" i="7"/>
  <c r="N17" i="7"/>
  <c r="D17" i="7"/>
  <c r="N16" i="7"/>
  <c r="D16" i="7"/>
  <c r="N15" i="7"/>
  <c r="D15" i="7"/>
  <c r="N14" i="7"/>
  <c r="D14" i="7"/>
  <c r="J11" i="7"/>
  <c r="I11" i="7"/>
  <c r="H11" i="7"/>
  <c r="G11" i="7"/>
  <c r="F11" i="7"/>
  <c r="E11" i="7"/>
  <c r="D11" i="7"/>
  <c r="B11" i="7"/>
  <c r="K10" i="7"/>
  <c r="K9" i="7"/>
  <c r="K8" i="7"/>
  <c r="K7" i="7"/>
  <c r="K5" i="7"/>
  <c r="K4" i="7"/>
  <c r="N21" i="5"/>
  <c r="N20" i="5"/>
  <c r="N19" i="5"/>
  <c r="N18" i="5"/>
  <c r="N17" i="5"/>
  <c r="N16" i="5"/>
  <c r="N15" i="5"/>
  <c r="N14" i="5"/>
  <c r="N22" i="5" s="1"/>
  <c r="D24" i="5"/>
  <c r="D24" i="4"/>
  <c r="D23" i="3"/>
  <c r="D23" i="2"/>
  <c r="C6" i="5"/>
  <c r="C8" i="5"/>
  <c r="C7" i="5"/>
  <c r="K7" i="5" s="1"/>
  <c r="K8" i="5"/>
  <c r="D21" i="5"/>
  <c r="D20" i="5"/>
  <c r="D19" i="5"/>
  <c r="D18" i="5"/>
  <c r="D17" i="5"/>
  <c r="D16" i="5"/>
  <c r="D15" i="5"/>
  <c r="D14" i="5"/>
  <c r="J11" i="5"/>
  <c r="H11" i="5"/>
  <c r="G11" i="5"/>
  <c r="F11" i="5"/>
  <c r="E11" i="5"/>
  <c r="D11" i="5"/>
  <c r="B11" i="5"/>
  <c r="K10" i="5"/>
  <c r="K9" i="5"/>
  <c r="I11" i="5"/>
  <c r="K5" i="5"/>
  <c r="K4" i="5"/>
  <c r="C8" i="4"/>
  <c r="K8" i="4" s="1"/>
  <c r="C10" i="4"/>
  <c r="I8" i="4"/>
  <c r="C6" i="4"/>
  <c r="C7" i="4"/>
  <c r="K9" i="4"/>
  <c r="C9" i="3"/>
  <c r="K9" i="3"/>
  <c r="K6" i="4"/>
  <c r="N6" i="4" s="1"/>
  <c r="D21" i="4"/>
  <c r="D20" i="4"/>
  <c r="D19" i="4"/>
  <c r="D18" i="4"/>
  <c r="D17" i="4"/>
  <c r="D16" i="4"/>
  <c r="D15" i="4"/>
  <c r="D14" i="4"/>
  <c r="D22" i="4" s="1"/>
  <c r="J11" i="4"/>
  <c r="I11" i="4"/>
  <c r="H11" i="4"/>
  <c r="G11" i="4"/>
  <c r="F11" i="4"/>
  <c r="E11" i="4"/>
  <c r="D11" i="4"/>
  <c r="B11" i="4"/>
  <c r="K10" i="4"/>
  <c r="N10" i="4" s="1"/>
  <c r="K7" i="4"/>
  <c r="K5" i="4"/>
  <c r="K4" i="4"/>
  <c r="C6" i="3"/>
  <c r="C7" i="3"/>
  <c r="K7" i="3" s="1"/>
  <c r="D20" i="3"/>
  <c r="D19" i="3"/>
  <c r="D18" i="3"/>
  <c r="D17" i="3"/>
  <c r="D16" i="3"/>
  <c r="D15" i="3"/>
  <c r="D14" i="3"/>
  <c r="D13" i="3"/>
  <c r="J10" i="3"/>
  <c r="I10" i="3"/>
  <c r="H10" i="3"/>
  <c r="G10" i="3"/>
  <c r="F10" i="3"/>
  <c r="E10" i="3"/>
  <c r="D10" i="3"/>
  <c r="B10" i="3"/>
  <c r="K8" i="3"/>
  <c r="K5" i="3"/>
  <c r="K4" i="3"/>
  <c r="C7" i="2"/>
  <c r="K7" i="2" s="1"/>
  <c r="C6" i="2"/>
  <c r="D20" i="2"/>
  <c r="D19" i="2"/>
  <c r="D18" i="2"/>
  <c r="D17" i="2"/>
  <c r="D16" i="2"/>
  <c r="D15" i="2"/>
  <c r="D14" i="2"/>
  <c r="D13" i="2"/>
  <c r="D21" i="2" s="1"/>
  <c r="J10" i="2"/>
  <c r="I10" i="2"/>
  <c r="H10" i="2"/>
  <c r="G10" i="2"/>
  <c r="F10" i="2"/>
  <c r="E10" i="2"/>
  <c r="D10" i="2"/>
  <c r="B10" i="2"/>
  <c r="K9" i="2"/>
  <c r="K8" i="2"/>
  <c r="K5" i="2"/>
  <c r="K4" i="2"/>
  <c r="O10" i="163" l="1"/>
  <c r="N10" i="163"/>
  <c r="N9" i="163"/>
  <c r="O9" i="163"/>
  <c r="O8" i="163"/>
  <c r="N8" i="163"/>
  <c r="N7" i="163"/>
  <c r="O7" i="163"/>
  <c r="K6" i="163"/>
  <c r="C11" i="163"/>
  <c r="O5" i="163"/>
  <c r="N5" i="163"/>
  <c r="K11" i="163"/>
  <c r="O4" i="163"/>
  <c r="N4" i="163"/>
  <c r="O10" i="161"/>
  <c r="N10" i="161"/>
  <c r="O9" i="161"/>
  <c r="N9" i="161"/>
  <c r="O8" i="161"/>
  <c r="N8" i="161"/>
  <c r="N7" i="161"/>
  <c r="O7" i="161"/>
  <c r="C11" i="161"/>
  <c r="K6" i="161"/>
  <c r="K11" i="161" s="1"/>
  <c r="O5" i="161"/>
  <c r="N5" i="161"/>
  <c r="O4" i="161"/>
  <c r="N4" i="161"/>
  <c r="N10" i="160"/>
  <c r="O10" i="160"/>
  <c r="O9" i="160"/>
  <c r="N9" i="160"/>
  <c r="O8" i="160"/>
  <c r="N8" i="160"/>
  <c r="N7" i="160"/>
  <c r="O7" i="160"/>
  <c r="C11" i="160"/>
  <c r="K6" i="160"/>
  <c r="K11" i="160" s="1"/>
  <c r="O5" i="160"/>
  <c r="N5" i="160"/>
  <c r="O4" i="160"/>
  <c r="N4" i="160"/>
  <c r="D22" i="159"/>
  <c r="O10" i="159"/>
  <c r="N10" i="159"/>
  <c r="N9" i="159"/>
  <c r="O9" i="159"/>
  <c r="N8" i="159"/>
  <c r="O8" i="159"/>
  <c r="N7" i="159"/>
  <c r="O7" i="159"/>
  <c r="C11" i="159"/>
  <c r="K6" i="159"/>
  <c r="N5" i="159"/>
  <c r="O5" i="159"/>
  <c r="K11" i="159"/>
  <c r="O4" i="159"/>
  <c r="N4" i="159"/>
  <c r="O10" i="158"/>
  <c r="N10" i="158"/>
  <c r="O9" i="158"/>
  <c r="N9" i="158"/>
  <c r="O8" i="158"/>
  <c r="N8" i="158"/>
  <c r="N7" i="158"/>
  <c r="O7" i="158"/>
  <c r="C11" i="158"/>
  <c r="K6" i="158"/>
  <c r="O4" i="158"/>
  <c r="N4" i="158"/>
  <c r="O10" i="157"/>
  <c r="N10" i="157"/>
  <c r="O9" i="157"/>
  <c r="N9" i="157"/>
  <c r="O8" i="157"/>
  <c r="N8" i="157"/>
  <c r="N7" i="157"/>
  <c r="O7" i="157"/>
  <c r="C11" i="157"/>
  <c r="K6" i="157"/>
  <c r="O5" i="157"/>
  <c r="N5" i="157"/>
  <c r="K11" i="157"/>
  <c r="O4" i="157"/>
  <c r="N4" i="157"/>
  <c r="D22" i="156"/>
  <c r="N10" i="156"/>
  <c r="O10" i="156"/>
  <c r="O9" i="156"/>
  <c r="N9" i="156"/>
  <c r="O8" i="156"/>
  <c r="N8" i="156"/>
  <c r="N7" i="156"/>
  <c r="O7" i="156"/>
  <c r="N6" i="156"/>
  <c r="O6" i="156"/>
  <c r="K11" i="156"/>
  <c r="O5" i="156"/>
  <c r="N5" i="156"/>
  <c r="N4" i="156"/>
  <c r="O4" i="156"/>
  <c r="O10" i="155"/>
  <c r="N10" i="155"/>
  <c r="N9" i="155"/>
  <c r="O9" i="155"/>
  <c r="N8" i="155"/>
  <c r="O8" i="155"/>
  <c r="O7" i="155"/>
  <c r="N7" i="155"/>
  <c r="N6" i="155"/>
  <c r="O6" i="155"/>
  <c r="O5" i="155"/>
  <c r="N5" i="155"/>
  <c r="O4" i="155"/>
  <c r="N4" i="155"/>
  <c r="K11" i="155"/>
  <c r="D22" i="154"/>
  <c r="O10" i="154"/>
  <c r="N10" i="154"/>
  <c r="O9" i="154"/>
  <c r="N9" i="154"/>
  <c r="N8" i="154"/>
  <c r="O8" i="154"/>
  <c r="N7" i="154"/>
  <c r="O7" i="154"/>
  <c r="K6" i="154"/>
  <c r="C11" i="154"/>
  <c r="O5" i="154"/>
  <c r="N5" i="154"/>
  <c r="K11" i="154"/>
  <c r="O4" i="154"/>
  <c r="N4" i="154"/>
  <c r="N10" i="153"/>
  <c r="O10" i="153"/>
  <c r="O9" i="153"/>
  <c r="N9" i="153"/>
  <c r="O8" i="153"/>
  <c r="N8" i="153"/>
  <c r="N7" i="153"/>
  <c r="O7" i="153"/>
  <c r="K6" i="153"/>
  <c r="K11" i="153" s="1"/>
  <c r="C11" i="153"/>
  <c r="O5" i="153"/>
  <c r="N5" i="153"/>
  <c r="O4" i="153"/>
  <c r="N4" i="153"/>
  <c r="O10" i="152"/>
  <c r="N10" i="152"/>
  <c r="O9" i="152"/>
  <c r="N9" i="152"/>
  <c r="O8" i="152"/>
  <c r="N8" i="152"/>
  <c r="C11" i="152"/>
  <c r="K7" i="152"/>
  <c r="O6" i="152"/>
  <c r="N6" i="152"/>
  <c r="O5" i="152"/>
  <c r="N5" i="152"/>
  <c r="K11" i="152"/>
  <c r="O4" i="152"/>
  <c r="N4" i="152"/>
  <c r="N10" i="151"/>
  <c r="O10" i="151"/>
  <c r="O9" i="151"/>
  <c r="N9" i="151"/>
  <c r="O8" i="151"/>
  <c r="N8" i="151"/>
  <c r="C11" i="151"/>
  <c r="K7" i="151"/>
  <c r="K11" i="151" s="1"/>
  <c r="O6" i="151"/>
  <c r="N6" i="151"/>
  <c r="O5" i="151"/>
  <c r="N5" i="151"/>
  <c r="O4" i="151"/>
  <c r="N4" i="151"/>
  <c r="N10" i="150"/>
  <c r="O10" i="150"/>
  <c r="N9" i="150"/>
  <c r="O9" i="150"/>
  <c r="O8" i="150"/>
  <c r="N8" i="150"/>
  <c r="O7" i="150"/>
  <c r="N7" i="150"/>
  <c r="O6" i="150"/>
  <c r="N6" i="150"/>
  <c r="N5" i="150"/>
  <c r="O5" i="150"/>
  <c r="O4" i="150"/>
  <c r="O11" i="150" s="1"/>
  <c r="N4" i="150"/>
  <c r="K11" i="150"/>
  <c r="D22" i="149"/>
  <c r="N10" i="149"/>
  <c r="O10" i="149"/>
  <c r="O9" i="149"/>
  <c r="N9" i="149"/>
  <c r="O8" i="149"/>
  <c r="N8" i="149"/>
  <c r="O7" i="149"/>
  <c r="N7" i="149"/>
  <c r="K6" i="149"/>
  <c r="C11" i="149"/>
  <c r="O5" i="149"/>
  <c r="N5" i="149"/>
  <c r="K11" i="149"/>
  <c r="O4" i="149"/>
  <c r="N4" i="149"/>
  <c r="O10" i="148"/>
  <c r="N10" i="148"/>
  <c r="N9" i="148"/>
  <c r="O9" i="148"/>
  <c r="O8" i="148"/>
  <c r="N8" i="148"/>
  <c r="O7" i="148"/>
  <c r="N7" i="148"/>
  <c r="C11" i="148"/>
  <c r="K6" i="148"/>
  <c r="K11" i="148" s="1"/>
  <c r="N5" i="148"/>
  <c r="O5" i="148"/>
  <c r="N4" i="148"/>
  <c r="O4" i="148"/>
  <c r="O22" i="147"/>
  <c r="O10" i="147"/>
  <c r="N10" i="147"/>
  <c r="O9" i="147"/>
  <c r="N9" i="147"/>
  <c r="O8" i="147"/>
  <c r="N8" i="147"/>
  <c r="N7" i="147"/>
  <c r="O7" i="147"/>
  <c r="C11" i="147"/>
  <c r="K6" i="147"/>
  <c r="O5" i="147"/>
  <c r="N5" i="147"/>
  <c r="K11" i="147"/>
  <c r="O4" i="147"/>
  <c r="N4" i="147"/>
  <c r="N10" i="146"/>
  <c r="O10" i="146"/>
  <c r="O9" i="146"/>
  <c r="N9" i="146"/>
  <c r="O8" i="146"/>
  <c r="N8" i="146"/>
  <c r="C11" i="146"/>
  <c r="K7" i="146"/>
  <c r="K11" i="146" s="1"/>
  <c r="O6" i="146"/>
  <c r="N6" i="146"/>
  <c r="O5" i="146"/>
  <c r="N5" i="146"/>
  <c r="O4" i="146"/>
  <c r="N4" i="146"/>
  <c r="O6" i="145"/>
  <c r="N6" i="145"/>
  <c r="K10" i="145"/>
  <c r="K11" i="145" s="1"/>
  <c r="C11" i="145"/>
  <c r="O9" i="145"/>
  <c r="N9" i="145"/>
  <c r="O8" i="145"/>
  <c r="N8" i="145"/>
  <c r="O7" i="145"/>
  <c r="N7" i="145"/>
  <c r="N5" i="145"/>
  <c r="O5" i="145"/>
  <c r="N4" i="145"/>
  <c r="O4" i="145"/>
  <c r="D22" i="144"/>
  <c r="O10" i="144"/>
  <c r="N10" i="144"/>
  <c r="O9" i="144"/>
  <c r="N9" i="144"/>
  <c r="O8" i="144"/>
  <c r="N8" i="144"/>
  <c r="N7" i="144"/>
  <c r="O7" i="144"/>
  <c r="C11" i="144"/>
  <c r="K6" i="144"/>
  <c r="K11" i="144" s="1"/>
  <c r="O5" i="144"/>
  <c r="N5" i="144"/>
  <c r="O4" i="144"/>
  <c r="N4" i="144"/>
  <c r="O10" i="143"/>
  <c r="N10" i="143"/>
  <c r="O9" i="143"/>
  <c r="N9" i="143"/>
  <c r="O8" i="143"/>
  <c r="N8" i="143"/>
  <c r="C11" i="143"/>
  <c r="K7" i="143"/>
  <c r="O6" i="143"/>
  <c r="N6" i="143"/>
  <c r="O5" i="143"/>
  <c r="N5" i="143"/>
  <c r="K11" i="143"/>
  <c r="O4" i="143"/>
  <c r="N4" i="143"/>
  <c r="N10" i="142"/>
  <c r="O10" i="142"/>
  <c r="N9" i="142"/>
  <c r="O9" i="142"/>
  <c r="O8" i="142"/>
  <c r="N8" i="142"/>
  <c r="O7" i="142"/>
  <c r="N7" i="142"/>
  <c r="O6" i="142"/>
  <c r="N6" i="142"/>
  <c r="O5" i="142"/>
  <c r="N5" i="142"/>
  <c r="N4" i="142"/>
  <c r="K11" i="142"/>
  <c r="O9" i="141"/>
  <c r="N9" i="141"/>
  <c r="O8" i="141"/>
  <c r="N8" i="141"/>
  <c r="O7" i="141"/>
  <c r="N7" i="141"/>
  <c r="C11" i="141"/>
  <c r="K6" i="141"/>
  <c r="N5" i="141"/>
  <c r="O5" i="141"/>
  <c r="K11" i="141"/>
  <c r="O4" i="141"/>
  <c r="N4" i="141"/>
  <c r="D22" i="140"/>
  <c r="N10" i="140"/>
  <c r="O10" i="140"/>
  <c r="N9" i="140"/>
  <c r="O9" i="140"/>
  <c r="N8" i="140"/>
  <c r="O8" i="140"/>
  <c r="N7" i="140"/>
  <c r="O7" i="140"/>
  <c r="C11" i="140"/>
  <c r="K6" i="140"/>
  <c r="N5" i="140"/>
  <c r="O5" i="140"/>
  <c r="O4" i="140"/>
  <c r="N4" i="140"/>
  <c r="K11" i="140"/>
  <c r="N5" i="139"/>
  <c r="O5" i="139"/>
  <c r="O10" i="139"/>
  <c r="N10" i="139"/>
  <c r="N9" i="139"/>
  <c r="O9" i="139"/>
  <c r="O8" i="139"/>
  <c r="N8" i="139"/>
  <c r="N7" i="139"/>
  <c r="O7" i="139"/>
  <c r="K6" i="139"/>
  <c r="K11" i="139" s="1"/>
  <c r="C11" i="139"/>
  <c r="O4" i="139"/>
  <c r="N4" i="139"/>
  <c r="O10" i="138"/>
  <c r="N10" i="138"/>
  <c r="O9" i="138"/>
  <c r="N9" i="138"/>
  <c r="O8" i="138"/>
  <c r="N8" i="138"/>
  <c r="O7" i="138"/>
  <c r="N7" i="138"/>
  <c r="C11" i="138"/>
  <c r="K6" i="138"/>
  <c r="K11" i="138" s="1"/>
  <c r="O5" i="138"/>
  <c r="N5" i="138"/>
  <c r="O4" i="138"/>
  <c r="N4" i="138"/>
  <c r="D22" i="137"/>
  <c r="O9" i="137"/>
  <c r="N9" i="137"/>
  <c r="O8" i="137"/>
  <c r="N8" i="137"/>
  <c r="K7" i="137"/>
  <c r="C11" i="137"/>
  <c r="O6" i="137"/>
  <c r="N6" i="137"/>
  <c r="O5" i="137"/>
  <c r="N5" i="137"/>
  <c r="N4" i="137"/>
  <c r="K11" i="137"/>
  <c r="O4" i="137"/>
  <c r="D22" i="136"/>
  <c r="O10" i="136"/>
  <c r="N10" i="136"/>
  <c r="O9" i="136"/>
  <c r="N9" i="136"/>
  <c r="N8" i="136"/>
  <c r="O8" i="136"/>
  <c r="N7" i="136"/>
  <c r="O7" i="136"/>
  <c r="C11" i="136"/>
  <c r="K6" i="136"/>
  <c r="O5" i="136"/>
  <c r="N5" i="136"/>
  <c r="K11" i="136"/>
  <c r="O4" i="136"/>
  <c r="N4" i="136"/>
  <c r="K11" i="135"/>
  <c r="N10" i="135"/>
  <c r="O10" i="135"/>
  <c r="O8" i="135"/>
  <c r="N8" i="135"/>
  <c r="O7" i="135"/>
  <c r="N7" i="135"/>
  <c r="O6" i="135"/>
  <c r="N6" i="135"/>
  <c r="O5" i="135"/>
  <c r="N5" i="135"/>
  <c r="O4" i="135"/>
  <c r="N4" i="135"/>
  <c r="D22" i="134"/>
  <c r="O10" i="134"/>
  <c r="N10" i="134"/>
  <c r="O9" i="134"/>
  <c r="N9" i="134"/>
  <c r="N8" i="134"/>
  <c r="O8" i="134"/>
  <c r="O7" i="134"/>
  <c r="N7" i="134"/>
  <c r="N6" i="134"/>
  <c r="O6" i="134"/>
  <c r="K11" i="134"/>
  <c r="O5" i="134"/>
  <c r="N5" i="134"/>
  <c r="O4" i="134"/>
  <c r="N4" i="134"/>
  <c r="D22" i="133"/>
  <c r="N10" i="133"/>
  <c r="O10" i="133"/>
  <c r="N9" i="133"/>
  <c r="O9" i="133"/>
  <c r="O8" i="133"/>
  <c r="N8" i="133"/>
  <c r="O7" i="133"/>
  <c r="N7" i="133"/>
  <c r="O6" i="133"/>
  <c r="N6" i="133"/>
  <c r="O5" i="133"/>
  <c r="N5" i="133"/>
  <c r="N4" i="133"/>
  <c r="O4" i="133"/>
  <c r="K11" i="133"/>
  <c r="D22" i="132"/>
  <c r="O10" i="132"/>
  <c r="N10" i="132"/>
  <c r="O9" i="132"/>
  <c r="N9" i="132"/>
  <c r="N8" i="132"/>
  <c r="O8" i="132"/>
  <c r="O7" i="132"/>
  <c r="N7" i="132"/>
  <c r="K6" i="132"/>
  <c r="C11" i="132"/>
  <c r="N5" i="132"/>
  <c r="O5" i="132"/>
  <c r="O10" i="131"/>
  <c r="N10" i="131"/>
  <c r="N9" i="131"/>
  <c r="O9" i="131"/>
  <c r="O8" i="131"/>
  <c r="N8" i="131"/>
  <c r="O7" i="131"/>
  <c r="N7" i="131"/>
  <c r="C11" i="131"/>
  <c r="K6" i="131"/>
  <c r="K11" i="131" s="1"/>
  <c r="O5" i="131"/>
  <c r="N5" i="131"/>
  <c r="O4" i="131"/>
  <c r="N4" i="131"/>
  <c r="N10" i="130"/>
  <c r="O10" i="130"/>
  <c r="C11" i="130"/>
  <c r="K9" i="130"/>
  <c r="O8" i="130"/>
  <c r="N8" i="130"/>
  <c r="O7" i="130"/>
  <c r="N7" i="130"/>
  <c r="N6" i="130"/>
  <c r="O6" i="130"/>
  <c r="O5" i="130"/>
  <c r="N5" i="130"/>
  <c r="K11" i="130"/>
  <c r="O4" i="130"/>
  <c r="N4" i="130"/>
  <c r="O10" i="129"/>
  <c r="N10" i="129"/>
  <c r="O9" i="129"/>
  <c r="N9" i="129"/>
  <c r="O8" i="129"/>
  <c r="N8" i="129"/>
  <c r="O7" i="129"/>
  <c r="N7" i="129"/>
  <c r="C11" i="129"/>
  <c r="K6" i="129"/>
  <c r="K11" i="129" s="1"/>
  <c r="O5" i="129"/>
  <c r="N5" i="129"/>
  <c r="O4" i="129"/>
  <c r="N4" i="129"/>
  <c r="N10" i="128"/>
  <c r="O10" i="128"/>
  <c r="O9" i="128"/>
  <c r="N9" i="128"/>
  <c r="N8" i="128"/>
  <c r="O8" i="128"/>
  <c r="O7" i="128"/>
  <c r="N7" i="128"/>
  <c r="O6" i="128"/>
  <c r="N6" i="128"/>
  <c r="O5" i="128"/>
  <c r="N5" i="128"/>
  <c r="O4" i="128"/>
  <c r="K11" i="128"/>
  <c r="N4" i="128"/>
  <c r="O10" i="127"/>
  <c r="N10" i="127"/>
  <c r="O9" i="127"/>
  <c r="N9" i="127"/>
  <c r="O8" i="127"/>
  <c r="N8" i="127"/>
  <c r="K6" i="127"/>
  <c r="K11" i="127" s="1"/>
  <c r="C11" i="127"/>
  <c r="O5" i="127"/>
  <c r="N5" i="127"/>
  <c r="O4" i="127"/>
  <c r="N4" i="127"/>
  <c r="O10" i="126"/>
  <c r="N10" i="126"/>
  <c r="O9" i="126"/>
  <c r="N9" i="126"/>
  <c r="N8" i="126"/>
  <c r="O8" i="126"/>
  <c r="N7" i="126"/>
  <c r="O7" i="126"/>
  <c r="K6" i="126"/>
  <c r="K11" i="126" s="1"/>
  <c r="C11" i="126"/>
  <c r="O5" i="126"/>
  <c r="N5" i="126"/>
  <c r="N4" i="126"/>
  <c r="O4" i="126"/>
  <c r="C11" i="125"/>
  <c r="K9" i="125"/>
  <c r="D22" i="125"/>
  <c r="N10" i="125"/>
  <c r="O10" i="125"/>
  <c r="O9" i="125"/>
  <c r="N9" i="125"/>
  <c r="N8" i="125"/>
  <c r="O8" i="125"/>
  <c r="O7" i="125"/>
  <c r="N7" i="125"/>
  <c r="N6" i="125"/>
  <c r="O6" i="125"/>
  <c r="N5" i="125"/>
  <c r="O5" i="125"/>
  <c r="O4" i="125"/>
  <c r="O11" i="125" s="1"/>
  <c r="N4" i="125"/>
  <c r="N11" i="125" s="1"/>
  <c r="K11" i="125"/>
  <c r="K10" i="124"/>
  <c r="K11" i="124" s="1"/>
  <c r="C11" i="124"/>
  <c r="N9" i="124"/>
  <c r="O9" i="124"/>
  <c r="O8" i="124"/>
  <c r="N8" i="124"/>
  <c r="N7" i="124"/>
  <c r="O7" i="124"/>
  <c r="O6" i="124"/>
  <c r="N6" i="124"/>
  <c r="N5" i="124"/>
  <c r="O5" i="124"/>
  <c r="O4" i="124"/>
  <c r="N4" i="124"/>
  <c r="N10" i="123"/>
  <c r="O10" i="123"/>
  <c r="O9" i="123"/>
  <c r="N9" i="123"/>
  <c r="O8" i="123"/>
  <c r="N8" i="123"/>
  <c r="N7" i="123"/>
  <c r="O7" i="123"/>
  <c r="C11" i="123"/>
  <c r="K6" i="123"/>
  <c r="K11" i="123" s="1"/>
  <c r="O5" i="123"/>
  <c r="N5" i="123"/>
  <c r="O4" i="123"/>
  <c r="N4" i="123"/>
  <c r="O9" i="121"/>
  <c r="N9" i="121"/>
  <c r="O8" i="121"/>
  <c r="N8" i="121"/>
  <c r="N7" i="121"/>
  <c r="O7" i="121"/>
  <c r="C11" i="121"/>
  <c r="K6" i="121"/>
  <c r="O5" i="121"/>
  <c r="N5" i="121"/>
  <c r="K11" i="121"/>
  <c r="O4" i="121"/>
  <c r="N4" i="121"/>
  <c r="O10" i="119"/>
  <c r="N10" i="119"/>
  <c r="O9" i="119"/>
  <c r="N9" i="119"/>
  <c r="O8" i="119"/>
  <c r="N8" i="119"/>
  <c r="N7" i="119"/>
  <c r="O7" i="119"/>
  <c r="C11" i="119"/>
  <c r="K6" i="119"/>
  <c r="K11" i="119" s="1"/>
  <c r="O5" i="119"/>
  <c r="N5" i="119"/>
  <c r="O4" i="119"/>
  <c r="N4" i="119"/>
  <c r="N10" i="118"/>
  <c r="O10" i="118"/>
  <c r="O9" i="118"/>
  <c r="N9" i="118"/>
  <c r="O8" i="118"/>
  <c r="N8" i="118"/>
  <c r="N7" i="118"/>
  <c r="O7" i="118"/>
  <c r="K6" i="118"/>
  <c r="K11" i="118" s="1"/>
  <c r="C11" i="118"/>
  <c r="O5" i="118"/>
  <c r="N5" i="118"/>
  <c r="N4" i="118"/>
  <c r="O4" i="118"/>
  <c r="N10" i="117"/>
  <c r="O10" i="117"/>
  <c r="O9" i="117"/>
  <c r="N9" i="117"/>
  <c r="O8" i="117"/>
  <c r="N8" i="117"/>
  <c r="N7" i="117"/>
  <c r="O7" i="117"/>
  <c r="C11" i="117"/>
  <c r="K6" i="117"/>
  <c r="K11" i="117" s="1"/>
  <c r="O5" i="117"/>
  <c r="N5" i="117"/>
  <c r="O4" i="117"/>
  <c r="N4" i="117"/>
  <c r="O10" i="116"/>
  <c r="N10" i="116"/>
  <c r="O9" i="116"/>
  <c r="N9" i="116"/>
  <c r="O8" i="116"/>
  <c r="N8" i="116"/>
  <c r="N7" i="116"/>
  <c r="O7" i="116"/>
  <c r="C11" i="116"/>
  <c r="K6" i="116"/>
  <c r="K11" i="116" s="1"/>
  <c r="N5" i="116"/>
  <c r="O5" i="116"/>
  <c r="O4" i="116"/>
  <c r="N4" i="116"/>
  <c r="D22" i="115"/>
  <c r="O10" i="115"/>
  <c r="N10" i="115"/>
  <c r="N9" i="115"/>
  <c r="O9" i="115"/>
  <c r="N8" i="115"/>
  <c r="O8" i="115"/>
  <c r="O7" i="115"/>
  <c r="N7" i="115"/>
  <c r="O6" i="115"/>
  <c r="N6" i="115"/>
  <c r="O5" i="115"/>
  <c r="N5" i="115"/>
  <c r="N4" i="115"/>
  <c r="K11" i="115"/>
  <c r="O4" i="115"/>
  <c r="N10" i="114"/>
  <c r="O10" i="114"/>
  <c r="N9" i="114"/>
  <c r="O9" i="114"/>
  <c r="O8" i="114"/>
  <c r="N8" i="114"/>
  <c r="C11" i="114"/>
  <c r="K7" i="114"/>
  <c r="O6" i="114"/>
  <c r="N6" i="114"/>
  <c r="N5" i="114"/>
  <c r="O5" i="114"/>
  <c r="N4" i="114"/>
  <c r="K11" i="114"/>
  <c r="O4" i="114"/>
  <c r="D22" i="113"/>
  <c r="N10" i="113"/>
  <c r="O10" i="113"/>
  <c r="O9" i="113"/>
  <c r="N9" i="113"/>
  <c r="O8" i="113"/>
  <c r="N8" i="113"/>
  <c r="C11" i="113"/>
  <c r="K7" i="113"/>
  <c r="O6" i="113"/>
  <c r="N6" i="113"/>
  <c r="O5" i="113"/>
  <c r="N5" i="113"/>
  <c r="K11" i="113"/>
  <c r="O4" i="113"/>
  <c r="N4" i="113"/>
  <c r="K11" i="112"/>
  <c r="O10" i="112"/>
  <c r="N10" i="112"/>
  <c r="O9" i="112"/>
  <c r="N9" i="112"/>
  <c r="O8" i="112"/>
  <c r="N8" i="112"/>
  <c r="O7" i="112"/>
  <c r="N7" i="112"/>
  <c r="O6" i="112"/>
  <c r="N6" i="112"/>
  <c r="O5" i="112"/>
  <c r="N5" i="112"/>
  <c r="N4" i="112"/>
  <c r="O4" i="112"/>
  <c r="O11" i="112" s="1"/>
  <c r="O9" i="111"/>
  <c r="N9" i="111"/>
  <c r="O8" i="111"/>
  <c r="N8" i="111"/>
  <c r="O7" i="111"/>
  <c r="N7" i="111"/>
  <c r="K6" i="111"/>
  <c r="K11" i="111" s="1"/>
  <c r="C11" i="111"/>
  <c r="O5" i="111"/>
  <c r="N5" i="111"/>
  <c r="O4" i="111"/>
  <c r="N4" i="111"/>
  <c r="O22" i="110"/>
  <c r="O10" i="110"/>
  <c r="N10" i="110"/>
  <c r="O9" i="110"/>
  <c r="N9" i="110"/>
  <c r="N8" i="110"/>
  <c r="O8" i="110"/>
  <c r="N7" i="110"/>
  <c r="O7" i="110"/>
  <c r="C11" i="110"/>
  <c r="K6" i="110"/>
  <c r="K11" i="110" s="1"/>
  <c r="O5" i="110"/>
  <c r="N5" i="110"/>
  <c r="O4" i="110"/>
  <c r="N4" i="110"/>
  <c r="D22" i="109"/>
  <c r="O10" i="109"/>
  <c r="N10" i="109"/>
  <c r="O9" i="109"/>
  <c r="N9" i="109"/>
  <c r="N8" i="109"/>
  <c r="O8" i="109"/>
  <c r="K7" i="109"/>
  <c r="C11" i="109"/>
  <c r="O6" i="109"/>
  <c r="N6" i="109"/>
  <c r="O5" i="109"/>
  <c r="N5" i="109"/>
  <c r="N4" i="109"/>
  <c r="O4" i="109"/>
  <c r="O22" i="108"/>
  <c r="O10" i="108"/>
  <c r="N10" i="108"/>
  <c r="N9" i="108"/>
  <c r="O9" i="108"/>
  <c r="O8" i="108"/>
  <c r="N8" i="108"/>
  <c r="N7" i="108"/>
  <c r="O7" i="108"/>
  <c r="K11" i="108"/>
  <c r="O6" i="108"/>
  <c r="N6" i="108"/>
  <c r="O5" i="108"/>
  <c r="N5" i="108"/>
  <c r="N11" i="108" s="1"/>
  <c r="D22" i="107"/>
  <c r="N10" i="107"/>
  <c r="O10" i="107"/>
  <c r="N9" i="107"/>
  <c r="O9" i="107"/>
  <c r="O8" i="107"/>
  <c r="N8" i="107"/>
  <c r="N7" i="107"/>
  <c r="O7" i="107"/>
  <c r="O6" i="107"/>
  <c r="N6" i="107"/>
  <c r="N5" i="107"/>
  <c r="O5" i="107"/>
  <c r="N4" i="107"/>
  <c r="O4" i="107"/>
  <c r="O11" i="107" s="1"/>
  <c r="K11" i="107"/>
  <c r="D22" i="106"/>
  <c r="N10" i="106"/>
  <c r="O10" i="106"/>
  <c r="N9" i="106"/>
  <c r="O9" i="106"/>
  <c r="O8" i="106"/>
  <c r="N8" i="106"/>
  <c r="K7" i="106"/>
  <c r="K11" i="106" s="1"/>
  <c r="C11" i="106"/>
  <c r="O6" i="106"/>
  <c r="N6" i="106"/>
  <c r="O5" i="106"/>
  <c r="N5" i="106"/>
  <c r="O4" i="106"/>
  <c r="N4" i="106"/>
  <c r="O4" i="105"/>
  <c r="N4" i="105"/>
  <c r="O10" i="105"/>
  <c r="N10" i="105"/>
  <c r="N9" i="105"/>
  <c r="O9" i="105"/>
  <c r="O8" i="105"/>
  <c r="N8" i="105"/>
  <c r="K7" i="105"/>
  <c r="C11" i="105"/>
  <c r="O6" i="105"/>
  <c r="N6" i="105"/>
  <c r="N5" i="105"/>
  <c r="O5" i="105"/>
  <c r="D22" i="104"/>
  <c r="N10" i="104"/>
  <c r="O10" i="104"/>
  <c r="O9" i="104"/>
  <c r="N9" i="104"/>
  <c r="N8" i="104"/>
  <c r="O8" i="104"/>
  <c r="N7" i="104"/>
  <c r="O7" i="104"/>
  <c r="O6" i="104"/>
  <c r="N6" i="104"/>
  <c r="O5" i="104"/>
  <c r="N5" i="104"/>
  <c r="N4" i="104"/>
  <c r="O4" i="104"/>
  <c r="K11" i="104"/>
  <c r="N10" i="103"/>
  <c r="O10" i="103"/>
  <c r="N9" i="103"/>
  <c r="O9" i="103"/>
  <c r="O8" i="103"/>
  <c r="N8" i="103"/>
  <c r="C11" i="103"/>
  <c r="K7" i="103"/>
  <c r="K11" i="103" s="1"/>
  <c r="O6" i="103"/>
  <c r="N6" i="103"/>
  <c r="O5" i="103"/>
  <c r="N5" i="103"/>
  <c r="O4" i="103"/>
  <c r="N4" i="103"/>
  <c r="D22" i="102"/>
  <c r="N10" i="102"/>
  <c r="O10" i="102"/>
  <c r="N9" i="102"/>
  <c r="O9" i="102"/>
  <c r="O8" i="102"/>
  <c r="N8" i="102"/>
  <c r="C11" i="102"/>
  <c r="K7" i="102"/>
  <c r="K11" i="102" s="1"/>
  <c r="O6" i="102"/>
  <c r="N6" i="102"/>
  <c r="O5" i="102"/>
  <c r="N5" i="102"/>
  <c r="O4" i="102"/>
  <c r="N4" i="102"/>
  <c r="O10" i="101"/>
  <c r="N10" i="101"/>
  <c r="N9" i="101"/>
  <c r="O9" i="101"/>
  <c r="O8" i="101"/>
  <c r="N8" i="101"/>
  <c r="C11" i="101"/>
  <c r="K7" i="101"/>
  <c r="K11" i="101" s="1"/>
  <c r="O6" i="101"/>
  <c r="N6" i="101"/>
  <c r="O5" i="101"/>
  <c r="N5" i="101"/>
  <c r="O4" i="101"/>
  <c r="N4" i="101"/>
  <c r="O10" i="100"/>
  <c r="N10" i="100"/>
  <c r="C11" i="100"/>
  <c r="K9" i="100"/>
  <c r="O8" i="100"/>
  <c r="N8" i="100"/>
  <c r="O7" i="100"/>
  <c r="N7" i="100"/>
  <c r="O6" i="100"/>
  <c r="N6" i="100"/>
  <c r="O5" i="100"/>
  <c r="N5" i="100"/>
  <c r="K11" i="100"/>
  <c r="O4" i="100"/>
  <c r="N4" i="100"/>
  <c r="O10" i="99"/>
  <c r="N10" i="99"/>
  <c r="O9" i="99"/>
  <c r="N9" i="99"/>
  <c r="O8" i="99"/>
  <c r="N8" i="99"/>
  <c r="N7" i="99"/>
  <c r="O7" i="99"/>
  <c r="O6" i="99"/>
  <c r="N6" i="99"/>
  <c r="O5" i="99"/>
  <c r="N5" i="99"/>
  <c r="K11" i="99"/>
  <c r="O4" i="99"/>
  <c r="O11" i="99" s="1"/>
  <c r="N4" i="99"/>
  <c r="N11" i="99" s="1"/>
  <c r="O10" i="98"/>
  <c r="N10" i="98"/>
  <c r="N9" i="98"/>
  <c r="O9" i="98"/>
  <c r="O8" i="98"/>
  <c r="N8" i="98"/>
  <c r="C11" i="98"/>
  <c r="K7" i="98"/>
  <c r="K11" i="98" s="1"/>
  <c r="O6" i="98"/>
  <c r="N6" i="98"/>
  <c r="O5" i="98"/>
  <c r="N5" i="98"/>
  <c r="O4" i="98"/>
  <c r="N4" i="98"/>
  <c r="D22" i="97"/>
  <c r="O10" i="97"/>
  <c r="N10" i="97"/>
  <c r="O9" i="97"/>
  <c r="N9" i="97"/>
  <c r="O8" i="97"/>
  <c r="N8" i="97"/>
  <c r="C11" i="97"/>
  <c r="K7" i="97"/>
  <c r="O5" i="97"/>
  <c r="N5" i="97"/>
  <c r="K11" i="97"/>
  <c r="O4" i="97"/>
  <c r="N4" i="97"/>
  <c r="O10" i="96"/>
  <c r="N10" i="96"/>
  <c r="N9" i="96"/>
  <c r="O9" i="96"/>
  <c r="O8" i="96"/>
  <c r="N8" i="96"/>
  <c r="C11" i="96"/>
  <c r="K7" i="96"/>
  <c r="K11" i="96" s="1"/>
  <c r="O6" i="96"/>
  <c r="N6" i="96"/>
  <c r="O5" i="96"/>
  <c r="N5" i="96"/>
  <c r="N4" i="96"/>
  <c r="O4" i="96"/>
  <c r="D22" i="95"/>
  <c r="N10" i="95"/>
  <c r="O10" i="95"/>
  <c r="N9" i="95"/>
  <c r="O9" i="95"/>
  <c r="O8" i="95"/>
  <c r="N8" i="95"/>
  <c r="O7" i="95"/>
  <c r="N7" i="95"/>
  <c r="N6" i="95"/>
  <c r="O6" i="95"/>
  <c r="N5" i="95"/>
  <c r="O5" i="95"/>
  <c r="O4" i="95"/>
  <c r="N4" i="95"/>
  <c r="K11" i="95"/>
  <c r="O10" i="94"/>
  <c r="N10" i="94"/>
  <c r="O9" i="94"/>
  <c r="N9" i="94"/>
  <c r="N8" i="94"/>
  <c r="O8" i="94"/>
  <c r="C11" i="94"/>
  <c r="K7" i="94"/>
  <c r="K11" i="94" s="1"/>
  <c r="O6" i="94"/>
  <c r="N6" i="94"/>
  <c r="O5" i="94"/>
  <c r="N5" i="94"/>
  <c r="O4" i="94"/>
  <c r="N4" i="94"/>
  <c r="O10" i="93"/>
  <c r="N10" i="93"/>
  <c r="N9" i="93"/>
  <c r="O9" i="93"/>
  <c r="O8" i="93"/>
  <c r="N8" i="93"/>
  <c r="C11" i="93"/>
  <c r="K7" i="93"/>
  <c r="N6" i="93"/>
  <c r="O6" i="93"/>
  <c r="O5" i="93"/>
  <c r="N5" i="93"/>
  <c r="O4" i="93"/>
  <c r="N4" i="93"/>
  <c r="K11" i="93"/>
  <c r="O10" i="92"/>
  <c r="N10" i="92"/>
  <c r="C11" i="92"/>
  <c r="K9" i="92"/>
  <c r="O8" i="92"/>
  <c r="N8" i="92"/>
  <c r="O7" i="92"/>
  <c r="N7" i="92"/>
  <c r="O6" i="92"/>
  <c r="N6" i="92"/>
  <c r="O5" i="92"/>
  <c r="N5" i="92"/>
  <c r="K11" i="92"/>
  <c r="O4" i="92"/>
  <c r="N4" i="92"/>
  <c r="O8" i="91"/>
  <c r="N8" i="91"/>
  <c r="O10" i="91"/>
  <c r="N10" i="91"/>
  <c r="O9" i="91"/>
  <c r="N9" i="91"/>
  <c r="K7" i="91"/>
  <c r="C11" i="91"/>
  <c r="N6" i="91"/>
  <c r="O6" i="91"/>
  <c r="O5" i="91"/>
  <c r="N5" i="91"/>
  <c r="N4" i="91"/>
  <c r="K11" i="91"/>
  <c r="O4" i="91"/>
  <c r="O10" i="90"/>
  <c r="N10" i="90"/>
  <c r="N9" i="90"/>
  <c r="O9" i="90"/>
  <c r="N8" i="90"/>
  <c r="O8" i="90"/>
  <c r="C11" i="90"/>
  <c r="K7" i="90"/>
  <c r="O6" i="90"/>
  <c r="N6" i="90"/>
  <c r="O5" i="90"/>
  <c r="N5" i="90"/>
  <c r="O4" i="90"/>
  <c r="N4" i="90"/>
  <c r="D11" i="89"/>
  <c r="K10" i="89"/>
  <c r="D22" i="89"/>
  <c r="N10" i="89"/>
  <c r="O10" i="89"/>
  <c r="O9" i="89"/>
  <c r="N9" i="89"/>
  <c r="O8" i="89"/>
  <c r="N8" i="89"/>
  <c r="C11" i="89"/>
  <c r="K7" i="89"/>
  <c r="K11" i="89" s="1"/>
  <c r="O6" i="89"/>
  <c r="N6" i="89"/>
  <c r="O5" i="89"/>
  <c r="N5" i="89"/>
  <c r="O4" i="89"/>
  <c r="N4" i="89"/>
  <c r="N10" i="88"/>
  <c r="O10" i="88"/>
  <c r="O9" i="88"/>
  <c r="N9" i="88"/>
  <c r="O8" i="88"/>
  <c r="N8" i="88"/>
  <c r="C11" i="88"/>
  <c r="K7" i="88"/>
  <c r="O6" i="88"/>
  <c r="N6" i="88"/>
  <c r="O5" i="88"/>
  <c r="N5" i="88"/>
  <c r="K11" i="88"/>
  <c r="O4" i="88"/>
  <c r="N4" i="88"/>
  <c r="O10" i="87"/>
  <c r="N10" i="87"/>
  <c r="O9" i="87"/>
  <c r="N9" i="87"/>
  <c r="O8" i="87"/>
  <c r="N8" i="87"/>
  <c r="C11" i="87"/>
  <c r="K7" i="87"/>
  <c r="O6" i="87"/>
  <c r="N6" i="87"/>
  <c r="O5" i="87"/>
  <c r="N5" i="87"/>
  <c r="O4" i="87"/>
  <c r="N4" i="87"/>
  <c r="K11" i="87"/>
  <c r="N10" i="86"/>
  <c r="O10" i="86"/>
  <c r="O9" i="86"/>
  <c r="N9" i="86"/>
  <c r="N8" i="86"/>
  <c r="O8" i="86"/>
  <c r="N7" i="86"/>
  <c r="O7" i="86"/>
  <c r="O6" i="86"/>
  <c r="N6" i="86"/>
  <c r="O5" i="86"/>
  <c r="N5" i="86"/>
  <c r="K11" i="86"/>
  <c r="N4" i="86"/>
  <c r="O4" i="86"/>
  <c r="O10" i="85"/>
  <c r="N10" i="85"/>
  <c r="O9" i="85"/>
  <c r="N9" i="85"/>
  <c r="O8" i="85"/>
  <c r="N8" i="85"/>
  <c r="O7" i="85"/>
  <c r="N7" i="85"/>
  <c r="O6" i="85"/>
  <c r="N6" i="85"/>
  <c r="O5" i="85"/>
  <c r="N5" i="85"/>
  <c r="K11" i="85"/>
  <c r="O4" i="85"/>
  <c r="N4" i="85"/>
  <c r="O10" i="84"/>
  <c r="N10" i="84"/>
  <c r="O9" i="84"/>
  <c r="N9" i="84"/>
  <c r="O8" i="84"/>
  <c r="N8" i="84"/>
  <c r="C11" i="84"/>
  <c r="K7" i="84"/>
  <c r="K11" i="84" s="1"/>
  <c r="O6" i="84"/>
  <c r="N6" i="84"/>
  <c r="O5" i="84"/>
  <c r="N5" i="84"/>
  <c r="O4" i="84"/>
  <c r="N4" i="84"/>
  <c r="N10" i="83"/>
  <c r="O10" i="83"/>
  <c r="N9" i="83"/>
  <c r="O9" i="83"/>
  <c r="O8" i="83"/>
  <c r="N8" i="83"/>
  <c r="C11" i="83"/>
  <c r="K7" i="83"/>
  <c r="K11" i="83" s="1"/>
  <c r="O6" i="83"/>
  <c r="N6" i="83"/>
  <c r="O5" i="83"/>
  <c r="N5" i="83"/>
  <c r="O4" i="83"/>
  <c r="N4" i="83"/>
  <c r="N22" i="82"/>
  <c r="O10" i="82"/>
  <c r="N10" i="82"/>
  <c r="O9" i="82"/>
  <c r="N9" i="82"/>
  <c r="N8" i="82"/>
  <c r="O8" i="82"/>
  <c r="N7" i="82"/>
  <c r="O7" i="82"/>
  <c r="O6" i="82"/>
  <c r="N6" i="82"/>
  <c r="N5" i="82"/>
  <c r="O5" i="82"/>
  <c r="O4" i="82"/>
  <c r="O11" i="82" s="1"/>
  <c r="N4" i="82"/>
  <c r="K11" i="82"/>
  <c r="C11" i="81"/>
  <c r="K10" i="81"/>
  <c r="D22" i="81"/>
  <c r="N10" i="81"/>
  <c r="O10" i="81"/>
  <c r="O9" i="81"/>
  <c r="N9" i="81"/>
  <c r="N8" i="81"/>
  <c r="O8" i="81"/>
  <c r="N7" i="81"/>
  <c r="K11" i="81"/>
  <c r="O7" i="81"/>
  <c r="N6" i="81"/>
  <c r="O6" i="81"/>
  <c r="O5" i="81"/>
  <c r="N5" i="81"/>
  <c r="N4" i="81"/>
  <c r="O4" i="81"/>
  <c r="O11" i="81" s="1"/>
  <c r="O10" i="80"/>
  <c r="N10" i="80"/>
  <c r="K9" i="80"/>
  <c r="C11" i="80"/>
  <c r="O8" i="80"/>
  <c r="N8" i="80"/>
  <c r="O7" i="80"/>
  <c r="N7" i="80"/>
  <c r="O6" i="80"/>
  <c r="N6" i="80"/>
  <c r="O5" i="80"/>
  <c r="N5" i="80"/>
  <c r="K11" i="80"/>
  <c r="N4" i="80"/>
  <c r="O4" i="80"/>
  <c r="O10" i="79"/>
  <c r="N10" i="79"/>
  <c r="O9" i="79"/>
  <c r="N9" i="79"/>
  <c r="O8" i="79"/>
  <c r="N8" i="79"/>
  <c r="O7" i="79"/>
  <c r="N7" i="79"/>
  <c r="O6" i="79"/>
  <c r="N6" i="79"/>
  <c r="N5" i="79"/>
  <c r="O5" i="79"/>
  <c r="O4" i="79"/>
  <c r="N4" i="79"/>
  <c r="K11" i="79"/>
  <c r="O10" i="78"/>
  <c r="N10" i="78"/>
  <c r="O9" i="78"/>
  <c r="N9" i="78"/>
  <c r="O8" i="78"/>
  <c r="N8" i="78"/>
  <c r="O7" i="78"/>
  <c r="N7" i="78"/>
  <c r="N6" i="78"/>
  <c r="O6" i="78"/>
  <c r="N5" i="78"/>
  <c r="O5" i="78"/>
  <c r="K11" i="78"/>
  <c r="O4" i="78"/>
  <c r="N4" i="78"/>
  <c r="D22" i="77"/>
  <c r="O10" i="77"/>
  <c r="N10" i="77"/>
  <c r="N9" i="77"/>
  <c r="O9" i="77"/>
  <c r="O8" i="77"/>
  <c r="N8" i="77"/>
  <c r="C11" i="77"/>
  <c r="K7" i="77"/>
  <c r="K11" i="77" s="1"/>
  <c r="O6" i="77"/>
  <c r="N6" i="77"/>
  <c r="O5" i="77"/>
  <c r="N5" i="77"/>
  <c r="O4" i="77"/>
  <c r="N4" i="77"/>
  <c r="O10" i="76"/>
  <c r="N10" i="76"/>
  <c r="O9" i="76"/>
  <c r="N9" i="76"/>
  <c r="N8" i="76"/>
  <c r="O8" i="76"/>
  <c r="N7" i="76"/>
  <c r="O7" i="76"/>
  <c r="O6" i="76"/>
  <c r="N6" i="76"/>
  <c r="N5" i="76"/>
  <c r="O5" i="76"/>
  <c r="O4" i="76"/>
  <c r="N4" i="76"/>
  <c r="K11" i="76"/>
  <c r="N10" i="75"/>
  <c r="O10" i="75"/>
  <c r="N9" i="75"/>
  <c r="O9" i="75"/>
  <c r="N8" i="75"/>
  <c r="O8" i="75"/>
  <c r="C11" i="75"/>
  <c r="K7" i="75"/>
  <c r="K11" i="75" s="1"/>
  <c r="O6" i="75"/>
  <c r="N6" i="75"/>
  <c r="O5" i="75"/>
  <c r="N5" i="75"/>
  <c r="O4" i="75"/>
  <c r="N4" i="75"/>
  <c r="N22" i="75"/>
  <c r="N10" i="74"/>
  <c r="O10" i="74"/>
  <c r="N9" i="74"/>
  <c r="O9" i="74"/>
  <c r="O8" i="74"/>
  <c r="N8" i="74"/>
  <c r="N7" i="74"/>
  <c r="O7" i="74"/>
  <c r="O6" i="74"/>
  <c r="N6" i="74"/>
  <c r="K11" i="74"/>
  <c r="O5" i="74"/>
  <c r="N5" i="74"/>
  <c r="O4" i="74"/>
  <c r="N4" i="74"/>
  <c r="O10" i="73"/>
  <c r="N10" i="73"/>
  <c r="O9" i="73"/>
  <c r="N9" i="73"/>
  <c r="N8" i="73"/>
  <c r="O8" i="73"/>
  <c r="K7" i="73"/>
  <c r="K11" i="73" s="1"/>
  <c r="C11" i="73"/>
  <c r="N6" i="73"/>
  <c r="O6" i="73"/>
  <c r="N5" i="73"/>
  <c r="O5" i="73"/>
  <c r="O4" i="73"/>
  <c r="N4" i="73"/>
  <c r="O10" i="72"/>
  <c r="N10" i="72"/>
  <c r="O9" i="72"/>
  <c r="N9" i="72"/>
  <c r="N8" i="72"/>
  <c r="O8" i="72"/>
  <c r="C11" i="72"/>
  <c r="K7" i="72"/>
  <c r="O6" i="72"/>
  <c r="N6" i="72"/>
  <c r="N5" i="72"/>
  <c r="O5" i="72"/>
  <c r="O4" i="72"/>
  <c r="N4" i="72"/>
  <c r="K11" i="72"/>
  <c r="O10" i="71"/>
  <c r="N10" i="71"/>
  <c r="O9" i="71"/>
  <c r="N9" i="71"/>
  <c r="O8" i="71"/>
  <c r="N8" i="71"/>
  <c r="C11" i="71"/>
  <c r="K7" i="71"/>
  <c r="K11" i="71" s="1"/>
  <c r="O6" i="71"/>
  <c r="N6" i="71"/>
  <c r="O5" i="71"/>
  <c r="N5" i="71"/>
  <c r="O4" i="71"/>
  <c r="N4" i="71"/>
  <c r="O10" i="70"/>
  <c r="N10" i="70"/>
  <c r="O9" i="70"/>
  <c r="N9" i="70"/>
  <c r="O8" i="70"/>
  <c r="N8" i="70"/>
  <c r="O7" i="70"/>
  <c r="N7" i="70"/>
  <c r="K6" i="70"/>
  <c r="K11" i="70" s="1"/>
  <c r="C11" i="70"/>
  <c r="O5" i="70"/>
  <c r="N5" i="70"/>
  <c r="O4" i="70"/>
  <c r="N4" i="70"/>
  <c r="D22" i="69"/>
  <c r="N10" i="69"/>
  <c r="O10" i="69"/>
  <c r="O9" i="69"/>
  <c r="N9" i="69"/>
  <c r="O8" i="69"/>
  <c r="N8" i="69"/>
  <c r="N7" i="69"/>
  <c r="O7" i="69"/>
  <c r="C11" i="69"/>
  <c r="K6" i="69"/>
  <c r="K11" i="69" s="1"/>
  <c r="O5" i="69"/>
  <c r="N5" i="69"/>
  <c r="O4" i="69"/>
  <c r="N4" i="69"/>
  <c r="N22" i="68"/>
  <c r="O10" i="68"/>
  <c r="N10" i="68"/>
  <c r="N9" i="68"/>
  <c r="O9" i="68"/>
  <c r="O8" i="68"/>
  <c r="N8" i="68"/>
  <c r="O7" i="68"/>
  <c r="N7" i="68"/>
  <c r="C11" i="68"/>
  <c r="K6" i="68"/>
  <c r="K11" i="68" s="1"/>
  <c r="O5" i="68"/>
  <c r="N5" i="68"/>
  <c r="O4" i="68"/>
  <c r="N4" i="68"/>
  <c r="N10" i="67"/>
  <c r="O10" i="67"/>
  <c r="O9" i="67"/>
  <c r="N9" i="67"/>
  <c r="O8" i="67"/>
  <c r="N8" i="67"/>
  <c r="C11" i="67"/>
  <c r="K7" i="67"/>
  <c r="O6" i="67"/>
  <c r="N6" i="67"/>
  <c r="O5" i="67"/>
  <c r="N5" i="67"/>
  <c r="K11" i="67"/>
  <c r="O4" i="67"/>
  <c r="N4" i="67"/>
  <c r="O10" i="66"/>
  <c r="N10" i="66"/>
  <c r="O9" i="66"/>
  <c r="N9" i="66"/>
  <c r="O8" i="66"/>
  <c r="N8" i="66"/>
  <c r="N7" i="66"/>
  <c r="O7" i="66"/>
  <c r="N6" i="66"/>
  <c r="O6" i="66"/>
  <c r="K11" i="66"/>
  <c r="O5" i="66"/>
  <c r="N5" i="66"/>
  <c r="O4" i="66"/>
  <c r="N4" i="66"/>
  <c r="O10" i="65"/>
  <c r="N10" i="65"/>
  <c r="O9" i="65"/>
  <c r="N9" i="65"/>
  <c r="O8" i="65"/>
  <c r="N8" i="65"/>
  <c r="N7" i="65"/>
  <c r="O7" i="65"/>
  <c r="C11" i="65"/>
  <c r="K6" i="65"/>
  <c r="K11" i="65" s="1"/>
  <c r="O5" i="65"/>
  <c r="N5" i="65"/>
  <c r="O4" i="65"/>
  <c r="N4" i="65"/>
  <c r="D22" i="64"/>
  <c r="N10" i="64"/>
  <c r="O10" i="64"/>
  <c r="O9" i="64"/>
  <c r="N9" i="64"/>
  <c r="O8" i="64"/>
  <c r="N8" i="64"/>
  <c r="K7" i="64"/>
  <c r="C11" i="64"/>
  <c r="O6" i="64"/>
  <c r="N6" i="64"/>
  <c r="O5" i="64"/>
  <c r="N5" i="64"/>
  <c r="O4" i="64"/>
  <c r="N4" i="64"/>
  <c r="K11" i="64"/>
  <c r="N10" i="63"/>
  <c r="O10" i="63"/>
  <c r="O9" i="63"/>
  <c r="N9" i="63"/>
  <c r="O8" i="63"/>
  <c r="N8" i="63"/>
  <c r="O7" i="63"/>
  <c r="N7" i="63"/>
  <c r="N6" i="63"/>
  <c r="O6" i="63"/>
  <c r="O5" i="63"/>
  <c r="N5" i="63"/>
  <c r="K11" i="63"/>
  <c r="O4" i="63"/>
  <c r="N4" i="63"/>
  <c r="N10" i="62"/>
  <c r="O10" i="62"/>
  <c r="N9" i="62"/>
  <c r="O9" i="62"/>
  <c r="O8" i="62"/>
  <c r="N8" i="62"/>
  <c r="O7" i="62"/>
  <c r="N7" i="62"/>
  <c r="K6" i="62"/>
  <c r="C11" i="62"/>
  <c r="O5" i="62"/>
  <c r="N5" i="62"/>
  <c r="O4" i="62"/>
  <c r="K11" i="62"/>
  <c r="N4" i="62"/>
  <c r="N22" i="60"/>
  <c r="O10" i="60"/>
  <c r="N10" i="60"/>
  <c r="O9" i="60"/>
  <c r="N9" i="60"/>
  <c r="O8" i="60"/>
  <c r="N8" i="60"/>
  <c r="N7" i="60"/>
  <c r="O7" i="60"/>
  <c r="C11" i="60"/>
  <c r="K6" i="60"/>
  <c r="K11" i="60" s="1"/>
  <c r="O5" i="60"/>
  <c r="N5" i="60"/>
  <c r="O4" i="60"/>
  <c r="N4" i="60"/>
  <c r="O10" i="59"/>
  <c r="N10" i="59"/>
  <c r="O9" i="59"/>
  <c r="N9" i="59"/>
  <c r="O8" i="59"/>
  <c r="N8" i="59"/>
  <c r="N7" i="59"/>
  <c r="O7" i="59"/>
  <c r="C11" i="59"/>
  <c r="K6" i="59"/>
  <c r="K11" i="59" s="1"/>
  <c r="O5" i="59"/>
  <c r="N5" i="59"/>
  <c r="O4" i="59"/>
  <c r="N4" i="59"/>
  <c r="O10" i="58"/>
  <c r="N10" i="58"/>
  <c r="O9" i="58"/>
  <c r="N9" i="58"/>
  <c r="O8" i="58"/>
  <c r="N8" i="58"/>
  <c r="N7" i="58"/>
  <c r="O7" i="58"/>
  <c r="N6" i="58"/>
  <c r="O6" i="58"/>
  <c r="K11" i="58"/>
  <c r="O5" i="58"/>
  <c r="N5" i="58"/>
  <c r="O4" i="58"/>
  <c r="N4" i="58"/>
  <c r="N10" i="57"/>
  <c r="O10" i="57"/>
  <c r="O9" i="57"/>
  <c r="N9" i="57"/>
  <c r="O8" i="57"/>
  <c r="N8" i="57"/>
  <c r="N7" i="57"/>
  <c r="O7" i="57"/>
  <c r="N6" i="57"/>
  <c r="O6" i="57"/>
  <c r="K11" i="57"/>
  <c r="O5" i="57"/>
  <c r="N5" i="57"/>
  <c r="O4" i="57"/>
  <c r="N4" i="57"/>
  <c r="D22" i="55"/>
  <c r="O10" i="56"/>
  <c r="N10" i="56"/>
  <c r="O9" i="56"/>
  <c r="N9" i="56"/>
  <c r="O8" i="56"/>
  <c r="N8" i="56"/>
  <c r="N7" i="56"/>
  <c r="O7" i="56"/>
  <c r="C11" i="56"/>
  <c r="K6" i="56"/>
  <c r="K11" i="56" s="1"/>
  <c r="O5" i="56"/>
  <c r="N5" i="56"/>
  <c r="O4" i="56"/>
  <c r="N4" i="56"/>
  <c r="O10" i="55"/>
  <c r="N10" i="55"/>
  <c r="O9" i="55"/>
  <c r="N9" i="55"/>
  <c r="O8" i="55"/>
  <c r="N8" i="55"/>
  <c r="N7" i="55"/>
  <c r="O7" i="55"/>
  <c r="C11" i="55"/>
  <c r="K6" i="55"/>
  <c r="K11" i="55" s="1"/>
  <c r="O5" i="55"/>
  <c r="N5" i="55"/>
  <c r="O4" i="55"/>
  <c r="N4" i="55"/>
  <c r="O10" i="54"/>
  <c r="N10" i="54"/>
  <c r="O9" i="54"/>
  <c r="N9" i="54"/>
  <c r="O8" i="54"/>
  <c r="N8" i="54"/>
  <c r="N7" i="54"/>
  <c r="O7" i="54"/>
  <c r="C11" i="54"/>
  <c r="K6" i="54"/>
  <c r="K11" i="54" s="1"/>
  <c r="O5" i="54"/>
  <c r="N5" i="54"/>
  <c r="O4" i="54"/>
  <c r="N4" i="54"/>
  <c r="N22" i="53"/>
  <c r="D22" i="53"/>
  <c r="O10" i="53"/>
  <c r="N10" i="53"/>
  <c r="O9" i="53"/>
  <c r="N9" i="53"/>
  <c r="N8" i="53"/>
  <c r="O8" i="53"/>
  <c r="N7" i="53"/>
  <c r="O7" i="53"/>
  <c r="C11" i="53"/>
  <c r="K6" i="53"/>
  <c r="K11" i="53" s="1"/>
  <c r="O5" i="53"/>
  <c r="N5" i="53"/>
  <c r="O4" i="53"/>
  <c r="N4" i="53"/>
  <c r="D22" i="52"/>
  <c r="N10" i="52"/>
  <c r="O10" i="52"/>
  <c r="O9" i="52"/>
  <c r="N9" i="52"/>
  <c r="N8" i="52"/>
  <c r="O8" i="52"/>
  <c r="C11" i="52"/>
  <c r="K7" i="52"/>
  <c r="O6" i="52"/>
  <c r="N6" i="52"/>
  <c r="O5" i="52"/>
  <c r="N5" i="52"/>
  <c r="K11" i="52"/>
  <c r="O4" i="52"/>
  <c r="N4" i="52"/>
  <c r="D22" i="45"/>
  <c r="O10" i="51"/>
  <c r="N10" i="51"/>
  <c r="O9" i="51"/>
  <c r="N9" i="51"/>
  <c r="N8" i="51"/>
  <c r="O8" i="51"/>
  <c r="C11" i="51"/>
  <c r="K7" i="51"/>
  <c r="K11" i="51" s="1"/>
  <c r="O5" i="51"/>
  <c r="N5" i="51"/>
  <c r="O4" i="51"/>
  <c r="N4" i="51"/>
  <c r="O10" i="50"/>
  <c r="N10" i="50"/>
  <c r="O9" i="50"/>
  <c r="N9" i="50"/>
  <c r="N8" i="50"/>
  <c r="O8" i="50"/>
  <c r="N7" i="50"/>
  <c r="O7" i="50"/>
  <c r="C11" i="50"/>
  <c r="K6" i="50"/>
  <c r="K11" i="50" s="1"/>
  <c r="O5" i="50"/>
  <c r="N5" i="50"/>
  <c r="O4" i="50"/>
  <c r="N4" i="50"/>
  <c r="D22" i="49"/>
  <c r="N6" i="49"/>
  <c r="O6" i="49"/>
  <c r="O10" i="49"/>
  <c r="N10" i="49"/>
  <c r="O9" i="49"/>
  <c r="N9" i="49"/>
  <c r="N8" i="49"/>
  <c r="O8" i="49"/>
  <c r="C11" i="49"/>
  <c r="K7" i="49"/>
  <c r="K11" i="49" s="1"/>
  <c r="O5" i="49"/>
  <c r="N5" i="49"/>
  <c r="O4" i="49"/>
  <c r="N4" i="49"/>
  <c r="O10" i="46"/>
  <c r="N10" i="46"/>
  <c r="O9" i="46"/>
  <c r="N9" i="46"/>
  <c r="N8" i="46"/>
  <c r="O8" i="46"/>
  <c r="C11" i="46"/>
  <c r="K7" i="46"/>
  <c r="N5" i="46"/>
  <c r="O5" i="46"/>
  <c r="N4" i="46"/>
  <c r="O4" i="46"/>
  <c r="K11" i="46"/>
  <c r="O10" i="45"/>
  <c r="N10" i="45"/>
  <c r="N9" i="45"/>
  <c r="O9" i="45"/>
  <c r="O8" i="45"/>
  <c r="N8" i="45"/>
  <c r="K7" i="45"/>
  <c r="C11" i="45"/>
  <c r="O5" i="45"/>
  <c r="N5" i="45"/>
  <c r="O4" i="45"/>
  <c r="N4" i="45"/>
  <c r="N22" i="44"/>
  <c r="D22" i="44"/>
  <c r="O10" i="44"/>
  <c r="N10" i="44"/>
  <c r="N9" i="44"/>
  <c r="O9" i="44"/>
  <c r="N8" i="44"/>
  <c r="O8" i="44"/>
  <c r="C11" i="44"/>
  <c r="K7" i="44"/>
  <c r="K11" i="44" s="1"/>
  <c r="O5" i="44"/>
  <c r="N5" i="44"/>
  <c r="O4" i="44"/>
  <c r="N4" i="44"/>
  <c r="D22" i="43"/>
  <c r="O10" i="43"/>
  <c r="N10" i="43"/>
  <c r="N9" i="43"/>
  <c r="O9" i="43"/>
  <c r="O8" i="43"/>
  <c r="N8" i="43"/>
  <c r="C11" i="43"/>
  <c r="K7" i="43"/>
  <c r="K11" i="43" s="1"/>
  <c r="O5" i="43"/>
  <c r="N5" i="43"/>
  <c r="O4" i="43"/>
  <c r="N4" i="43"/>
  <c r="N10" i="42"/>
  <c r="O10" i="42"/>
  <c r="N9" i="42"/>
  <c r="O9" i="42"/>
  <c r="O8" i="42"/>
  <c r="N8" i="42"/>
  <c r="K7" i="42"/>
  <c r="K11" i="42" s="1"/>
  <c r="C11" i="42"/>
  <c r="O5" i="42"/>
  <c r="N5" i="42"/>
  <c r="O4" i="42"/>
  <c r="N4" i="42"/>
  <c r="N10" i="41"/>
  <c r="O10" i="41"/>
  <c r="N9" i="41"/>
  <c r="O9" i="41"/>
  <c r="O8" i="41"/>
  <c r="N8" i="41"/>
  <c r="C11" i="41"/>
  <c r="K7" i="41"/>
  <c r="O5" i="41"/>
  <c r="N5" i="41"/>
  <c r="K11" i="41"/>
  <c r="O4" i="41"/>
  <c r="N4" i="41"/>
  <c r="D22" i="40"/>
  <c r="N10" i="40"/>
  <c r="O10" i="40"/>
  <c r="O9" i="40"/>
  <c r="N9" i="40"/>
  <c r="N8" i="40"/>
  <c r="O8" i="40"/>
  <c r="K7" i="40"/>
  <c r="C11" i="40"/>
  <c r="O5" i="40"/>
  <c r="N5" i="40"/>
  <c r="K11" i="40"/>
  <c r="O4" i="40"/>
  <c r="N4" i="40"/>
  <c r="D22" i="39"/>
  <c r="N10" i="39"/>
  <c r="O10" i="39"/>
  <c r="N9" i="39"/>
  <c r="O9" i="39"/>
  <c r="O8" i="39"/>
  <c r="N8" i="39"/>
  <c r="C11" i="39"/>
  <c r="K7" i="39"/>
  <c r="O5" i="39"/>
  <c r="N5" i="39"/>
  <c r="K11" i="39"/>
  <c r="O4" i="39"/>
  <c r="N4" i="39"/>
  <c r="D22" i="38"/>
  <c r="N10" i="38"/>
  <c r="O10" i="38"/>
  <c r="K9" i="38"/>
  <c r="K11" i="38" s="1"/>
  <c r="C11" i="38"/>
  <c r="N7" i="38"/>
  <c r="O7" i="38"/>
  <c r="O5" i="38"/>
  <c r="N5" i="38"/>
  <c r="O4" i="38"/>
  <c r="N4" i="38"/>
  <c r="D22" i="37"/>
  <c r="N10" i="37"/>
  <c r="O10" i="37"/>
  <c r="N9" i="37"/>
  <c r="O9" i="37"/>
  <c r="O8" i="37"/>
  <c r="N8" i="37"/>
  <c r="O5" i="37"/>
  <c r="N5" i="37"/>
  <c r="O4" i="37"/>
  <c r="N4" i="37"/>
  <c r="N10" i="36"/>
  <c r="O10" i="36"/>
  <c r="N9" i="36"/>
  <c r="O9" i="36"/>
  <c r="O8" i="36"/>
  <c r="N8" i="36"/>
  <c r="C11" i="36"/>
  <c r="K7" i="36"/>
  <c r="O5" i="36"/>
  <c r="N5" i="36"/>
  <c r="K11" i="36"/>
  <c r="O4" i="36"/>
  <c r="N4" i="36"/>
  <c r="D22" i="35"/>
  <c r="N10" i="35"/>
  <c r="O10" i="35"/>
  <c r="N9" i="35"/>
  <c r="O9" i="35"/>
  <c r="O8" i="35"/>
  <c r="N8" i="35"/>
  <c r="C11" i="35"/>
  <c r="K7" i="35"/>
  <c r="K11" i="35" s="1"/>
  <c r="O5" i="35"/>
  <c r="N5" i="35"/>
  <c r="O4" i="35"/>
  <c r="N4" i="35"/>
  <c r="D22" i="34"/>
  <c r="N10" i="34"/>
  <c r="O10" i="34"/>
  <c r="O9" i="34"/>
  <c r="N9" i="34"/>
  <c r="O8" i="34"/>
  <c r="N8" i="34"/>
  <c r="N7" i="34"/>
  <c r="O7" i="34"/>
  <c r="O5" i="34"/>
  <c r="N5" i="34"/>
  <c r="K11" i="34"/>
  <c r="N4" i="34"/>
  <c r="O4" i="34"/>
  <c r="D22" i="32"/>
  <c r="N10" i="33"/>
  <c r="O10" i="33"/>
  <c r="O9" i="33"/>
  <c r="N9" i="33"/>
  <c r="O8" i="33"/>
  <c r="N8" i="33"/>
  <c r="C11" i="33"/>
  <c r="K7" i="33"/>
  <c r="O5" i="33"/>
  <c r="N5" i="33"/>
  <c r="K11" i="33"/>
  <c r="O4" i="33"/>
  <c r="N4" i="33"/>
  <c r="N10" i="32"/>
  <c r="O10" i="32"/>
  <c r="O9" i="32"/>
  <c r="N9" i="32"/>
  <c r="O8" i="32"/>
  <c r="N8" i="32"/>
  <c r="C11" i="32"/>
  <c r="K7" i="32"/>
  <c r="K11" i="32" s="1"/>
  <c r="O5" i="32"/>
  <c r="N5" i="32"/>
  <c r="O4" i="32"/>
  <c r="N4" i="32"/>
  <c r="N10" i="31"/>
  <c r="O10" i="31"/>
  <c r="N9" i="31"/>
  <c r="O9" i="31"/>
  <c r="N8" i="31"/>
  <c r="O8" i="31"/>
  <c r="O7" i="31"/>
  <c r="N7" i="31"/>
  <c r="K6" i="31"/>
  <c r="C11" i="31"/>
  <c r="N5" i="31"/>
  <c r="O5" i="31"/>
  <c r="O4" i="31"/>
  <c r="N4" i="31"/>
  <c r="N11" i="31" s="1"/>
  <c r="O10" i="30"/>
  <c r="N10" i="30"/>
  <c r="C11" i="30"/>
  <c r="K9" i="30"/>
  <c r="O8" i="30"/>
  <c r="N8" i="30"/>
  <c r="N7" i="30"/>
  <c r="O7" i="30"/>
  <c r="O6" i="30"/>
  <c r="K11" i="30"/>
  <c r="O5" i="30"/>
  <c r="N5" i="30"/>
  <c r="O4" i="30"/>
  <c r="N4" i="30"/>
  <c r="N10" i="29"/>
  <c r="O10" i="29"/>
  <c r="O9" i="29"/>
  <c r="N9" i="29"/>
  <c r="O8" i="29"/>
  <c r="N8" i="29"/>
  <c r="N7" i="29"/>
  <c r="O7" i="29"/>
  <c r="C11" i="29"/>
  <c r="K6" i="29"/>
  <c r="K11" i="29" s="1"/>
  <c r="O5" i="29"/>
  <c r="N5" i="29"/>
  <c r="O4" i="29"/>
  <c r="N4" i="29"/>
  <c r="D22" i="28"/>
  <c r="O10" i="28"/>
  <c r="N10" i="28"/>
  <c r="O9" i="28"/>
  <c r="N9" i="28"/>
  <c r="O8" i="28"/>
  <c r="N8" i="28"/>
  <c r="N7" i="28"/>
  <c r="O7" i="28"/>
  <c r="C11" i="28"/>
  <c r="K6" i="28"/>
  <c r="O5" i="28"/>
  <c r="N5" i="28"/>
  <c r="K11" i="28"/>
  <c r="O4" i="28"/>
  <c r="N4" i="28"/>
  <c r="N10" i="26"/>
  <c r="O10" i="26"/>
  <c r="O8" i="26"/>
  <c r="N8" i="26"/>
  <c r="N7" i="26"/>
  <c r="O7" i="26"/>
  <c r="O6" i="26"/>
  <c r="K11" i="26"/>
  <c r="O5" i="26"/>
  <c r="N5" i="26"/>
  <c r="O4" i="26"/>
  <c r="N4" i="26"/>
  <c r="D22" i="25"/>
  <c r="O10" i="25"/>
  <c r="N10" i="25"/>
  <c r="O8" i="25"/>
  <c r="N8" i="25"/>
  <c r="K7" i="25"/>
  <c r="K11" i="25" s="1"/>
  <c r="C11" i="25"/>
  <c r="O6" i="25"/>
  <c r="N6" i="25"/>
  <c r="O5" i="25"/>
  <c r="N5" i="25"/>
  <c r="O4" i="25"/>
  <c r="N4" i="25"/>
  <c r="O10" i="23"/>
  <c r="N10" i="23"/>
  <c r="N9" i="23"/>
  <c r="O9" i="23"/>
  <c r="O8" i="23"/>
  <c r="N8" i="23"/>
  <c r="N7" i="23"/>
  <c r="O7" i="23"/>
  <c r="C11" i="23"/>
  <c r="K6" i="23"/>
  <c r="K11" i="23" s="1"/>
  <c r="O5" i="23"/>
  <c r="N5" i="23"/>
  <c r="N4" i="23"/>
  <c r="O4" i="23"/>
  <c r="D22" i="22"/>
  <c r="N10" i="22"/>
  <c r="O10" i="22"/>
  <c r="O9" i="22"/>
  <c r="N9" i="22"/>
  <c r="N8" i="22"/>
  <c r="O8" i="22"/>
  <c r="O7" i="22"/>
  <c r="N7" i="22"/>
  <c r="C11" i="22"/>
  <c r="K6" i="22"/>
  <c r="K11" i="22" s="1"/>
  <c r="O5" i="22"/>
  <c r="N5" i="22"/>
  <c r="O4" i="22"/>
  <c r="N4" i="22"/>
  <c r="O10" i="21"/>
  <c r="N10" i="21"/>
  <c r="N9" i="21"/>
  <c r="O9" i="21"/>
  <c r="N8" i="21"/>
  <c r="O8" i="21"/>
  <c r="N7" i="21"/>
  <c r="O7" i="21"/>
  <c r="C11" i="21"/>
  <c r="K6" i="21"/>
  <c r="K11" i="21" s="1"/>
  <c r="N5" i="21"/>
  <c r="O5" i="21"/>
  <c r="N4" i="21"/>
  <c r="O4" i="21"/>
  <c r="C11" i="20"/>
  <c r="K6" i="20"/>
  <c r="O10" i="20"/>
  <c r="N10" i="20"/>
  <c r="O9" i="20"/>
  <c r="N9" i="20"/>
  <c r="O8" i="20"/>
  <c r="N8" i="20"/>
  <c r="O7" i="20"/>
  <c r="N7" i="20"/>
  <c r="O6" i="20"/>
  <c r="O5" i="20"/>
  <c r="N5" i="20"/>
  <c r="O4" i="20"/>
  <c r="N4" i="20"/>
  <c r="O10" i="19"/>
  <c r="N10" i="19"/>
  <c r="O9" i="19"/>
  <c r="N9" i="19"/>
  <c r="O8" i="19"/>
  <c r="N8" i="19"/>
  <c r="O7" i="19"/>
  <c r="N7" i="19"/>
  <c r="O6" i="19"/>
  <c r="N6" i="19"/>
  <c r="O5" i="19"/>
  <c r="N5" i="19"/>
  <c r="K11" i="19"/>
  <c r="O4" i="19"/>
  <c r="N4" i="19"/>
  <c r="O10" i="18"/>
  <c r="N10" i="18"/>
  <c r="O9" i="18"/>
  <c r="N9" i="18"/>
  <c r="O8" i="18"/>
  <c r="N8" i="18"/>
  <c r="O7" i="18"/>
  <c r="N7" i="18"/>
  <c r="O6" i="18"/>
  <c r="N6" i="18"/>
  <c r="O5" i="18"/>
  <c r="N5" i="18"/>
  <c r="K11" i="18"/>
  <c r="O4" i="18"/>
  <c r="N4" i="18"/>
  <c r="D22" i="17"/>
  <c r="N10" i="17"/>
  <c r="O10" i="17"/>
  <c r="O9" i="17"/>
  <c r="N9" i="17"/>
  <c r="O8" i="17"/>
  <c r="N8" i="17"/>
  <c r="N7" i="17"/>
  <c r="O7" i="17"/>
  <c r="N6" i="17"/>
  <c r="O6" i="17"/>
  <c r="O5" i="17"/>
  <c r="N5" i="17"/>
  <c r="N4" i="17"/>
  <c r="N11" i="17" s="1"/>
  <c r="O4" i="17"/>
  <c r="K11" i="17"/>
  <c r="D22" i="16"/>
  <c r="O10" i="16"/>
  <c r="N10" i="16"/>
  <c r="O9" i="16"/>
  <c r="N9" i="16"/>
  <c r="O8" i="16"/>
  <c r="N8" i="16"/>
  <c r="C11" i="16"/>
  <c r="K7" i="16"/>
  <c r="O6" i="16"/>
  <c r="N6" i="16"/>
  <c r="O5" i="16"/>
  <c r="N5" i="16"/>
  <c r="O4" i="16"/>
  <c r="N4" i="16"/>
  <c r="N5" i="15"/>
  <c r="O5" i="15"/>
  <c r="O9" i="15"/>
  <c r="N9" i="15"/>
  <c r="O8" i="15"/>
  <c r="N8" i="15"/>
  <c r="O7" i="15"/>
  <c r="N7" i="15"/>
  <c r="C11" i="15"/>
  <c r="K6" i="15"/>
  <c r="K11" i="15" s="1"/>
  <c r="O4" i="15"/>
  <c r="N4" i="15"/>
  <c r="N22" i="14"/>
  <c r="N10" i="14"/>
  <c r="O10" i="14"/>
  <c r="N9" i="14"/>
  <c r="O9" i="14"/>
  <c r="O8" i="14"/>
  <c r="N8" i="14"/>
  <c r="N7" i="14"/>
  <c r="O7" i="14"/>
  <c r="C11" i="14"/>
  <c r="K6" i="14"/>
  <c r="O5" i="14"/>
  <c r="N5" i="14"/>
  <c r="O4" i="14"/>
  <c r="N4" i="14"/>
  <c r="D22" i="13"/>
  <c r="O10" i="13"/>
  <c r="N10" i="13"/>
  <c r="O8" i="13"/>
  <c r="N8" i="13"/>
  <c r="N7" i="13"/>
  <c r="O7" i="13"/>
  <c r="C11" i="13"/>
  <c r="K6" i="13"/>
  <c r="K11" i="13" s="1"/>
  <c r="O5" i="13"/>
  <c r="N5" i="13"/>
  <c r="O4" i="13"/>
  <c r="N4" i="13"/>
  <c r="D22" i="12"/>
  <c r="O10" i="12"/>
  <c r="N10" i="12"/>
  <c r="O9" i="12"/>
  <c r="N9" i="12"/>
  <c r="O8" i="12"/>
  <c r="N8" i="12"/>
  <c r="O7" i="12"/>
  <c r="N7" i="12"/>
  <c r="K6" i="12"/>
  <c r="K11" i="12" s="1"/>
  <c r="C11" i="12"/>
  <c r="O5" i="12"/>
  <c r="N5" i="12"/>
  <c r="O4" i="12"/>
  <c r="N4" i="12"/>
  <c r="D22" i="11"/>
  <c r="K6" i="11"/>
  <c r="C11" i="11"/>
  <c r="O10" i="11"/>
  <c r="N10" i="11"/>
  <c r="O9" i="11"/>
  <c r="N9" i="11"/>
  <c r="O8" i="11"/>
  <c r="N8" i="11"/>
  <c r="O7" i="11"/>
  <c r="N7" i="11"/>
  <c r="O5" i="11"/>
  <c r="N5" i="11"/>
  <c r="O4" i="11"/>
  <c r="N4" i="11"/>
  <c r="D22" i="10"/>
  <c r="N10" i="10"/>
  <c r="O10" i="10"/>
  <c r="O9" i="10"/>
  <c r="N9" i="10"/>
  <c r="O8" i="10"/>
  <c r="N8" i="10"/>
  <c r="O7" i="10"/>
  <c r="N7" i="10"/>
  <c r="K6" i="10"/>
  <c r="K11" i="10" s="1"/>
  <c r="C11" i="10"/>
  <c r="O5" i="10"/>
  <c r="N5" i="10"/>
  <c r="N4" i="10"/>
  <c r="O4" i="10"/>
  <c r="D22" i="9"/>
  <c r="O10" i="9"/>
  <c r="N10" i="9"/>
  <c r="O9" i="9"/>
  <c r="N9" i="9"/>
  <c r="N8" i="9"/>
  <c r="O8" i="9"/>
  <c r="N7" i="9"/>
  <c r="O7" i="9"/>
  <c r="K6" i="9"/>
  <c r="K11" i="9" s="1"/>
  <c r="C11" i="9"/>
  <c r="O5" i="9"/>
  <c r="N5" i="9"/>
  <c r="N4" i="9"/>
  <c r="O4" i="9"/>
  <c r="D22" i="8"/>
  <c r="N6" i="8"/>
  <c r="O6" i="8"/>
  <c r="O5" i="8"/>
  <c r="N5" i="8"/>
  <c r="N10" i="8"/>
  <c r="O10" i="8"/>
  <c r="O9" i="8"/>
  <c r="N9" i="8"/>
  <c r="N8" i="8"/>
  <c r="O8" i="8"/>
  <c r="N7" i="8"/>
  <c r="O7" i="8"/>
  <c r="C11" i="8"/>
  <c r="O4" i="8"/>
  <c r="N4" i="8"/>
  <c r="N22" i="7"/>
  <c r="D22" i="7"/>
  <c r="O10" i="7"/>
  <c r="N10" i="7"/>
  <c r="O9" i="7"/>
  <c r="N9" i="7"/>
  <c r="N8" i="7"/>
  <c r="O8" i="7"/>
  <c r="N7" i="7"/>
  <c r="O7" i="7"/>
  <c r="C11" i="7"/>
  <c r="K6" i="7"/>
  <c r="K11" i="7" s="1"/>
  <c r="O5" i="7"/>
  <c r="N5" i="7"/>
  <c r="O4" i="7"/>
  <c r="N4" i="7"/>
  <c r="D22" i="5"/>
  <c r="O10" i="5"/>
  <c r="N10" i="5"/>
  <c r="O9" i="5"/>
  <c r="N9" i="5"/>
  <c r="N8" i="5"/>
  <c r="O8" i="5"/>
  <c r="N7" i="5"/>
  <c r="O7" i="5"/>
  <c r="C11" i="5"/>
  <c r="K6" i="5"/>
  <c r="N5" i="5"/>
  <c r="O5" i="5"/>
  <c r="K11" i="5"/>
  <c r="N4" i="5"/>
  <c r="O4" i="5"/>
  <c r="O9" i="4"/>
  <c r="N9" i="4"/>
  <c r="N8" i="4"/>
  <c r="O8" i="4"/>
  <c r="O10" i="4"/>
  <c r="N7" i="4"/>
  <c r="O7" i="4"/>
  <c r="C11" i="4"/>
  <c r="K11" i="4"/>
  <c r="O5" i="4"/>
  <c r="N5" i="4"/>
  <c r="O4" i="4"/>
  <c r="N4" i="4"/>
  <c r="D21" i="3"/>
  <c r="O9" i="3"/>
  <c r="N9" i="3"/>
  <c r="O8" i="3"/>
  <c r="N8" i="3"/>
  <c r="N7" i="3"/>
  <c r="O7" i="3"/>
  <c r="C10" i="3"/>
  <c r="K6" i="3"/>
  <c r="K10" i="3" s="1"/>
  <c r="O5" i="3"/>
  <c r="N5" i="3"/>
  <c r="O4" i="3"/>
  <c r="N4" i="3"/>
  <c r="N9" i="2"/>
  <c r="O9" i="2"/>
  <c r="O8" i="2"/>
  <c r="N8" i="2"/>
  <c r="N7" i="2"/>
  <c r="O7" i="2"/>
  <c r="C10" i="2"/>
  <c r="K6" i="2"/>
  <c r="K10" i="2" s="1"/>
  <c r="O5" i="2"/>
  <c r="N5" i="2"/>
  <c r="O4" i="2"/>
  <c r="N4" i="2"/>
  <c r="N6" i="163" l="1"/>
  <c r="N11" i="163" s="1"/>
  <c r="O6" i="163"/>
  <c r="O11" i="163" s="1"/>
  <c r="N6" i="161"/>
  <c r="N11" i="161" s="1"/>
  <c r="O6" i="161"/>
  <c r="O11" i="161" s="1"/>
  <c r="N6" i="160"/>
  <c r="N11" i="160" s="1"/>
  <c r="O6" i="160"/>
  <c r="O11" i="160" s="1"/>
  <c r="O6" i="159"/>
  <c r="O11" i="159" s="1"/>
  <c r="N6" i="159"/>
  <c r="N11" i="159" s="1"/>
  <c r="N6" i="158"/>
  <c r="N11" i="158" s="1"/>
  <c r="O6" i="158"/>
  <c r="O11" i="158" s="1"/>
  <c r="K11" i="158"/>
  <c r="N6" i="157"/>
  <c r="N11" i="157" s="1"/>
  <c r="O6" i="157"/>
  <c r="O11" i="157" s="1"/>
  <c r="O11" i="156"/>
  <c r="N11" i="156"/>
  <c r="O11" i="155"/>
  <c r="N11" i="155"/>
  <c r="N6" i="154"/>
  <c r="N11" i="154" s="1"/>
  <c r="O6" i="154"/>
  <c r="O11" i="154" s="1"/>
  <c r="N6" i="153"/>
  <c r="N11" i="153" s="1"/>
  <c r="O6" i="153"/>
  <c r="O11" i="153" s="1"/>
  <c r="N7" i="152"/>
  <c r="N11" i="152" s="1"/>
  <c r="O7" i="152"/>
  <c r="O11" i="152" s="1"/>
  <c r="N7" i="151"/>
  <c r="N11" i="151" s="1"/>
  <c r="O7" i="151"/>
  <c r="O11" i="151" s="1"/>
  <c r="N11" i="150"/>
  <c r="N6" i="149"/>
  <c r="N11" i="149" s="1"/>
  <c r="O6" i="149"/>
  <c r="O11" i="149" s="1"/>
  <c r="O6" i="148"/>
  <c r="O11" i="148" s="1"/>
  <c r="N6" i="148"/>
  <c r="N11" i="148" s="1"/>
  <c r="N6" i="147"/>
  <c r="N11" i="147" s="1"/>
  <c r="O6" i="147"/>
  <c r="O11" i="147" s="1"/>
  <c r="N7" i="146"/>
  <c r="N11" i="146" s="1"/>
  <c r="O7" i="146"/>
  <c r="O11" i="146" s="1"/>
  <c r="N10" i="145"/>
  <c r="N11" i="145" s="1"/>
  <c r="O10" i="145"/>
  <c r="O11" i="145" s="1"/>
  <c r="N6" i="144"/>
  <c r="N11" i="144" s="1"/>
  <c r="O6" i="144"/>
  <c r="O11" i="144" s="1"/>
  <c r="N7" i="143"/>
  <c r="N11" i="143" s="1"/>
  <c r="O7" i="143"/>
  <c r="O11" i="143" s="1"/>
  <c r="N11" i="142"/>
  <c r="O11" i="142"/>
  <c r="O6" i="141"/>
  <c r="O11" i="141" s="1"/>
  <c r="N6" i="141"/>
  <c r="N11" i="141" s="1"/>
  <c r="O6" i="140"/>
  <c r="O11" i="140" s="1"/>
  <c r="N6" i="140"/>
  <c r="N11" i="140" s="1"/>
  <c r="N6" i="139"/>
  <c r="N11" i="139" s="1"/>
  <c r="O6" i="139"/>
  <c r="O11" i="139" s="1"/>
  <c r="N6" i="138"/>
  <c r="N11" i="138" s="1"/>
  <c r="O6" i="138"/>
  <c r="O11" i="138" s="1"/>
  <c r="N7" i="137"/>
  <c r="N11" i="137" s="1"/>
  <c r="O7" i="137"/>
  <c r="O11" i="137" s="1"/>
  <c r="N6" i="136"/>
  <c r="N11" i="136" s="1"/>
  <c r="O6" i="136"/>
  <c r="O11" i="136" s="1"/>
  <c r="N11" i="135"/>
  <c r="O11" i="135"/>
  <c r="N11" i="134"/>
  <c r="O11" i="134"/>
  <c r="N11" i="133"/>
  <c r="O11" i="133"/>
  <c r="N6" i="132"/>
  <c r="N11" i="132" s="1"/>
  <c r="O6" i="132"/>
  <c r="O11" i="132" s="1"/>
  <c r="K11" i="132"/>
  <c r="N6" i="131"/>
  <c r="N11" i="131" s="1"/>
  <c r="O6" i="131"/>
  <c r="O11" i="131" s="1"/>
  <c r="N9" i="130"/>
  <c r="N11" i="130" s="1"/>
  <c r="O9" i="130"/>
  <c r="O11" i="130" s="1"/>
  <c r="N6" i="129"/>
  <c r="N11" i="129" s="1"/>
  <c r="O6" i="129"/>
  <c r="O11" i="129" s="1"/>
  <c r="O11" i="128"/>
  <c r="N11" i="128"/>
  <c r="O6" i="127"/>
  <c r="O11" i="127" s="1"/>
  <c r="N6" i="127"/>
  <c r="N11" i="127" s="1"/>
  <c r="O6" i="126"/>
  <c r="N6" i="126"/>
  <c r="N11" i="126" s="1"/>
  <c r="O11" i="126"/>
  <c r="O10" i="124"/>
  <c r="O11" i="124" s="1"/>
  <c r="N10" i="124"/>
  <c r="N11" i="124" s="1"/>
  <c r="N6" i="123"/>
  <c r="N11" i="123" s="1"/>
  <c r="O6" i="123"/>
  <c r="O11" i="123" s="1"/>
  <c r="N6" i="121"/>
  <c r="N11" i="121" s="1"/>
  <c r="O6" i="121"/>
  <c r="O11" i="121" s="1"/>
  <c r="N6" i="119"/>
  <c r="N11" i="119" s="1"/>
  <c r="O6" i="119"/>
  <c r="O11" i="119" s="1"/>
  <c r="O6" i="118"/>
  <c r="O11" i="118" s="1"/>
  <c r="N6" i="118"/>
  <c r="N11" i="118" s="1"/>
  <c r="N6" i="117"/>
  <c r="N11" i="117" s="1"/>
  <c r="O6" i="117"/>
  <c r="O11" i="117" s="1"/>
  <c r="O6" i="116"/>
  <c r="O11" i="116" s="1"/>
  <c r="N6" i="116"/>
  <c r="N11" i="116" s="1"/>
  <c r="O11" i="115"/>
  <c r="N11" i="115"/>
  <c r="N7" i="114"/>
  <c r="N11" i="114" s="1"/>
  <c r="O7" i="114"/>
  <c r="O11" i="114" s="1"/>
  <c r="N7" i="113"/>
  <c r="N11" i="113" s="1"/>
  <c r="O7" i="113"/>
  <c r="O11" i="113" s="1"/>
  <c r="N11" i="112"/>
  <c r="O6" i="111"/>
  <c r="O11" i="111" s="1"/>
  <c r="N6" i="111"/>
  <c r="N11" i="111" s="1"/>
  <c r="N6" i="110"/>
  <c r="N11" i="110" s="1"/>
  <c r="O6" i="110"/>
  <c r="O11" i="110" s="1"/>
  <c r="N7" i="109"/>
  <c r="N11" i="109" s="1"/>
  <c r="O7" i="109"/>
  <c r="O11" i="109" s="1"/>
  <c r="K11" i="109"/>
  <c r="O11" i="108"/>
  <c r="N11" i="107"/>
  <c r="N7" i="106"/>
  <c r="N11" i="106" s="1"/>
  <c r="O7" i="106"/>
  <c r="O11" i="106" s="1"/>
  <c r="O7" i="105"/>
  <c r="O11" i="105" s="1"/>
  <c r="K11" i="105"/>
  <c r="N7" i="105"/>
  <c r="N11" i="105" s="1"/>
  <c r="O11" i="104"/>
  <c r="N11" i="104"/>
  <c r="N7" i="103"/>
  <c r="N11" i="103" s="1"/>
  <c r="O7" i="103"/>
  <c r="O11" i="103" s="1"/>
  <c r="N7" i="102"/>
  <c r="N11" i="102" s="1"/>
  <c r="O7" i="102"/>
  <c r="O11" i="102" s="1"/>
  <c r="N7" i="101"/>
  <c r="N11" i="101" s="1"/>
  <c r="O7" i="101"/>
  <c r="O11" i="101" s="1"/>
  <c r="N9" i="100"/>
  <c r="N11" i="100" s="1"/>
  <c r="O9" i="100"/>
  <c r="O11" i="100" s="1"/>
  <c r="N7" i="98"/>
  <c r="N11" i="98" s="1"/>
  <c r="O7" i="98"/>
  <c r="O11" i="98" s="1"/>
  <c r="O7" i="97"/>
  <c r="O11" i="97" s="1"/>
  <c r="N7" i="97"/>
  <c r="N11" i="97" s="1"/>
  <c r="N7" i="96"/>
  <c r="N11" i="96" s="1"/>
  <c r="O7" i="96"/>
  <c r="O11" i="96" s="1"/>
  <c r="O11" i="95"/>
  <c r="N11" i="95"/>
  <c r="O7" i="94"/>
  <c r="O11" i="94" s="1"/>
  <c r="N7" i="94"/>
  <c r="N11" i="94" s="1"/>
  <c r="N7" i="93"/>
  <c r="N11" i="93" s="1"/>
  <c r="O7" i="93"/>
  <c r="O11" i="93" s="1"/>
  <c r="N9" i="92"/>
  <c r="N11" i="92" s="1"/>
  <c r="O9" i="92"/>
  <c r="O11" i="92" s="1"/>
  <c r="O7" i="91"/>
  <c r="O11" i="91" s="1"/>
  <c r="N7" i="91"/>
  <c r="N11" i="91" s="1"/>
  <c r="N7" i="90"/>
  <c r="N11" i="90" s="1"/>
  <c r="O7" i="90"/>
  <c r="O11" i="90" s="1"/>
  <c r="K11" i="90"/>
  <c r="O7" i="89"/>
  <c r="O11" i="89" s="1"/>
  <c r="N7" i="89"/>
  <c r="N11" i="89" s="1"/>
  <c r="O7" i="88"/>
  <c r="O11" i="88" s="1"/>
  <c r="N7" i="88"/>
  <c r="N11" i="88" s="1"/>
  <c r="N7" i="87"/>
  <c r="N11" i="87" s="1"/>
  <c r="O7" i="87"/>
  <c r="O11" i="87" s="1"/>
  <c r="O11" i="86"/>
  <c r="N11" i="86"/>
  <c r="O11" i="85"/>
  <c r="N11" i="85"/>
  <c r="N7" i="84"/>
  <c r="N11" i="84" s="1"/>
  <c r="O7" i="84"/>
  <c r="O11" i="84"/>
  <c r="N7" i="83"/>
  <c r="N11" i="83" s="1"/>
  <c r="O7" i="83"/>
  <c r="O11" i="83" s="1"/>
  <c r="N11" i="82"/>
  <c r="N11" i="81"/>
  <c r="N9" i="80"/>
  <c r="N11" i="80" s="1"/>
  <c r="O9" i="80"/>
  <c r="O11" i="80" s="1"/>
  <c r="N11" i="79"/>
  <c r="O11" i="79"/>
  <c r="N11" i="78"/>
  <c r="O11" i="78"/>
  <c r="N7" i="77"/>
  <c r="N11" i="77" s="1"/>
  <c r="O7" i="77"/>
  <c r="O11" i="77" s="1"/>
  <c r="N11" i="76"/>
  <c r="O11" i="76"/>
  <c r="O7" i="75"/>
  <c r="O11" i="75" s="1"/>
  <c r="N7" i="75"/>
  <c r="N11" i="75" s="1"/>
  <c r="O11" i="74"/>
  <c r="N11" i="74"/>
  <c r="N7" i="73"/>
  <c r="N11" i="73" s="1"/>
  <c r="O7" i="73"/>
  <c r="O11" i="73" s="1"/>
  <c r="O7" i="72"/>
  <c r="O11" i="72" s="1"/>
  <c r="N7" i="72"/>
  <c r="N11" i="72" s="1"/>
  <c r="O7" i="71"/>
  <c r="O11" i="71" s="1"/>
  <c r="N7" i="71"/>
  <c r="N11" i="71" s="1"/>
  <c r="N6" i="70"/>
  <c r="N11" i="70" s="1"/>
  <c r="O6" i="70"/>
  <c r="O11" i="70" s="1"/>
  <c r="N6" i="69"/>
  <c r="N11" i="69" s="1"/>
  <c r="O6" i="69"/>
  <c r="O11" i="69" s="1"/>
  <c r="O6" i="68"/>
  <c r="O11" i="68" s="1"/>
  <c r="N6" i="68"/>
  <c r="N11" i="68" s="1"/>
  <c r="N7" i="67"/>
  <c r="N11" i="67" s="1"/>
  <c r="O7" i="67"/>
  <c r="O11" i="67" s="1"/>
  <c r="O11" i="66"/>
  <c r="N11" i="66"/>
  <c r="N6" i="65"/>
  <c r="N11" i="65" s="1"/>
  <c r="O6" i="65"/>
  <c r="O11" i="65" s="1"/>
  <c r="N7" i="64"/>
  <c r="N11" i="64" s="1"/>
  <c r="O7" i="64"/>
  <c r="O11" i="64" s="1"/>
  <c r="N11" i="63"/>
  <c r="O11" i="63"/>
  <c r="O6" i="62"/>
  <c r="O11" i="62" s="1"/>
  <c r="N6" i="62"/>
  <c r="N11" i="62" s="1"/>
  <c r="N6" i="60"/>
  <c r="N11" i="60" s="1"/>
  <c r="O6" i="60"/>
  <c r="O11" i="60" s="1"/>
  <c r="N11" i="58"/>
  <c r="N6" i="59"/>
  <c r="N11" i="59" s="1"/>
  <c r="O6" i="59"/>
  <c r="O11" i="59" s="1"/>
  <c r="O11" i="58"/>
  <c r="O11" i="57"/>
  <c r="N11" i="57"/>
  <c r="N6" i="56"/>
  <c r="N11" i="56" s="1"/>
  <c r="O6" i="56"/>
  <c r="O11" i="56" s="1"/>
  <c r="N6" i="55"/>
  <c r="N11" i="55" s="1"/>
  <c r="O6" i="55"/>
  <c r="O11" i="55" s="1"/>
  <c r="N6" i="54"/>
  <c r="N11" i="54" s="1"/>
  <c r="O6" i="54"/>
  <c r="O11" i="54" s="1"/>
  <c r="N6" i="53"/>
  <c r="N11" i="53" s="1"/>
  <c r="O6" i="53"/>
  <c r="O11" i="53" s="1"/>
  <c r="N7" i="52"/>
  <c r="N11" i="52" s="1"/>
  <c r="O7" i="52"/>
  <c r="O11" i="52" s="1"/>
  <c r="N7" i="51"/>
  <c r="N11" i="51" s="1"/>
  <c r="O7" i="51"/>
  <c r="O11" i="51" s="1"/>
  <c r="N6" i="50"/>
  <c r="N11" i="50" s="1"/>
  <c r="O6" i="50"/>
  <c r="O11" i="50" s="1"/>
  <c r="N7" i="49"/>
  <c r="N11" i="49" s="1"/>
  <c r="O7" i="49"/>
  <c r="O11" i="49" s="1"/>
  <c r="N7" i="46"/>
  <c r="N11" i="46" s="1"/>
  <c r="O7" i="46"/>
  <c r="O11" i="46" s="1"/>
  <c r="K11" i="45"/>
  <c r="O7" i="45"/>
  <c r="O11" i="45" s="1"/>
  <c r="N7" i="45"/>
  <c r="N11" i="45" s="1"/>
  <c r="N7" i="44"/>
  <c r="N11" i="44" s="1"/>
  <c r="O7" i="44"/>
  <c r="O11" i="44" s="1"/>
  <c r="N7" i="43"/>
  <c r="N11" i="43" s="1"/>
  <c r="O7" i="43"/>
  <c r="O11" i="43" s="1"/>
  <c r="N7" i="42"/>
  <c r="N11" i="42" s="1"/>
  <c r="O7" i="42"/>
  <c r="O11" i="42" s="1"/>
  <c r="N7" i="41"/>
  <c r="N11" i="41" s="1"/>
  <c r="O7" i="41"/>
  <c r="O11" i="41" s="1"/>
  <c r="N7" i="40"/>
  <c r="N11" i="40" s="1"/>
  <c r="O7" i="40"/>
  <c r="O11" i="40" s="1"/>
  <c r="N7" i="39"/>
  <c r="N11" i="39" s="1"/>
  <c r="O7" i="39"/>
  <c r="O11" i="39" s="1"/>
  <c r="O9" i="38"/>
  <c r="O11" i="38" s="1"/>
  <c r="N9" i="38"/>
  <c r="N11" i="38" s="1"/>
  <c r="N7" i="36"/>
  <c r="N11" i="36" s="1"/>
  <c r="O7" i="36"/>
  <c r="O11" i="36" s="1"/>
  <c r="N7" i="35"/>
  <c r="N11" i="35" s="1"/>
  <c r="O7" i="35"/>
  <c r="O11" i="35" s="1"/>
  <c r="N11" i="34"/>
  <c r="O11" i="34"/>
  <c r="N7" i="33"/>
  <c r="N11" i="33" s="1"/>
  <c r="O7" i="33"/>
  <c r="O11" i="33" s="1"/>
  <c r="O7" i="32"/>
  <c r="O11" i="32" s="1"/>
  <c r="N7" i="32"/>
  <c r="N11" i="32" s="1"/>
  <c r="K11" i="31"/>
  <c r="O11" i="31"/>
  <c r="N9" i="30"/>
  <c r="N11" i="30" s="1"/>
  <c r="O9" i="30"/>
  <c r="O11" i="30" s="1"/>
  <c r="N6" i="29"/>
  <c r="N11" i="29" s="1"/>
  <c r="O6" i="29"/>
  <c r="O11" i="29" s="1"/>
  <c r="N6" i="28"/>
  <c r="N11" i="28" s="1"/>
  <c r="O6" i="28"/>
  <c r="O11" i="28" s="1"/>
  <c r="O11" i="26"/>
  <c r="N11" i="26"/>
  <c r="N7" i="25"/>
  <c r="N11" i="25" s="1"/>
  <c r="O7" i="25"/>
  <c r="O11" i="25" s="1"/>
  <c r="N6" i="23"/>
  <c r="N11" i="23" s="1"/>
  <c r="O6" i="23"/>
  <c r="O11" i="23" s="1"/>
  <c r="O6" i="22"/>
  <c r="O11" i="22" s="1"/>
  <c r="N6" i="22"/>
  <c r="N11" i="22" s="1"/>
  <c r="N6" i="21"/>
  <c r="N11" i="21" s="1"/>
  <c r="O6" i="21"/>
  <c r="O11" i="21" s="1"/>
  <c r="O11" i="20"/>
  <c r="N6" i="20"/>
  <c r="N11" i="20" s="1"/>
  <c r="K11" i="20"/>
  <c r="O11" i="19"/>
  <c r="N11" i="19"/>
  <c r="N11" i="18"/>
  <c r="O11" i="18"/>
  <c r="O11" i="17"/>
  <c r="O7" i="16"/>
  <c r="O11" i="16" s="1"/>
  <c r="N7" i="16"/>
  <c r="N11" i="16" s="1"/>
  <c r="K11" i="16"/>
  <c r="N6" i="15"/>
  <c r="N11" i="15" s="1"/>
  <c r="O6" i="15"/>
  <c r="O11" i="15" s="1"/>
  <c r="N6" i="14"/>
  <c r="N11" i="14" s="1"/>
  <c r="O6" i="14"/>
  <c r="O11" i="14" s="1"/>
  <c r="K11" i="14"/>
  <c r="N6" i="13"/>
  <c r="N11" i="13" s="1"/>
  <c r="O6" i="13"/>
  <c r="O11" i="13" s="1"/>
  <c r="N6" i="12"/>
  <c r="N11" i="12" s="1"/>
  <c r="O6" i="12"/>
  <c r="O11" i="12" s="1"/>
  <c r="N6" i="11"/>
  <c r="O6" i="11"/>
  <c r="K11" i="11"/>
  <c r="N11" i="11"/>
  <c r="O11" i="11"/>
  <c r="O6" i="10"/>
  <c r="O11" i="10" s="1"/>
  <c r="N6" i="10"/>
  <c r="N11" i="10" s="1"/>
  <c r="N6" i="9"/>
  <c r="N11" i="9" s="1"/>
  <c r="O6" i="9"/>
  <c r="O11" i="9" s="1"/>
  <c r="K11" i="8"/>
  <c r="N11" i="8"/>
  <c r="O11" i="8"/>
  <c r="N6" i="7"/>
  <c r="N11" i="7" s="1"/>
  <c r="O6" i="7"/>
  <c r="O11" i="7" s="1"/>
  <c r="N6" i="5"/>
  <c r="N11" i="5" s="1"/>
  <c r="O6" i="5"/>
  <c r="O11" i="5" s="1"/>
  <c r="N11" i="4"/>
  <c r="O6" i="4"/>
  <c r="O11" i="4" s="1"/>
  <c r="O6" i="3"/>
  <c r="O10" i="3" s="1"/>
  <c r="N6" i="3"/>
  <c r="N10" i="3" s="1"/>
  <c r="N6" i="2"/>
  <c r="N10" i="2" s="1"/>
  <c r="O6" i="2"/>
  <c r="O10" i="2" s="1"/>
  <c r="C11" i="37"/>
  <c r="K7" i="37"/>
  <c r="K11" i="37" l="1"/>
  <c r="N7" i="37"/>
  <c r="N11" i="37" s="1"/>
  <c r="O7" i="37"/>
  <c r="O11" i="37" s="1"/>
</calcChain>
</file>

<file path=xl/sharedStrings.xml><?xml version="1.0" encoding="utf-8"?>
<sst xmlns="http://schemas.openxmlformats.org/spreadsheetml/2006/main" count="5810" uniqueCount="162">
  <si>
    <t xml:space="preserve">               </t>
  </si>
  <si>
    <t>NOIR CINEMA DCS BOX &amp; CONCESSION</t>
  </si>
  <si>
    <t>User</t>
  </si>
  <si>
    <t>Cash</t>
  </si>
  <si>
    <t>Credit Card</t>
  </si>
  <si>
    <t>Online</t>
  </si>
  <si>
    <t xml:space="preserve">pre-paid </t>
  </si>
  <si>
    <t>Influncer Voucher</t>
  </si>
  <si>
    <t xml:space="preserve">comp </t>
  </si>
  <si>
    <t>buy one
 get one Free offer</t>
  </si>
  <si>
    <t>Hunger Station</t>
  </si>
  <si>
    <t>Bogo Offer</t>
  </si>
  <si>
    <t>Total</t>
  </si>
  <si>
    <t>As per Report Revenue</t>
  </si>
  <si>
    <t>Excess</t>
  </si>
  <si>
    <t>Shortage</t>
  </si>
  <si>
    <t>UNPUNCH</t>
  </si>
  <si>
    <t>KIOSK (Online)</t>
  </si>
  <si>
    <t>Olyan Alraqas</t>
  </si>
  <si>
    <t>Ohoud Saeed Almutairi</t>
  </si>
  <si>
    <t>X</t>
  </si>
  <si>
    <t>Coins</t>
  </si>
  <si>
    <t>Final Deposit Amount</t>
  </si>
  <si>
    <t xml:space="preserve">Cash Balance </t>
  </si>
  <si>
    <t>Rakan Almutiri</t>
  </si>
  <si>
    <t>Mohamed Alotaibi</t>
  </si>
  <si>
    <t>Rayan Almozini</t>
  </si>
  <si>
    <t>Abdullah Aldubyb</t>
  </si>
  <si>
    <t>Mohamed Fahad</t>
  </si>
  <si>
    <t xml:space="preserve">deposit </t>
  </si>
  <si>
    <t>27/06/2025-3/7/2025</t>
  </si>
  <si>
    <t>Nawaf Hamdi Alharbi</t>
  </si>
  <si>
    <t>05/07/2025-12/7/2025</t>
  </si>
  <si>
    <t>13/7/2025</t>
  </si>
  <si>
    <t>14/7/2025</t>
  </si>
  <si>
    <t>15/7/2025</t>
  </si>
  <si>
    <t>16/7/2025</t>
  </si>
  <si>
    <t>17/7/2025</t>
  </si>
  <si>
    <t>18/7/2025</t>
  </si>
  <si>
    <t>Mohamed Alotaib</t>
  </si>
  <si>
    <t>19/7/2025</t>
  </si>
  <si>
    <t>20/7/2025</t>
  </si>
  <si>
    <t xml:space="preserve">  </t>
  </si>
  <si>
    <t>21/7/2025</t>
  </si>
  <si>
    <t>22/7/2025</t>
  </si>
  <si>
    <t>other</t>
  </si>
  <si>
    <t>23/7/2025</t>
  </si>
  <si>
    <t>24/7/2025</t>
  </si>
  <si>
    <t>25/7/2025</t>
  </si>
  <si>
    <t>26/7/2025</t>
  </si>
  <si>
    <t>26/7/2025-20/7/2025</t>
  </si>
  <si>
    <t>27/7/2025</t>
  </si>
  <si>
    <t>28/7/2025</t>
  </si>
  <si>
    <t>29/7/2025</t>
  </si>
  <si>
    <t>30/7/2025</t>
  </si>
  <si>
    <t>31/7/2025</t>
  </si>
  <si>
    <t>26/7/2025-2/8/2025</t>
  </si>
  <si>
    <t>2/8/2025-9/8/2025</t>
  </si>
  <si>
    <t xml:space="preserve"> </t>
  </si>
  <si>
    <t>13/8/2025</t>
  </si>
  <si>
    <t>Mohamed Fahad alrouqayi</t>
  </si>
  <si>
    <t>14/8/2025</t>
  </si>
  <si>
    <t>15/8/2025</t>
  </si>
  <si>
    <t>16/8/2025</t>
  </si>
  <si>
    <t>10/8/2025 -16/8/2025</t>
  </si>
  <si>
    <t>17/8/2025</t>
  </si>
  <si>
    <t>18/8/2025</t>
  </si>
  <si>
    <t>19/8/2025</t>
  </si>
  <si>
    <t>20/8/2025</t>
  </si>
  <si>
    <t>21/8/2025</t>
  </si>
  <si>
    <t>22/8/2025</t>
  </si>
  <si>
    <t xml:space="preserve">      </t>
  </si>
  <si>
    <t>16/08/2025-23/8/2025</t>
  </si>
  <si>
    <t>23/8/2025</t>
  </si>
  <si>
    <t>24/8/2025</t>
  </si>
  <si>
    <t>25/8/2025</t>
  </si>
  <si>
    <t>26/8/2025</t>
  </si>
  <si>
    <t>27/8/2025</t>
  </si>
  <si>
    <t>28/8/2025</t>
  </si>
  <si>
    <t>29/8/2025</t>
  </si>
  <si>
    <t>30/8/2025</t>
  </si>
  <si>
    <t>24/08/2025-30/08/2025</t>
  </si>
  <si>
    <t>31/8/2025</t>
  </si>
  <si>
    <t xml:space="preserve">Mohamed Fahad Alrouqayi </t>
  </si>
  <si>
    <t>Mohamed Fahad Alrouqyi</t>
  </si>
  <si>
    <t>31/08/2025-06/09/2025</t>
  </si>
  <si>
    <t>comp</t>
  </si>
  <si>
    <t>13/9/2025</t>
  </si>
  <si>
    <t>7/09/2025 - 13/09/2025</t>
  </si>
  <si>
    <t>14/9/2025</t>
  </si>
  <si>
    <t>15/9/2025</t>
  </si>
  <si>
    <t>16/9/2025</t>
  </si>
  <si>
    <t>17/9/2025</t>
  </si>
  <si>
    <t>18/9/2025</t>
  </si>
  <si>
    <t>19/9/2025</t>
  </si>
  <si>
    <t>20/9/2025</t>
  </si>
  <si>
    <t>14/09/2025 - 20/09/2025</t>
  </si>
  <si>
    <t>21/9/2025</t>
  </si>
  <si>
    <t>22/9/2025</t>
  </si>
  <si>
    <t>23/9/2025</t>
  </si>
  <si>
    <t>24/9/2025</t>
  </si>
  <si>
    <t>25/9/2025</t>
  </si>
  <si>
    <t>26/9/2025</t>
  </si>
  <si>
    <t>27/9/2025</t>
  </si>
  <si>
    <t>21/09/2025 - 27/09/2025</t>
  </si>
  <si>
    <t>28/9/2025</t>
  </si>
  <si>
    <t>29/9/2025</t>
  </si>
  <si>
    <t>30/9/2025</t>
  </si>
  <si>
    <t xml:space="preserve"> 28/09/2025 -04/10/2025</t>
  </si>
  <si>
    <t>05/10/2025-09/10/2025</t>
  </si>
  <si>
    <t>5/10/2025-11/10/2025</t>
  </si>
  <si>
    <t>13/10/2025</t>
  </si>
  <si>
    <t>14/10/2025</t>
  </si>
  <si>
    <t>Ohoud Saeed Almutair</t>
  </si>
  <si>
    <t>15/10/2025</t>
  </si>
  <si>
    <t>16/10/2025</t>
  </si>
  <si>
    <t>17/10/2025</t>
  </si>
  <si>
    <t>18/10/2025</t>
  </si>
  <si>
    <t>Ohoud Saeed Almutairi(</t>
  </si>
  <si>
    <t>11/10/2025-18/10/2025</t>
  </si>
  <si>
    <t>19/10/2025</t>
  </si>
  <si>
    <t>20/10/2025</t>
  </si>
  <si>
    <t>21/10/2025</t>
  </si>
  <si>
    <t>21/10/2025- 19/10/2025</t>
  </si>
  <si>
    <t>22/10/2025</t>
  </si>
  <si>
    <t>23/10/2025</t>
  </si>
  <si>
    <t>24/10/2025</t>
  </si>
  <si>
    <t>21/10/2025-24/10/2025</t>
  </si>
  <si>
    <t>25/10/2025</t>
  </si>
  <si>
    <t>19/10/2025-25/10/2025</t>
  </si>
  <si>
    <t>26/10/2025</t>
  </si>
  <si>
    <t>27/10/2025</t>
  </si>
  <si>
    <t>28/10/2025</t>
  </si>
  <si>
    <t>27/10.2025-28/10/2025</t>
  </si>
  <si>
    <t>29/10/2025</t>
  </si>
  <si>
    <t>30/10/2025</t>
  </si>
  <si>
    <t>31/10/2025</t>
  </si>
  <si>
    <t>26/10/2025-01/11/2025</t>
  </si>
  <si>
    <t>2/11/2025-8/11/2025</t>
  </si>
  <si>
    <t xml:space="preserve"> Voucher</t>
  </si>
  <si>
    <t>Mohamed Fahad Alrouqy</t>
  </si>
  <si>
    <t>13/11/2025</t>
  </si>
  <si>
    <t>14/11/2025</t>
  </si>
  <si>
    <t>15/11/2025</t>
  </si>
  <si>
    <t>8/11/2025-15/11/2025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</si>
  <si>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</si>
  <si>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</si>
  <si>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</si>
  <si>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</si>
  <si>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</si>
  <si>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</si>
  <si>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</si>
  <si>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</si>
  <si>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</si>
  <si>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</si>
  <si>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23/11/2025-25/11/2025</t>
  </si>
  <si>
    <t>26/11/2025</t>
  </si>
  <si>
    <t>27/11/2025</t>
  </si>
  <si>
    <t>28/11/2025</t>
  </si>
  <si>
    <t>others</t>
  </si>
  <si>
    <t>29/11/2025</t>
  </si>
  <si>
    <t>30/11/2025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</si>
</sst>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\-d\-yyyy"/>
    <numFmt numFmtId="165" formatCode="d\-mmm\-yy;@"/>
    <numFmt numFmtId="166" formatCode="0.000"/>
    <numFmt numFmtId="167" formatCode="d/mmm/yy;@"/>
    <numFmt numFmtId="168" formatCode="#,##0.000&quot; &quot;;&quot; (&quot;#,##0.000&quot;)&quot;;&quot; -&quot;#.0&quot; &quot;;@&quot; &quot;"/>
  </numFmts>
  <fonts count="7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2"/>
      <color rgb="FF000000"/>
      <name val="Arial Narrow"/>
      <family val="2"/>
    </font>
    <font>
      <sz val="11"/>
      <color rgb="FF000000"/>
      <name val="Calibri2"/>
    </font>
    <font>
      <sz val="11"/>
      <color rgb="FFFF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48A54"/>
        <bgColor rgb="FF948A54"/>
      </patternFill>
    </fill>
    <fill>
      <patternFill patternType="solid">
        <fgColor rgb="FF83CCEB"/>
        <bgColor rgb="FF83CCEB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CD5B5"/>
      </patternFill>
    </fill>
    <fill>
      <patternFill patternType="solid">
        <fgColor rgb="FF00B050"/>
        <bgColor rgb="FF00B050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" fillId="0" borderId="0" applyNumberFormat="0" applyBorder="0" applyProtection="0"/>
    <xf numFmtId="167" fontId="5" fillId="0" borderId="0" applyBorder="0" applyProtection="0"/>
  </cellStyleXfs>
  <cellXfs count="57">
    <xf numFmtId="0" fontId="0" fillId="0" borderId="0" xfId="0"/>
    <xf numFmtId="14" fontId="2" fillId="0" borderId="0" xfId="1" applyNumberFormat="1" applyFont="1" applyAlignment="1">
      <alignment horizontal="center"/>
    </xf>
    <xf numFmtId="164" fontId="3" fillId="2" borderId="0" xfId="1" applyNumberFormat="1" applyFont="1" applyFill="1"/>
    <xf numFmtId="0" fontId="0" fillId="0" borderId="0" xfId="0" applyAlignment="1">
      <alignment horizontal="center"/>
    </xf>
    <xf numFmtId="0" fontId="3" fillId="0" borderId="0" xfId="1" applyFont="1"/>
    <xf numFmtId="166" fontId="2" fillId="4" borderId="2" xfId="1" applyNumberFormat="1" applyFont="1" applyFill="1" applyBorder="1" applyAlignment="1">
      <alignment horizontal="center" vertical="center" wrapText="1"/>
    </xf>
    <xf numFmtId="166" fontId="2" fillId="4" borderId="3" xfId="1" applyNumberFormat="1" applyFont="1" applyFill="1" applyBorder="1" applyAlignment="1">
      <alignment horizontal="center" vertical="center" wrapText="1"/>
    </xf>
    <xf numFmtId="166" fontId="4" fillId="4" borderId="3" xfId="1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wrapText="1"/>
    </xf>
    <xf numFmtId="166" fontId="2" fillId="5" borderId="3" xfId="1" applyNumberFormat="1" applyFont="1" applyFill="1" applyBorder="1" applyAlignment="1">
      <alignment horizontal="center" vertical="center" wrapText="1"/>
    </xf>
    <xf numFmtId="166" fontId="3" fillId="0" borderId="4" xfId="0" applyNumberFormat="1" applyFont="1" applyBorder="1" applyAlignment="1">
      <alignment vertical="center"/>
    </xf>
    <xf numFmtId="166" fontId="6" fillId="2" borderId="5" xfId="2" applyNumberFormat="1" applyFont="1" applyFill="1" applyBorder="1"/>
    <xf numFmtId="166" fontId="6" fillId="2" borderId="3" xfId="2" applyNumberFormat="1" applyFont="1" applyFill="1" applyBorder="1"/>
    <xf numFmtId="166" fontId="3" fillId="0" borderId="3" xfId="2" applyNumberFormat="1" applyFont="1" applyBorder="1" applyAlignment="1">
      <alignment horizontal="right"/>
    </xf>
    <xf numFmtId="166" fontId="2" fillId="0" borderId="3" xfId="2" applyNumberFormat="1" applyFont="1" applyBorder="1"/>
    <xf numFmtId="166" fontId="6" fillId="2" borderId="6" xfId="2" applyNumberFormat="1" applyFont="1" applyFill="1" applyBorder="1"/>
    <xf numFmtId="0" fontId="0" fillId="0" borderId="4" xfId="0" applyBorder="1"/>
    <xf numFmtId="166" fontId="6" fillId="2" borderId="4" xfId="2" applyNumberFormat="1" applyFont="1" applyFill="1" applyBorder="1"/>
    <xf numFmtId="166" fontId="2" fillId="6" borderId="7" xfId="1" applyNumberFormat="1" applyFont="1" applyFill="1" applyBorder="1"/>
    <xf numFmtId="166" fontId="2" fillId="6" borderId="7" xfId="2" applyNumberFormat="1" applyFont="1" applyFill="1" applyBorder="1"/>
    <xf numFmtId="166" fontId="2" fillId="6" borderId="3" xfId="2" applyNumberFormat="1" applyFont="1" applyFill="1" applyBorder="1"/>
    <xf numFmtId="166" fontId="2" fillId="5" borderId="3" xfId="2" applyNumberFormat="1" applyFont="1" applyFill="1" applyBorder="1" applyAlignment="1">
      <alignment horizontal="center" vertical="center"/>
    </xf>
    <xf numFmtId="0" fontId="3" fillId="0" borderId="1" xfId="1" applyFont="1" applyBorder="1"/>
    <xf numFmtId="0" fontId="3" fillId="0" borderId="9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168" fontId="3" fillId="0" borderId="10" xfId="2" applyNumberFormat="1" applyFont="1" applyBorder="1"/>
    <xf numFmtId="0" fontId="3" fillId="0" borderId="11" xfId="1" applyFont="1" applyBorder="1"/>
    <xf numFmtId="0" fontId="3" fillId="0" borderId="11" xfId="1" applyFont="1" applyBorder="1" applyAlignment="1">
      <alignment horizontal="right"/>
    </xf>
    <xf numFmtId="0" fontId="3" fillId="0" borderId="3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1" fontId="3" fillId="0" borderId="7" xfId="1" applyNumberFormat="1" applyFont="1" applyBorder="1" applyAlignment="1">
      <alignment horizontal="left" indent="3"/>
    </xf>
    <xf numFmtId="168" fontId="2" fillId="5" borderId="13" xfId="1" applyNumberFormat="1" applyFont="1" applyFill="1" applyBorder="1"/>
    <xf numFmtId="2" fontId="0" fillId="7" borderId="0" xfId="0" applyNumberFormat="1" applyFill="1"/>
    <xf numFmtId="0" fontId="0" fillId="8" borderId="0" xfId="0" applyFill="1"/>
    <xf numFmtId="166" fontId="4" fillId="4" borderId="2" xfId="1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wrapText="1"/>
    </xf>
    <xf numFmtId="166" fontId="2" fillId="5" borderId="2" xfId="1" applyNumberFormat="1" applyFont="1" applyFill="1" applyBorder="1" applyAlignment="1">
      <alignment horizontal="center" vertical="center" wrapText="1"/>
    </xf>
    <xf numFmtId="166" fontId="3" fillId="0" borderId="4" xfId="2" applyNumberFormat="1" applyFont="1" applyBorder="1" applyAlignment="1">
      <alignment horizontal="right"/>
    </xf>
    <xf numFmtId="166" fontId="2" fillId="5" borderId="4" xfId="1" applyNumberFormat="1" applyFont="1" applyFill="1" applyBorder="1" applyAlignment="1">
      <alignment horizontal="center" vertical="center" wrapText="1"/>
    </xf>
    <xf numFmtId="166" fontId="2" fillId="0" borderId="4" xfId="2" applyNumberFormat="1" applyFont="1" applyBorder="1"/>
    <xf numFmtId="166" fontId="2" fillId="6" borderId="4" xfId="1" applyNumberFormat="1" applyFont="1" applyFill="1" applyBorder="1"/>
    <xf numFmtId="166" fontId="2" fillId="6" borderId="4" xfId="2" applyNumberFormat="1" applyFont="1" applyFill="1" applyBorder="1"/>
    <xf numFmtId="166" fontId="2" fillId="5" borderId="4" xfId="2" applyNumberFormat="1" applyFont="1" applyFill="1" applyBorder="1" applyAlignment="1">
      <alignment horizontal="center" vertical="center"/>
    </xf>
    <xf numFmtId="166" fontId="6" fillId="2" borderId="17" xfId="2" applyNumberFormat="1" applyFont="1" applyFill="1" applyBorder="1"/>
    <xf numFmtId="165" fontId="2" fillId="3" borderId="1" xfId="1" applyNumberFormat="1" applyFont="1" applyFill="1" applyBorder="1" applyAlignment="1">
      <alignment horizontal="center"/>
    </xf>
    <xf numFmtId="14" fontId="2" fillId="0" borderId="8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2" fontId="6" fillId="2" borderId="4" xfId="2" applyNumberFormat="1" applyFont="1" applyFill="1" applyBorder="1"/>
    <xf numFmtId="14" fontId="2" fillId="0" borderId="14" xfId="1" applyNumberFormat="1" applyFont="1" applyBorder="1" applyAlignment="1">
      <alignment horizontal="center" vertical="center"/>
    </xf>
    <xf numFmtId="14" fontId="2" fillId="0" borderId="15" xfId="1" applyNumberFormat="1" applyFont="1" applyBorder="1" applyAlignment="1">
      <alignment horizontal="center" vertical="center"/>
    </xf>
    <xf numFmtId="14" fontId="2" fillId="0" borderId="16" xfId="1" applyNumberFormat="1" applyFont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/>
    </xf>
    <xf numFmtId="14" fontId="2" fillId="0" borderId="8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14" fontId="2" fillId="0" borderId="18" xfId="1" applyNumberFormat="1" applyFont="1" applyBorder="1" applyAlignment="1">
      <alignment horizontal="center" vertical="center"/>
    </xf>
    <xf numFmtId="14" fontId="2" fillId="0" borderId="19" xfId="1" applyNumberFormat="1" applyFont="1" applyBorder="1" applyAlignment="1">
      <alignment horizontal="center" vertical="center"/>
    </xf>
  </cellXfs>
  <cellStyles count="3">
    <cellStyle name="Excel Built-in Normal" xfId="1" xr:uid="{DEBC0374-F65D-47CA-A9CA-9608D986D0EE}"/>
    <cellStyle name="Excel_BuiltIn_Comma" xfId="2" xr:uid="{62DC4D6F-31A8-48BA-A904-BCA33244470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customXml" Target="../customXml/item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customXml" Target="../customXml/item2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50A1-9B0F-4E05-ABD1-7C07C878EEAE}">
  <dimension ref="A1:O23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45664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9" si="0">IF(K4&gt;M4,K4-M4,0)</f>
        <v>0</v>
      </c>
      <c r="O4" s="14">
        <f t="shared" ref="O4:O9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0</v>
      </c>
      <c r="L5" s="9"/>
      <c r="M5" s="12">
        <v>0</v>
      </c>
      <c r="N5" s="14">
        <f t="shared" si="0"/>
        <v>0</v>
      </c>
      <c r="O5" s="14">
        <f t="shared" si="1"/>
        <v>0</v>
      </c>
    </row>
    <row r="6" spans="1:15" ht="16.5">
      <c r="A6" t="s">
        <v>19</v>
      </c>
      <c r="B6" s="17">
        <v>26</v>
      </c>
      <c r="C6" s="11">
        <f>57+67+263+62+26+168+64+62</f>
        <v>769</v>
      </c>
      <c r="D6" s="12">
        <v>0</v>
      </c>
      <c r="E6" s="12">
        <v>0</v>
      </c>
      <c r="F6" s="12">
        <v>0</v>
      </c>
      <c r="G6" s="12">
        <v>0</v>
      </c>
      <c r="H6" s="12">
        <v>64</v>
      </c>
      <c r="I6" s="12">
        <v>0</v>
      </c>
      <c r="J6" s="12">
        <v>0</v>
      </c>
      <c r="K6" s="13">
        <f>SUM(B6:J6)</f>
        <v>859</v>
      </c>
      <c r="L6" s="9"/>
      <c r="M6" s="12">
        <v>859</v>
      </c>
      <c r="N6" s="14">
        <f t="shared" si="0"/>
        <v>0</v>
      </c>
      <c r="O6" s="14">
        <f t="shared" si="1"/>
        <v>0</v>
      </c>
    </row>
    <row r="7" spans="1:15" ht="16.5">
      <c r="A7" t="s">
        <v>24</v>
      </c>
      <c r="B7" s="17">
        <v>301</v>
      </c>
      <c r="C7" s="11">
        <f>32+32+20+20+20+24+4+39+15+26+127+67+7+35+67+46+160+32+27+27+32+32+12+32</f>
        <v>935</v>
      </c>
      <c r="D7" s="12">
        <v>0</v>
      </c>
      <c r="E7" s="12">
        <v>0</v>
      </c>
      <c r="F7" s="12">
        <v>0</v>
      </c>
      <c r="G7" s="12">
        <v>0</v>
      </c>
      <c r="H7" s="12">
        <v>288</v>
      </c>
      <c r="I7" s="12">
        <v>42</v>
      </c>
      <c r="J7" s="12">
        <v>0</v>
      </c>
      <c r="K7" s="13">
        <f>SUM(B7:J7)</f>
        <v>1566</v>
      </c>
      <c r="L7" s="9"/>
      <c r="M7" s="12">
        <v>1566</v>
      </c>
      <c r="N7" s="14">
        <f t="shared" si="0"/>
        <v>0</v>
      </c>
      <c r="O7" s="14">
        <f t="shared" si="1"/>
        <v>0</v>
      </c>
    </row>
    <row r="8" spans="1:15" ht="16.5" hidden="1">
      <c r="A8" s="16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s="16" t="s">
        <v>19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>
      <c r="A10" s="18"/>
      <c r="B10" s="19">
        <f t="shared" ref="B10:K10" si="2">SUM(B4:B9)</f>
        <v>327</v>
      </c>
      <c r="C10" s="20">
        <f t="shared" si="2"/>
        <v>1704</v>
      </c>
      <c r="D10" s="20">
        <f t="shared" si="2"/>
        <v>0</v>
      </c>
      <c r="E10" s="20">
        <f t="shared" si="2"/>
        <v>0</v>
      </c>
      <c r="F10" s="20">
        <f t="shared" si="2"/>
        <v>0</v>
      </c>
      <c r="G10" s="20">
        <f t="shared" si="2"/>
        <v>0</v>
      </c>
      <c r="H10" s="20">
        <f t="shared" si="2"/>
        <v>352</v>
      </c>
      <c r="I10" s="20">
        <f t="shared" si="2"/>
        <v>42</v>
      </c>
      <c r="J10" s="20">
        <f t="shared" si="2"/>
        <v>0</v>
      </c>
      <c r="K10" s="20">
        <f t="shared" si="2"/>
        <v>2425</v>
      </c>
      <c r="L10" s="21"/>
      <c r="M10" s="20">
        <v>0</v>
      </c>
      <c r="N10" s="20">
        <f>SUM(N4:N9)</f>
        <v>0</v>
      </c>
      <c r="O10" s="20">
        <f>SUM(O4:O9)</f>
        <v>0</v>
      </c>
    </row>
    <row r="11" spans="1:15" ht="15.75" thickBot="1"/>
    <row r="12" spans="1:15" ht="17.25" thickBot="1">
      <c r="A12" s="53">
        <v>45664</v>
      </c>
      <c r="B12" s="54"/>
      <c r="C12" s="54"/>
      <c r="D12" s="54"/>
    </row>
    <row r="13" spans="1:15" ht="16.5">
      <c r="A13" s="22">
        <v>500</v>
      </c>
      <c r="B13" s="23" t="s">
        <v>20</v>
      </c>
      <c r="C13" s="24">
        <v>0</v>
      </c>
      <c r="D13" s="25">
        <f t="shared" ref="D13:D18" si="3">A13*C13</f>
        <v>0</v>
      </c>
    </row>
    <row r="14" spans="1:15" ht="16.5">
      <c r="A14" s="26">
        <v>100</v>
      </c>
      <c r="B14" s="23" t="s">
        <v>20</v>
      </c>
      <c r="C14" s="24">
        <v>2</v>
      </c>
      <c r="D14" s="25">
        <f t="shared" si="3"/>
        <v>200</v>
      </c>
    </row>
    <row r="15" spans="1:15" ht="16.5">
      <c r="A15" s="26">
        <v>50</v>
      </c>
      <c r="B15" s="23" t="s">
        <v>20</v>
      </c>
      <c r="C15" s="24">
        <v>2</v>
      </c>
      <c r="D15" s="25">
        <f t="shared" si="3"/>
        <v>100</v>
      </c>
    </row>
    <row r="16" spans="1:15" ht="16.5">
      <c r="A16" s="26">
        <v>20</v>
      </c>
      <c r="B16" s="23" t="s">
        <v>20</v>
      </c>
      <c r="C16" s="24">
        <v>0</v>
      </c>
      <c r="D16" s="25">
        <f t="shared" si="3"/>
        <v>0</v>
      </c>
    </row>
    <row r="17" spans="1:4" ht="16.5">
      <c r="A17" s="26">
        <v>10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5</v>
      </c>
      <c r="B18" s="23" t="s">
        <v>20</v>
      </c>
      <c r="C18" s="24">
        <v>4</v>
      </c>
      <c r="D18" s="25">
        <f t="shared" si="3"/>
        <v>20</v>
      </c>
    </row>
    <row r="19" spans="1:4" ht="16.5">
      <c r="A19" s="27" t="s">
        <v>21</v>
      </c>
      <c r="B19" s="23" t="s">
        <v>20</v>
      </c>
      <c r="C19" s="24">
        <v>7</v>
      </c>
      <c r="D19" s="25">
        <f>+C19*1</f>
        <v>7</v>
      </c>
    </row>
    <row r="20" spans="1:4" ht="16.5">
      <c r="A20" s="27"/>
      <c r="B20" s="28"/>
      <c r="C20" s="24">
        <v>0</v>
      </c>
      <c r="D20" s="25">
        <f>+C20*0.025</f>
        <v>0</v>
      </c>
    </row>
    <row r="21" spans="1:4" ht="16.5">
      <c r="A21" s="29" t="s">
        <v>22</v>
      </c>
      <c r="B21" s="30"/>
      <c r="C21" s="31">
        <v>0</v>
      </c>
      <c r="D21" s="32">
        <f>SUM(D13:D20)</f>
        <v>327</v>
      </c>
    </row>
    <row r="23" spans="1:4">
      <c r="A23" t="s">
        <v>23</v>
      </c>
      <c r="D23" s="33">
        <f>1560+327</f>
        <v>1887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1F30-488F-42D0-9EF5-38D20339C3AA}">
  <dimension ref="A1:O23"/>
  <sheetViews>
    <sheetView workbookViewId="0">
      <selection activeCell="D23" sqref="D2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45695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9" si="0">IF(K4&gt;M4,K4-M4,0)</f>
        <v>0</v>
      </c>
      <c r="O4" s="14">
        <f t="shared" ref="O4:O9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316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316</v>
      </c>
      <c r="L5" s="9"/>
      <c r="M5" s="12">
        <v>316</v>
      </c>
      <c r="N5" s="14">
        <f t="shared" si="0"/>
        <v>0</v>
      </c>
      <c r="O5" s="14">
        <f t="shared" si="1"/>
        <v>0</v>
      </c>
    </row>
    <row r="6" spans="1:15" ht="16.5">
      <c r="A6" t="s">
        <v>25</v>
      </c>
      <c r="B6" s="17">
        <v>32</v>
      </c>
      <c r="C6" s="11">
        <f>40+156+53+20+283+32</f>
        <v>584</v>
      </c>
      <c r="D6" s="12">
        <v>0</v>
      </c>
      <c r="E6" s="12">
        <v>0</v>
      </c>
      <c r="F6" s="12">
        <v>0</v>
      </c>
      <c r="G6" s="12">
        <v>0</v>
      </c>
      <c r="H6" s="12">
        <v>64</v>
      </c>
      <c r="I6" s="12">
        <v>0</v>
      </c>
      <c r="J6" s="12">
        <v>0</v>
      </c>
      <c r="K6" s="13">
        <f>SUM(B6:J6)</f>
        <v>680</v>
      </c>
      <c r="L6" s="9"/>
      <c r="M6" s="12">
        <v>680</v>
      </c>
      <c r="N6" s="14">
        <f t="shared" si="0"/>
        <v>0</v>
      </c>
      <c r="O6" s="14">
        <f t="shared" si="1"/>
        <v>0</v>
      </c>
    </row>
    <row r="7" spans="1:15" ht="16.5">
      <c r="A7" t="s">
        <v>26</v>
      </c>
      <c r="B7" s="17">
        <v>0</v>
      </c>
      <c r="C7" s="11">
        <f>64+26+52+50+52+49+32+20+122</f>
        <v>467</v>
      </c>
      <c r="D7" s="12">
        <v>0</v>
      </c>
      <c r="E7" s="12">
        <v>0</v>
      </c>
      <c r="F7" s="12">
        <v>0</v>
      </c>
      <c r="G7" s="12">
        <v>0</v>
      </c>
      <c r="H7" s="12">
        <v>192</v>
      </c>
      <c r="I7" s="12">
        <v>96</v>
      </c>
      <c r="J7" s="12">
        <v>0</v>
      </c>
      <c r="K7" s="13">
        <f>SUM(B7:J7)</f>
        <v>755</v>
      </c>
      <c r="L7" s="9"/>
      <c r="M7" s="12">
        <v>755</v>
      </c>
      <c r="N7" s="14">
        <f t="shared" si="0"/>
        <v>0</v>
      </c>
      <c r="O7" s="14">
        <f t="shared" si="1"/>
        <v>0</v>
      </c>
    </row>
    <row r="8" spans="1:15" ht="16.5" hidden="1">
      <c r="A8" s="16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>
      <c r="A9" t="s">
        <v>24</v>
      </c>
      <c r="B9" s="17">
        <v>101</v>
      </c>
      <c r="C9" s="11">
        <f>18+0.75+18.75+30+32+47+32+2+20+92+34+30+90+38+59+223+64+18.75+18.75+20+32+32+32+64+32+32+79+128+90+64+89+7+64+24+7+76+133+48+48+20+27+32+3+38+14</f>
        <v>2103</v>
      </c>
      <c r="D9" s="12">
        <v>340</v>
      </c>
      <c r="E9" s="12">
        <v>0</v>
      </c>
      <c r="F9" s="12">
        <v>0</v>
      </c>
      <c r="G9" s="12">
        <v>0</v>
      </c>
      <c r="H9" s="12">
        <v>0</v>
      </c>
      <c r="I9" s="12">
        <v>704</v>
      </c>
      <c r="J9" s="12">
        <v>0</v>
      </c>
      <c r="K9" s="13">
        <f>SUM(B9:J9)</f>
        <v>3248</v>
      </c>
      <c r="L9" s="9"/>
      <c r="M9" s="12">
        <v>3284</v>
      </c>
      <c r="N9" s="14">
        <f t="shared" si="0"/>
        <v>0</v>
      </c>
      <c r="O9" s="14">
        <f t="shared" si="1"/>
        <v>36</v>
      </c>
    </row>
    <row r="10" spans="1:15" ht="16.5">
      <c r="A10" s="18"/>
      <c r="B10" s="19">
        <f t="shared" ref="B10:K10" si="2">SUM(B4:B9)</f>
        <v>133</v>
      </c>
      <c r="C10" s="20">
        <f t="shared" si="2"/>
        <v>3154</v>
      </c>
      <c r="D10" s="20">
        <f t="shared" si="2"/>
        <v>656</v>
      </c>
      <c r="E10" s="20">
        <f t="shared" si="2"/>
        <v>0</v>
      </c>
      <c r="F10" s="20">
        <f t="shared" si="2"/>
        <v>0</v>
      </c>
      <c r="G10" s="20">
        <f t="shared" si="2"/>
        <v>0</v>
      </c>
      <c r="H10" s="20">
        <f t="shared" si="2"/>
        <v>256</v>
      </c>
      <c r="I10" s="20">
        <f t="shared" si="2"/>
        <v>800</v>
      </c>
      <c r="J10" s="20">
        <f t="shared" si="2"/>
        <v>0</v>
      </c>
      <c r="K10" s="20">
        <f t="shared" si="2"/>
        <v>4999</v>
      </c>
      <c r="L10" s="21"/>
      <c r="M10" s="20">
        <v>0</v>
      </c>
      <c r="N10" s="20">
        <f>SUM(N4:N9)</f>
        <v>0</v>
      </c>
      <c r="O10" s="20">
        <f>SUM(O4:O9)</f>
        <v>36</v>
      </c>
    </row>
    <row r="11" spans="1:15" ht="15.75" thickBot="1"/>
    <row r="12" spans="1:15" ht="17.25" thickBot="1">
      <c r="A12" s="53">
        <v>45695</v>
      </c>
      <c r="B12" s="54"/>
      <c r="C12" s="54"/>
      <c r="D12" s="54"/>
    </row>
    <row r="13" spans="1:15" ht="16.5">
      <c r="A13" s="22">
        <v>500</v>
      </c>
      <c r="B13" s="23" t="s">
        <v>20</v>
      </c>
      <c r="C13" s="24">
        <v>0</v>
      </c>
      <c r="D13" s="25">
        <f t="shared" ref="D13:D18" si="3">A13*C13</f>
        <v>0</v>
      </c>
    </row>
    <row r="14" spans="1:15" ht="16.5">
      <c r="A14" s="26">
        <v>100</v>
      </c>
      <c r="B14" s="23" t="s">
        <v>20</v>
      </c>
      <c r="C14" s="24">
        <v>1</v>
      </c>
      <c r="D14" s="25">
        <f t="shared" si="3"/>
        <v>100</v>
      </c>
    </row>
    <row r="15" spans="1:15" ht="16.5">
      <c r="A15" s="26">
        <v>50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20</v>
      </c>
      <c r="B16" s="23" t="s">
        <v>20</v>
      </c>
      <c r="C16" s="24">
        <v>0</v>
      </c>
      <c r="D16" s="25">
        <f t="shared" si="3"/>
        <v>0</v>
      </c>
    </row>
    <row r="17" spans="1:4" ht="16.5">
      <c r="A17" s="26">
        <v>10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5</v>
      </c>
      <c r="B18" s="23" t="s">
        <v>20</v>
      </c>
      <c r="C18" s="24">
        <v>6</v>
      </c>
      <c r="D18" s="25">
        <f t="shared" si="3"/>
        <v>30</v>
      </c>
    </row>
    <row r="19" spans="1:4" ht="16.5">
      <c r="A19" s="27" t="s">
        <v>21</v>
      </c>
      <c r="B19" s="23" t="s">
        <v>20</v>
      </c>
      <c r="C19" s="24">
        <v>3</v>
      </c>
      <c r="D19" s="25">
        <f>+C19*1</f>
        <v>3</v>
      </c>
    </row>
    <row r="20" spans="1:4" ht="16.5">
      <c r="A20" s="27"/>
      <c r="B20" s="28"/>
      <c r="C20" s="24">
        <v>0</v>
      </c>
      <c r="D20" s="25">
        <f>+C20*0.025</f>
        <v>0</v>
      </c>
    </row>
    <row r="21" spans="1:4" ht="16.5">
      <c r="A21" s="29" t="s">
        <v>22</v>
      </c>
      <c r="B21" s="30"/>
      <c r="C21" s="31">
        <v>0</v>
      </c>
      <c r="D21" s="32">
        <f>SUM(D13:D20)</f>
        <v>133</v>
      </c>
    </row>
    <row r="23" spans="1:4">
      <c r="A23" t="s">
        <v>23</v>
      </c>
      <c r="D23" s="33">
        <f>1887+133</f>
        <v>2020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B499-4F56-440C-A301-EAEB799AD1C5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45723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32</v>
      </c>
      <c r="N4" s="14">
        <f t="shared" ref="N4:N10" si="0">IF(K4&gt;M4,K4-M4,0)</f>
        <v>0</v>
      </c>
      <c r="O4" s="14">
        <f t="shared" ref="O4:O10" si="1">IF(M4&gt;K4,M4-K4,0)</f>
        <v>32</v>
      </c>
    </row>
    <row r="5" spans="1:15" ht="16.5">
      <c r="A5" s="10" t="s">
        <v>17</v>
      </c>
      <c r="B5" s="15">
        <v>0</v>
      </c>
      <c r="C5" s="12">
        <v>0</v>
      </c>
      <c r="D5" s="12">
        <v>1626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1626</v>
      </c>
      <c r="L5" s="9"/>
      <c r="M5" s="12">
        <v>1626</v>
      </c>
      <c r="N5" s="14">
        <f t="shared" si="0"/>
        <v>0</v>
      </c>
      <c r="O5" s="14">
        <f t="shared" si="1"/>
        <v>0</v>
      </c>
    </row>
    <row r="6" spans="1:15" ht="16.5">
      <c r="A6" t="s">
        <v>25</v>
      </c>
      <c r="B6" s="17">
        <v>407</v>
      </c>
      <c r="C6" s="11">
        <f>64+26+76+44+181+20+26+15+26+32+20+32+54+32+32+32+32+32+71+77+64+32+32+65.75+65.75+65.75+65.75+58+100</f>
        <v>1473</v>
      </c>
      <c r="D6" s="12">
        <v>0</v>
      </c>
      <c r="E6" s="12">
        <v>0</v>
      </c>
      <c r="F6" s="12">
        <v>0</v>
      </c>
      <c r="G6" s="12">
        <v>0</v>
      </c>
      <c r="H6" s="12">
        <v>416</v>
      </c>
      <c r="I6" s="12">
        <v>31</v>
      </c>
      <c r="J6" s="12">
        <v>0</v>
      </c>
      <c r="K6" s="13">
        <f>SUM(B6:J6)</f>
        <v>2327</v>
      </c>
      <c r="L6" s="9"/>
      <c r="M6" s="12">
        <v>2357</v>
      </c>
      <c r="N6" s="14">
        <f t="shared" si="0"/>
        <v>0</v>
      </c>
      <c r="O6" s="14">
        <f t="shared" si="1"/>
        <v>30</v>
      </c>
    </row>
    <row r="7" spans="1:15" ht="16.5">
      <c r="A7" t="s">
        <v>27</v>
      </c>
      <c r="B7" s="17">
        <v>439</v>
      </c>
      <c r="C7" s="11">
        <f>52+3+40+5+32+56+116+38+16+68+97+32</f>
        <v>555</v>
      </c>
      <c r="D7" s="12">
        <v>0</v>
      </c>
      <c r="E7" s="12">
        <v>0</v>
      </c>
      <c r="F7" s="12">
        <v>0</v>
      </c>
      <c r="G7" s="12">
        <v>0</v>
      </c>
      <c r="H7" s="12">
        <v>288</v>
      </c>
      <c r="I7" s="12">
        <v>0</v>
      </c>
      <c r="J7" s="12">
        <v>0</v>
      </c>
      <c r="K7" s="13">
        <f>SUM(B7:J7)</f>
        <v>1282</v>
      </c>
      <c r="L7" s="9"/>
      <c r="M7" s="12">
        <v>1282</v>
      </c>
      <c r="N7" s="14">
        <f t="shared" si="0"/>
        <v>0</v>
      </c>
      <c r="O7" s="14">
        <f t="shared" si="1"/>
        <v>0</v>
      </c>
    </row>
    <row r="8" spans="1:15" ht="16.5">
      <c r="A8" t="s">
        <v>18</v>
      </c>
      <c r="B8" s="17">
        <v>345</v>
      </c>
      <c r="C8" s="11">
        <f>49+32+63+32+26+49+15+64+34+38+78+42+10+38+32+6+24+32+32+32+20+7+32+116+152+16+32+10+89+40+27+72+96+38+20+20+25+72+84+32+26+56+126+56+32+7+64+20+24+16+15+56+20+20+96+42+20+64+21+20+32+20+233+28+44+50+96+90+70+64+42+32+27+20+38+96+36+21+20+88+26+38</f>
        <v>3740</v>
      </c>
      <c r="D8" s="12">
        <v>128</v>
      </c>
      <c r="E8" s="12">
        <v>0</v>
      </c>
      <c r="F8" s="12">
        <v>0</v>
      </c>
      <c r="G8" s="12">
        <v>0</v>
      </c>
      <c r="H8" s="12">
        <v>1184</v>
      </c>
      <c r="I8" s="12">
        <f>26+24</f>
        <v>50</v>
      </c>
      <c r="J8" s="12">
        <v>0</v>
      </c>
      <c r="K8" s="13">
        <f>SUM(B8:J8)</f>
        <v>5447</v>
      </c>
      <c r="L8" s="9"/>
      <c r="M8" s="12">
        <v>5465</v>
      </c>
      <c r="N8" s="14">
        <f t="shared" si="0"/>
        <v>0</v>
      </c>
      <c r="O8" s="14">
        <f t="shared" si="1"/>
        <v>18</v>
      </c>
    </row>
    <row r="9" spans="1:15" ht="16.5">
      <c r="A9" t="s">
        <v>28</v>
      </c>
      <c r="B9" s="17">
        <v>0</v>
      </c>
      <c r="C9" s="11">
        <v>0</v>
      </c>
      <c r="D9" s="12">
        <v>348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348</v>
      </c>
      <c r="L9" s="9"/>
      <c r="M9" s="12">
        <v>348</v>
      </c>
      <c r="N9" s="14">
        <f t="shared" ref="N9" si="2">IF(K9&gt;M9,K9-M9,0)</f>
        <v>0</v>
      </c>
      <c r="O9" s="14">
        <f t="shared" ref="O9" si="3">IF(M9&gt;K9,M9-K9,0)</f>
        <v>0</v>
      </c>
    </row>
    <row r="10" spans="1:15" ht="16.5">
      <c r="A10" t="s">
        <v>24</v>
      </c>
      <c r="B10" s="17">
        <v>387</v>
      </c>
      <c r="C10" s="11">
        <f>38+52+32+64+32+64+38+32+32+38+38+32+32+38+21+21+22+32+32+186+7+20+20+34+65+74+94+40+84+36+36+36+36+12+20+14+50+77+16+20+64+26+7+96</f>
        <v>1860</v>
      </c>
      <c r="D10" s="12">
        <v>486</v>
      </c>
      <c r="E10" s="12">
        <v>0</v>
      </c>
      <c r="F10" s="12">
        <v>0</v>
      </c>
      <c r="G10" s="12">
        <v>0</v>
      </c>
      <c r="H10" s="12">
        <v>512</v>
      </c>
      <c r="I10" s="12">
        <v>69</v>
      </c>
      <c r="J10" s="12">
        <v>0</v>
      </c>
      <c r="K10" s="13">
        <f>SUM(B10:J10)</f>
        <v>3314</v>
      </c>
      <c r="L10" s="9"/>
      <c r="M10" s="12">
        <v>3275</v>
      </c>
      <c r="N10" s="14">
        <f t="shared" si="0"/>
        <v>39</v>
      </c>
      <c r="O10" s="14">
        <f t="shared" si="1"/>
        <v>0</v>
      </c>
    </row>
    <row r="11" spans="1:15" ht="16.5">
      <c r="A11" s="18"/>
      <c r="B11" s="19">
        <f t="shared" ref="B11:K11" si="4">SUM(B4:B10)</f>
        <v>1578</v>
      </c>
      <c r="C11" s="20">
        <f t="shared" si="4"/>
        <v>7628</v>
      </c>
      <c r="D11" s="20">
        <f t="shared" si="4"/>
        <v>2588</v>
      </c>
      <c r="E11" s="20">
        <f t="shared" si="4"/>
        <v>0</v>
      </c>
      <c r="F11" s="20">
        <f t="shared" si="4"/>
        <v>0</v>
      </c>
      <c r="G11" s="20">
        <f t="shared" si="4"/>
        <v>0</v>
      </c>
      <c r="H11" s="20">
        <f t="shared" si="4"/>
        <v>2400</v>
      </c>
      <c r="I11" s="20">
        <f t="shared" si="4"/>
        <v>150</v>
      </c>
      <c r="J11" s="20">
        <f t="shared" si="4"/>
        <v>0</v>
      </c>
      <c r="K11" s="20">
        <f t="shared" si="4"/>
        <v>14344</v>
      </c>
      <c r="L11" s="21"/>
      <c r="M11" s="20">
        <v>0</v>
      </c>
      <c r="N11" s="20">
        <f>SUM(N4:N10)</f>
        <v>39</v>
      </c>
      <c r="O11" s="20">
        <f>SUM(O4:O10)</f>
        <v>80</v>
      </c>
    </row>
    <row r="12" spans="1:15" ht="15.75" thickBot="1"/>
    <row r="13" spans="1:15" ht="17.25" thickBot="1">
      <c r="A13" s="53">
        <v>45723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5">A14*C14</f>
        <v>0</v>
      </c>
    </row>
    <row r="15" spans="1:15" ht="16.5">
      <c r="A15" s="26">
        <v>100</v>
      </c>
      <c r="B15" s="23" t="s">
        <v>20</v>
      </c>
      <c r="C15" s="24">
        <v>13</v>
      </c>
      <c r="D15" s="25">
        <f t="shared" si="5"/>
        <v>1300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5"/>
        <v>200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5"/>
        <v>20</v>
      </c>
    </row>
    <row r="18" spans="1:4" ht="16.5">
      <c r="A18" s="26">
        <v>10</v>
      </c>
      <c r="B18" s="23" t="s">
        <v>20</v>
      </c>
      <c r="C18" s="24">
        <v>3</v>
      </c>
      <c r="D18" s="25">
        <f t="shared" si="5"/>
        <v>30</v>
      </c>
    </row>
    <row r="19" spans="1:4" ht="16.5">
      <c r="A19" s="26">
        <v>5</v>
      </c>
      <c r="B19" s="23" t="s">
        <v>20</v>
      </c>
      <c r="C19" s="24">
        <v>5</v>
      </c>
      <c r="D19" s="25">
        <f t="shared" si="5"/>
        <v>25</v>
      </c>
    </row>
    <row r="20" spans="1:4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1578</v>
      </c>
    </row>
    <row r="24" spans="1:4">
      <c r="A24" t="s">
        <v>23</v>
      </c>
      <c r="D24" s="33">
        <f>2020+1578</f>
        <v>3598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2B6C-F67C-40A0-8DD0-FE93B33C8CAF}">
  <dimension ref="A1:O24"/>
  <sheetViews>
    <sheetView workbookViewId="0">
      <selection activeCell="G28" sqref="G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45754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462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462</v>
      </c>
      <c r="L5" s="9"/>
      <c r="M5" s="12">
        <v>462</v>
      </c>
      <c r="N5" s="14">
        <f t="shared" si="0"/>
        <v>0</v>
      </c>
      <c r="O5" s="14">
        <f t="shared" si="1"/>
        <v>0</v>
      </c>
    </row>
    <row r="6" spans="1:15" ht="16.5">
      <c r="A6" t="s">
        <v>26</v>
      </c>
      <c r="B6" s="17">
        <v>40</v>
      </c>
      <c r="C6" s="11">
        <f>20+58+32+52+40+50+64+63+26+40+26+163+38+27+154+131+16+26+57+32+32+42+24+160+32+84+64+2</f>
        <v>1555</v>
      </c>
      <c r="D6" s="12">
        <v>222</v>
      </c>
      <c r="E6" s="12">
        <v>0</v>
      </c>
      <c r="F6" s="12">
        <v>0</v>
      </c>
      <c r="G6" s="12">
        <v>0</v>
      </c>
      <c r="H6" s="12">
        <v>384</v>
      </c>
      <c r="I6" s="12">
        <v>0</v>
      </c>
      <c r="J6" s="12">
        <v>0</v>
      </c>
      <c r="K6" s="13">
        <f>SUM(B6:J6)</f>
        <v>2201</v>
      </c>
      <c r="L6" s="9"/>
      <c r="M6" s="12">
        <v>2201</v>
      </c>
      <c r="N6" s="14">
        <f t="shared" si="0"/>
        <v>0</v>
      </c>
      <c r="O6" s="14">
        <f t="shared" si="1"/>
        <v>0</v>
      </c>
    </row>
    <row r="7" spans="1:15" ht="16.5">
      <c r="A7" t="s">
        <v>27</v>
      </c>
      <c r="B7" s="17">
        <v>130</v>
      </c>
      <c r="C7" s="11">
        <f>32+66+24+100+32+64+24+64+32+72+32+65+24+32+127+38+20+32+20+132+84+12+40+96+7+32</f>
        <v>1303</v>
      </c>
      <c r="D7" s="12">
        <v>170</v>
      </c>
      <c r="E7" s="12">
        <v>0</v>
      </c>
      <c r="F7" s="12">
        <v>0</v>
      </c>
      <c r="G7" s="12">
        <v>0</v>
      </c>
      <c r="H7" s="12">
        <v>480</v>
      </c>
      <c r="I7" s="12">
        <v>0</v>
      </c>
      <c r="J7" s="12">
        <v>0</v>
      </c>
      <c r="K7" s="13">
        <f>SUM(B7:J7)</f>
        <v>2083</v>
      </c>
      <c r="L7" s="9"/>
      <c r="M7" s="12">
        <v>2083</v>
      </c>
      <c r="N7" s="14">
        <f t="shared" si="0"/>
        <v>0</v>
      </c>
      <c r="O7" s="14">
        <f t="shared" si="1"/>
        <v>0</v>
      </c>
    </row>
    <row r="8" spans="1:15" ht="16.5">
      <c r="A8" t="s">
        <v>18</v>
      </c>
      <c r="B8" s="17">
        <v>40</v>
      </c>
      <c r="C8" s="11">
        <f>128+66+32+32+32+32+34+64+20+69+26+84+32+38+2+32+44+26+12+20+20+14+64+20+77+57+293+50+73+32+78+26+89+51+50+72+366+40+25+20+51+52+52</f>
        <v>2497</v>
      </c>
      <c r="D8" s="12">
        <v>126</v>
      </c>
      <c r="E8" s="12">
        <v>0</v>
      </c>
      <c r="F8" s="12">
        <v>0</v>
      </c>
      <c r="G8" s="12">
        <v>0</v>
      </c>
      <c r="H8" s="12">
        <v>672</v>
      </c>
      <c r="I8" s="12">
        <v>0</v>
      </c>
      <c r="J8" s="12">
        <v>0</v>
      </c>
      <c r="K8" s="13">
        <f>SUM(B8:J8)</f>
        <v>3335</v>
      </c>
      <c r="L8" s="9"/>
      <c r="M8" s="12">
        <v>3335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210</v>
      </c>
      <c r="C11" s="20">
        <f t="shared" si="2"/>
        <v>5355</v>
      </c>
      <c r="D11" s="20">
        <f t="shared" si="2"/>
        <v>980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1536</v>
      </c>
      <c r="I11" s="20">
        <f t="shared" si="2"/>
        <v>0</v>
      </c>
      <c r="J11" s="20">
        <f t="shared" si="2"/>
        <v>0</v>
      </c>
      <c r="K11" s="20">
        <f t="shared" si="2"/>
        <v>8081</v>
      </c>
      <c r="L11" s="21"/>
      <c r="M11" s="20">
        <v>0</v>
      </c>
      <c r="N11" s="20">
        <f>SUM(N4:N10)</f>
        <v>0</v>
      </c>
      <c r="O11" s="20">
        <f>SUM(O4:O10)</f>
        <v>0</v>
      </c>
    </row>
    <row r="12" spans="1:15" ht="15.75" thickBot="1"/>
    <row r="13" spans="1:15" ht="17.25" thickBot="1">
      <c r="A13" s="53">
        <v>45754</v>
      </c>
      <c r="B13" s="54"/>
      <c r="C13" s="54"/>
      <c r="D13" s="54"/>
      <c r="K13" s="49">
        <v>45723</v>
      </c>
      <c r="L13" s="50"/>
      <c r="M13" s="50"/>
      <c r="N13" s="51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1</v>
      </c>
      <c r="N14" s="25">
        <f t="shared" ref="N14:N19" si="4">K14*M14</f>
        <v>500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K15" s="26">
        <v>100</v>
      </c>
      <c r="L15" s="23" t="s">
        <v>20</v>
      </c>
      <c r="M15" s="24">
        <v>18</v>
      </c>
      <c r="N15" s="25">
        <f t="shared" si="4"/>
        <v>1800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  <c r="K16" s="26">
        <v>50</v>
      </c>
      <c r="L16" s="23" t="s">
        <v>20</v>
      </c>
      <c r="M16" s="24">
        <v>21</v>
      </c>
      <c r="N16" s="25">
        <f t="shared" si="4"/>
        <v>1050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1</v>
      </c>
      <c r="N17" s="25">
        <f t="shared" si="4"/>
        <v>20</v>
      </c>
    </row>
    <row r="18" spans="1:14" ht="16.5">
      <c r="A18" s="26">
        <v>10</v>
      </c>
      <c r="B18" s="23" t="s">
        <v>20</v>
      </c>
      <c r="C18" s="24">
        <v>1</v>
      </c>
      <c r="D18" s="25">
        <f t="shared" si="3"/>
        <v>10</v>
      </c>
      <c r="K18" s="26">
        <v>10</v>
      </c>
      <c r="L18" s="23" t="s">
        <v>20</v>
      </c>
      <c r="M18" s="24">
        <v>7</v>
      </c>
      <c r="N18" s="25">
        <f t="shared" si="4"/>
        <v>70</v>
      </c>
    </row>
    <row r="19" spans="1:14" ht="16.5">
      <c r="A19" s="26">
        <v>5</v>
      </c>
      <c r="B19" s="23" t="s">
        <v>20</v>
      </c>
      <c r="C19" s="24">
        <v>18</v>
      </c>
      <c r="D19" s="25">
        <f t="shared" si="3"/>
        <v>90</v>
      </c>
      <c r="K19" s="26">
        <v>5</v>
      </c>
      <c r="L19" s="23" t="s">
        <v>20</v>
      </c>
      <c r="M19" s="24">
        <v>67</v>
      </c>
      <c r="N19" s="25">
        <f t="shared" si="4"/>
        <v>335</v>
      </c>
    </row>
    <row r="20" spans="1:14" ht="16.5">
      <c r="A20" s="27" t="s">
        <v>21</v>
      </c>
      <c r="B20" s="23" t="s">
        <v>20</v>
      </c>
      <c r="C20" s="24">
        <v>10</v>
      </c>
      <c r="D20" s="25">
        <f>+C20*1</f>
        <v>10</v>
      </c>
      <c r="K20" s="27" t="s">
        <v>21</v>
      </c>
      <c r="L20" s="23" t="s">
        <v>20</v>
      </c>
      <c r="M20" s="24">
        <v>33</v>
      </c>
      <c r="N20" s="25">
        <f>+M20*1</f>
        <v>33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210</v>
      </c>
      <c r="K22" s="29" t="s">
        <v>22</v>
      </c>
      <c r="L22" s="30"/>
      <c r="M22" s="31">
        <v>0</v>
      </c>
      <c r="N22" s="32">
        <f>SUM(N14:N21)</f>
        <v>3808</v>
      </c>
    </row>
    <row r="24" spans="1:14">
      <c r="A24" t="s">
        <v>23</v>
      </c>
      <c r="D24" s="33">
        <f>3598+210</f>
        <v>3808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043F-16CA-4A6B-8D90-E6A45AF2332B}">
  <dimension ref="A1:O24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45784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40</v>
      </c>
      <c r="N4" s="14">
        <f t="shared" ref="N4:N10" si="0">IF(K4&gt;M4,K4-M4,0)</f>
        <v>0</v>
      </c>
      <c r="O4" s="14">
        <f t="shared" ref="O4:O10" si="1">IF(M4&gt;K4,M4-K4,0)</f>
        <v>40</v>
      </c>
    </row>
    <row r="5" spans="1:15" ht="16.5">
      <c r="A5" s="10" t="s">
        <v>17</v>
      </c>
      <c r="B5" s="15">
        <v>0</v>
      </c>
      <c r="C5" s="12">
        <v>0</v>
      </c>
      <c r="D5" s="12">
        <v>288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288</v>
      </c>
      <c r="L5" s="9"/>
      <c r="M5" s="12">
        <v>288</v>
      </c>
      <c r="N5" s="14">
        <f t="shared" si="0"/>
        <v>0</v>
      </c>
      <c r="O5" s="14">
        <f t="shared" si="1"/>
        <v>0</v>
      </c>
    </row>
    <row r="6" spans="1:15" ht="16.5">
      <c r="A6" t="s">
        <v>25</v>
      </c>
      <c r="B6" s="17">
        <v>102</v>
      </c>
      <c r="C6" s="11">
        <f>26+64+30+64+32+96+32+20+64+1+66+96+64+80</f>
        <v>735</v>
      </c>
      <c r="D6" s="12">
        <v>0</v>
      </c>
      <c r="E6" s="12">
        <v>0</v>
      </c>
      <c r="F6" s="12">
        <v>0</v>
      </c>
      <c r="G6" s="12">
        <v>0</v>
      </c>
      <c r="H6" s="12">
        <v>416</v>
      </c>
      <c r="I6" s="12">
        <v>0</v>
      </c>
      <c r="J6" s="12">
        <v>0</v>
      </c>
      <c r="K6" s="13">
        <f>SUM(B6:J6)</f>
        <v>1253</v>
      </c>
      <c r="L6" s="9"/>
      <c r="M6" s="12">
        <v>1253</v>
      </c>
      <c r="N6" s="14">
        <f t="shared" si="0"/>
        <v>0</v>
      </c>
      <c r="O6" s="14">
        <f t="shared" si="1"/>
        <v>0</v>
      </c>
    </row>
    <row r="7" spans="1:15" ht="16.5">
      <c r="A7" t="s">
        <v>26</v>
      </c>
      <c r="B7" s="17">
        <v>315</v>
      </c>
      <c r="C7" s="11">
        <f>32+21+21+173+32+25+7+26+20+80+24+44+20+32+32+64+71+20+60+77+7+24+32+32+14+64+106+16+32+16+16+16+32+64+64+29+29+32+64+96+40+20+20+20+32+20+21</f>
        <v>1839</v>
      </c>
      <c r="D7" s="12">
        <v>298</v>
      </c>
      <c r="E7" s="12">
        <v>0</v>
      </c>
      <c r="F7" s="12">
        <v>0</v>
      </c>
      <c r="G7" s="12">
        <v>0</v>
      </c>
      <c r="H7" s="12">
        <v>832</v>
      </c>
      <c r="I7" s="12">
        <v>24</v>
      </c>
      <c r="J7" s="12">
        <v>0</v>
      </c>
      <c r="K7" s="13">
        <f>SUM(B7:J7)</f>
        <v>3308</v>
      </c>
      <c r="L7" s="9"/>
      <c r="M7" s="12">
        <v>3308</v>
      </c>
      <c r="N7" s="14">
        <f t="shared" si="0"/>
        <v>0</v>
      </c>
      <c r="O7" s="14">
        <f t="shared" si="1"/>
        <v>0</v>
      </c>
    </row>
    <row r="8" spans="1:15" ht="16.5">
      <c r="A8" t="s">
        <v>24</v>
      </c>
      <c r="B8" s="17">
        <v>536</v>
      </c>
      <c r="C8" s="11">
        <f>64+161+7+20+96+26+32+20+64+2+32+210+104+7+60+60+64+19+19+19+26+20+7+32+64+72+32+17+7</f>
        <v>1363</v>
      </c>
      <c r="D8" s="12">
        <v>468</v>
      </c>
      <c r="E8" s="12">
        <v>0</v>
      </c>
      <c r="F8" s="12">
        <v>0</v>
      </c>
      <c r="G8" s="12">
        <v>0</v>
      </c>
      <c r="H8" s="12">
        <v>576</v>
      </c>
      <c r="I8" s="12">
        <f>42+64</f>
        <v>106</v>
      </c>
      <c r="J8" s="12">
        <v>0</v>
      </c>
      <c r="K8" s="13">
        <f>SUM(B8:J8)</f>
        <v>3049</v>
      </c>
      <c r="L8" s="9"/>
      <c r="M8" s="12">
        <v>3049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953</v>
      </c>
      <c r="C11" s="20">
        <f t="shared" si="2"/>
        <v>3937</v>
      </c>
      <c r="D11" s="20">
        <f t="shared" si="2"/>
        <v>1054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1824</v>
      </c>
      <c r="I11" s="20">
        <f t="shared" si="2"/>
        <v>130</v>
      </c>
      <c r="J11" s="20">
        <f t="shared" si="2"/>
        <v>0</v>
      </c>
      <c r="K11" s="20">
        <f t="shared" si="2"/>
        <v>7898</v>
      </c>
      <c r="L11" s="21"/>
      <c r="M11" s="20">
        <v>0</v>
      </c>
      <c r="N11" s="20">
        <f>SUM(N4:N10)</f>
        <v>0</v>
      </c>
      <c r="O11" s="20">
        <f>SUM(O4:O10)</f>
        <v>40</v>
      </c>
    </row>
    <row r="12" spans="1:15" ht="15.75" thickBot="1">
      <c r="A12" s="34" t="s">
        <v>29</v>
      </c>
    </row>
    <row r="13" spans="1:15" ht="17.25" thickBot="1">
      <c r="A13" s="53">
        <v>45784</v>
      </c>
      <c r="B13" s="54"/>
      <c r="C13" s="54"/>
      <c r="D13" s="54"/>
      <c r="K13" s="49" t="s">
        <v>30</v>
      </c>
      <c r="L13" s="50"/>
      <c r="M13" s="50"/>
      <c r="N13" s="51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1</v>
      </c>
      <c r="N14" s="25">
        <f t="shared" ref="N14:N19" si="4">K14*M14</f>
        <v>500</v>
      </c>
    </row>
    <row r="15" spans="1:15" ht="16.5">
      <c r="A15" s="26">
        <v>100</v>
      </c>
      <c r="B15" s="23" t="s">
        <v>20</v>
      </c>
      <c r="C15" s="24">
        <v>6</v>
      </c>
      <c r="D15" s="25">
        <f t="shared" si="3"/>
        <v>600</v>
      </c>
      <c r="K15" s="26">
        <v>100</v>
      </c>
      <c r="L15" s="23" t="s">
        <v>20</v>
      </c>
      <c r="M15" s="24">
        <v>28</v>
      </c>
      <c r="N15" s="25">
        <f t="shared" si="4"/>
        <v>2800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  <c r="K16" s="26">
        <v>50</v>
      </c>
      <c r="L16" s="23" t="s">
        <v>20</v>
      </c>
      <c r="M16" s="24">
        <v>27</v>
      </c>
      <c r="N16" s="25">
        <f t="shared" si="4"/>
        <v>1350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2</v>
      </c>
      <c r="N17" s="25">
        <f t="shared" si="4"/>
        <v>40</v>
      </c>
    </row>
    <row r="18" spans="1:14" ht="16.5">
      <c r="A18" s="26">
        <v>10</v>
      </c>
      <c r="B18" s="23" t="s">
        <v>20</v>
      </c>
      <c r="C18" s="24">
        <v>8</v>
      </c>
      <c r="D18" s="25">
        <f t="shared" si="3"/>
        <v>80</v>
      </c>
      <c r="K18" s="26">
        <v>10</v>
      </c>
      <c r="L18" s="23" t="s">
        <v>20</v>
      </c>
      <c r="M18" s="24">
        <v>2</v>
      </c>
      <c r="N18" s="25">
        <f t="shared" si="4"/>
        <v>20</v>
      </c>
    </row>
    <row r="19" spans="1:14" ht="16.5">
      <c r="A19" s="26">
        <v>5</v>
      </c>
      <c r="B19" s="23" t="s">
        <v>20</v>
      </c>
      <c r="C19" s="24">
        <v>7</v>
      </c>
      <c r="D19" s="25">
        <f t="shared" si="3"/>
        <v>35</v>
      </c>
      <c r="K19" s="26">
        <v>5</v>
      </c>
      <c r="L19" s="23" t="s">
        <v>20</v>
      </c>
      <c r="M19" s="24">
        <v>10</v>
      </c>
      <c r="N19" s="25">
        <f t="shared" si="4"/>
        <v>50</v>
      </c>
    </row>
    <row r="20" spans="1:14" ht="16.5">
      <c r="A20" s="27" t="s">
        <v>21</v>
      </c>
      <c r="B20" s="23" t="s">
        <v>20</v>
      </c>
      <c r="C20" s="24">
        <v>18</v>
      </c>
      <c r="D20" s="25">
        <f>+C20*1</f>
        <v>18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953</v>
      </c>
      <c r="K22" s="29" t="s">
        <v>22</v>
      </c>
      <c r="L22" s="30"/>
      <c r="M22" s="31">
        <v>0</v>
      </c>
      <c r="N22" s="32">
        <f>SUM(N14:N21)</f>
        <v>4761</v>
      </c>
    </row>
    <row r="24" spans="1:14">
      <c r="A24" t="s">
        <v>23</v>
      </c>
      <c r="D24" s="33">
        <f>3808+953</f>
        <v>4761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3178-95AC-4A63-8EC4-77BEA968F408}">
  <dimension ref="A1:O24"/>
  <sheetViews>
    <sheetView workbookViewId="0">
      <selection activeCell="E25" sqref="E2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45815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320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320</v>
      </c>
      <c r="L5" s="9"/>
      <c r="M5" s="12">
        <v>320</v>
      </c>
      <c r="N5" s="14">
        <f t="shared" si="0"/>
        <v>0</v>
      </c>
      <c r="O5" s="14">
        <f t="shared" si="1"/>
        <v>0</v>
      </c>
    </row>
    <row r="6" spans="1:15" ht="16.5">
      <c r="A6" t="s">
        <v>27</v>
      </c>
      <c r="B6" s="17">
        <v>32</v>
      </c>
      <c r="C6" s="11">
        <f>32+64+38+20+40+64+32+122+26+58+20+32+145+42+26+20+20</f>
        <v>801</v>
      </c>
      <c r="D6" s="12">
        <v>0</v>
      </c>
      <c r="E6" s="12">
        <v>0</v>
      </c>
      <c r="F6" s="12">
        <v>0</v>
      </c>
      <c r="G6" s="12">
        <v>0</v>
      </c>
      <c r="H6" s="12">
        <v>320</v>
      </c>
      <c r="I6" s="12">
        <v>0</v>
      </c>
      <c r="J6" s="12">
        <v>0</v>
      </c>
      <c r="K6" s="13">
        <f>SUM(B6:J6)</f>
        <v>1153</v>
      </c>
      <c r="L6" s="9"/>
      <c r="M6" s="12">
        <v>1153</v>
      </c>
      <c r="N6" s="14">
        <f t="shared" ref="N6" si="2">IF(K6&gt;M6,K6-M6,0)</f>
        <v>0</v>
      </c>
      <c r="O6" s="14">
        <f t="shared" ref="O6" si="3">IF(M6&gt;K6,M6-K6,0)</f>
        <v>0</v>
      </c>
    </row>
    <row r="7" spans="1:15" ht="16.5">
      <c r="A7" t="s">
        <v>24</v>
      </c>
      <c r="B7" s="17">
        <v>346</v>
      </c>
      <c r="C7" s="11">
        <f>17+90+28+28+40+69+156+48+48+56+54+20+20+138+140+78+27+32+150+16+40+32+120+68+26+146+20+24+32+32+32</f>
        <v>1827</v>
      </c>
      <c r="D7" s="12">
        <v>168</v>
      </c>
      <c r="E7" s="12">
        <v>0</v>
      </c>
      <c r="F7" s="12">
        <v>0</v>
      </c>
      <c r="G7" s="12">
        <v>0</v>
      </c>
      <c r="H7" s="12">
        <v>640</v>
      </c>
      <c r="I7" s="12">
        <v>0</v>
      </c>
      <c r="J7" s="12">
        <v>0</v>
      </c>
      <c r="K7" s="13">
        <f>SUM(B7:J7)</f>
        <v>2981</v>
      </c>
      <c r="L7" s="9"/>
      <c r="M7" s="12">
        <v>2981</v>
      </c>
      <c r="N7" s="14">
        <f t="shared" si="0"/>
        <v>0</v>
      </c>
      <c r="O7" s="14">
        <f t="shared" si="1"/>
        <v>0</v>
      </c>
    </row>
    <row r="8" spans="1:15" ht="16.5">
      <c r="A8" t="s">
        <v>18</v>
      </c>
      <c r="B8" s="17">
        <v>284</v>
      </c>
      <c r="C8" s="11">
        <f>25+20+54+26+13+13+32+32+210+32+88+64+27+176+64+24+173+2+64+48+72+32+327+186+20+64+42+45+20+6+82+26+62+27+210+24+14+30+30+7+20+160+16+64+32+26+32+46+92+128+20+128</f>
        <v>3277</v>
      </c>
      <c r="D8" s="12">
        <v>542</v>
      </c>
      <c r="E8" s="12">
        <v>0</v>
      </c>
      <c r="F8" s="12">
        <v>0</v>
      </c>
      <c r="G8" s="12">
        <v>0</v>
      </c>
      <c r="H8" s="12">
        <v>544</v>
      </c>
      <c r="I8" s="12">
        <v>47</v>
      </c>
      <c r="J8" s="12">
        <v>0</v>
      </c>
      <c r="K8" s="13">
        <f>SUM(B8:J8)</f>
        <v>4694</v>
      </c>
      <c r="L8" s="9"/>
      <c r="M8" s="12">
        <v>4693</v>
      </c>
      <c r="N8" s="14">
        <f t="shared" si="0"/>
        <v>1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4">SUM(B4:B10)</f>
        <v>662</v>
      </c>
      <c r="C11" s="20">
        <f t="shared" si="4"/>
        <v>5905</v>
      </c>
      <c r="D11" s="20">
        <f t="shared" si="4"/>
        <v>1030</v>
      </c>
      <c r="E11" s="20">
        <f t="shared" si="4"/>
        <v>0</v>
      </c>
      <c r="F11" s="20">
        <f t="shared" si="4"/>
        <v>0</v>
      </c>
      <c r="G11" s="20">
        <f t="shared" si="4"/>
        <v>0</v>
      </c>
      <c r="H11" s="20">
        <f t="shared" si="4"/>
        <v>1504</v>
      </c>
      <c r="I11" s="20">
        <f t="shared" si="4"/>
        <v>47</v>
      </c>
      <c r="J11" s="20">
        <f t="shared" si="4"/>
        <v>0</v>
      </c>
      <c r="K11" s="20">
        <f t="shared" si="4"/>
        <v>9148</v>
      </c>
      <c r="L11" s="21"/>
      <c r="M11" s="20">
        <v>0</v>
      </c>
      <c r="N11" s="20">
        <f>SUM(N4:N10)</f>
        <v>1</v>
      </c>
      <c r="O11" s="20">
        <f>SUM(O4:O10)</f>
        <v>0</v>
      </c>
    </row>
    <row r="12" spans="1:15" ht="15.75" thickBot="1"/>
    <row r="13" spans="1:15" ht="17.25" thickBot="1">
      <c r="A13" s="53">
        <v>45815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5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5"/>
        <v>300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5"/>
        <v>250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5"/>
        <v>0</v>
      </c>
    </row>
    <row r="18" spans="1:4" ht="16.5">
      <c r="A18" s="26">
        <v>10</v>
      </c>
      <c r="B18" s="23" t="s">
        <v>20</v>
      </c>
      <c r="C18" s="24">
        <v>6</v>
      </c>
      <c r="D18" s="25">
        <f t="shared" si="5"/>
        <v>60</v>
      </c>
    </row>
    <row r="19" spans="1:4" ht="16.5">
      <c r="A19" s="26">
        <v>5</v>
      </c>
      <c r="B19" s="23" t="s">
        <v>20</v>
      </c>
      <c r="C19" s="24">
        <v>10</v>
      </c>
      <c r="D19" s="25">
        <f t="shared" si="5"/>
        <v>50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662</v>
      </c>
    </row>
    <row r="24" spans="1:4">
      <c r="A24" t="s">
        <v>23</v>
      </c>
      <c r="D24" s="33">
        <v>662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5476-3BBB-467F-8439-4468FA40BF92}">
  <dimension ref="A1:O24"/>
  <sheetViews>
    <sheetView workbookViewId="0">
      <selection activeCell="G29" sqref="G29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45845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160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160</v>
      </c>
      <c r="L5" s="9"/>
      <c r="M5" s="12">
        <v>160</v>
      </c>
      <c r="N5" s="14">
        <f t="shared" si="0"/>
        <v>0</v>
      </c>
      <c r="O5" s="14">
        <f t="shared" si="1"/>
        <v>0</v>
      </c>
    </row>
    <row r="6" spans="1:15" ht="16.5">
      <c r="A6" t="s">
        <v>31</v>
      </c>
      <c r="B6" s="17">
        <v>273</v>
      </c>
      <c r="C6" s="11">
        <f>96+88+32+30+30+72+40+38+128+29+42+24+48+26+20+20+30+30+77+126+24+7+27+32+90+30+29+20+15+79+15+26+48+40+26+48+24+24+117+72+32+24+38+29+33+20+32+40+26+26+25+1+20+97+102</f>
        <v>2364</v>
      </c>
      <c r="D6" s="12">
        <v>510</v>
      </c>
      <c r="E6" s="12">
        <v>0</v>
      </c>
      <c r="F6" s="12">
        <v>0</v>
      </c>
      <c r="G6" s="12">
        <v>0</v>
      </c>
      <c r="H6" s="12">
        <v>512</v>
      </c>
      <c r="I6" s="12">
        <v>0</v>
      </c>
      <c r="J6" s="12">
        <v>0</v>
      </c>
      <c r="K6" s="13">
        <f>SUM(B6:J6)</f>
        <v>3659</v>
      </c>
      <c r="L6" s="9"/>
      <c r="M6" s="12">
        <v>3733</v>
      </c>
      <c r="N6" s="14">
        <f t="shared" si="0"/>
        <v>0</v>
      </c>
      <c r="O6" s="14">
        <f t="shared" si="1"/>
        <v>74</v>
      </c>
    </row>
    <row r="7" spans="1:15" ht="16.5">
      <c r="A7" t="s">
        <v>26</v>
      </c>
      <c r="B7" s="17">
        <v>278</v>
      </c>
      <c r="C7" s="11">
        <f>90+64+32+41+38+58+32+96+38+38+158+40+90+38+26+7+20+96+15+60+128+20</f>
        <v>1225</v>
      </c>
      <c r="D7" s="12">
        <v>320</v>
      </c>
      <c r="E7" s="12">
        <v>0</v>
      </c>
      <c r="F7" s="12">
        <v>0</v>
      </c>
      <c r="G7" s="12">
        <v>0</v>
      </c>
      <c r="H7" s="12">
        <v>384</v>
      </c>
      <c r="I7" s="12">
        <v>0</v>
      </c>
      <c r="J7" s="12">
        <v>0</v>
      </c>
      <c r="K7" s="13">
        <f>SUM(B7:J7)</f>
        <v>2207</v>
      </c>
      <c r="L7" s="9"/>
      <c r="M7" s="12">
        <v>2207</v>
      </c>
      <c r="N7" s="14">
        <f t="shared" si="0"/>
        <v>0</v>
      </c>
      <c r="O7" s="14">
        <f t="shared" si="1"/>
        <v>0</v>
      </c>
    </row>
    <row r="8" spans="1:15" ht="16.5" hidden="1">
      <c r="A8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551</v>
      </c>
      <c r="C11" s="20">
        <f t="shared" si="2"/>
        <v>3589</v>
      </c>
      <c r="D11" s="20">
        <f t="shared" si="2"/>
        <v>990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896</v>
      </c>
      <c r="I11" s="20">
        <f t="shared" si="2"/>
        <v>0</v>
      </c>
      <c r="J11" s="20">
        <f t="shared" si="2"/>
        <v>0</v>
      </c>
      <c r="K11" s="20">
        <f t="shared" si="2"/>
        <v>6026</v>
      </c>
      <c r="L11" s="21"/>
      <c r="M11" s="20">
        <v>0</v>
      </c>
      <c r="N11" s="20">
        <f>SUM(N4:N10)</f>
        <v>0</v>
      </c>
      <c r="O11" s="20">
        <f>SUM(O4:O10)</f>
        <v>74</v>
      </c>
    </row>
    <row r="12" spans="1:15" ht="15.75" thickBot="1"/>
    <row r="13" spans="1:15" ht="17.25" thickBot="1">
      <c r="A13" s="53">
        <v>45845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8</v>
      </c>
      <c r="D16" s="25">
        <f t="shared" si="3"/>
        <v>400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4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551</v>
      </c>
    </row>
    <row r="24" spans="1:4">
      <c r="A24" t="s">
        <v>23</v>
      </c>
      <c r="D24" s="33">
        <f>662+551</f>
        <v>1213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DB28-00D2-400F-BF6C-C7A451C9C790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45876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320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320</v>
      </c>
      <c r="L5" s="9"/>
      <c r="M5" s="12">
        <v>320</v>
      </c>
      <c r="N5" s="14">
        <f t="shared" si="0"/>
        <v>0</v>
      </c>
      <c r="O5" s="14">
        <f t="shared" si="1"/>
        <v>0</v>
      </c>
    </row>
    <row r="6" spans="1:15" ht="16.5">
      <c r="A6" t="s">
        <v>31</v>
      </c>
      <c r="B6" s="17">
        <v>111</v>
      </c>
      <c r="C6" s="11">
        <f>119+20+14+20+59+25+10+57</f>
        <v>324</v>
      </c>
      <c r="D6" s="12">
        <v>96</v>
      </c>
      <c r="E6" s="12">
        <v>0</v>
      </c>
      <c r="F6" s="12">
        <v>0</v>
      </c>
      <c r="G6" s="12">
        <v>0</v>
      </c>
      <c r="H6" s="12">
        <v>64</v>
      </c>
      <c r="I6" s="12">
        <v>0</v>
      </c>
      <c r="J6" s="12">
        <v>0</v>
      </c>
      <c r="K6" s="13">
        <f>SUM(B6:J6)</f>
        <v>595</v>
      </c>
      <c r="L6" s="9"/>
      <c r="M6" s="12">
        <v>595</v>
      </c>
      <c r="N6" s="14">
        <f t="shared" si="0"/>
        <v>0</v>
      </c>
      <c r="O6" s="14">
        <f t="shared" si="1"/>
        <v>0</v>
      </c>
    </row>
    <row r="7" spans="1:15" ht="16.5">
      <c r="A7" t="s">
        <v>24</v>
      </c>
      <c r="B7" s="17">
        <v>695</v>
      </c>
      <c r="C7" s="11">
        <f>136+40+32+20+8+9+52+9+84+52+52+38+47+32+52+135+181+70+52+58+20+34+56+116+192+6+24+60+22+32+25+16+16+52+89+90+160+90+104+20+32+38+32+32+216+32+32+32+62+20+27+40+104+32+64+32+77+20+32+20+26+24+20+76+52+52+26+20+128</f>
        <v>3783</v>
      </c>
      <c r="D7" s="12">
        <v>602</v>
      </c>
      <c r="E7" s="12">
        <v>0</v>
      </c>
      <c r="F7" s="12">
        <v>0</v>
      </c>
      <c r="G7" s="12">
        <v>0</v>
      </c>
      <c r="H7" s="12">
        <v>800</v>
      </c>
      <c r="I7" s="12">
        <v>0</v>
      </c>
      <c r="J7" s="12">
        <v>0</v>
      </c>
      <c r="K7" s="13">
        <f>SUM(B7:J7)</f>
        <v>5880</v>
      </c>
      <c r="L7" s="9"/>
      <c r="M7" s="12">
        <v>5880</v>
      </c>
      <c r="N7" s="14">
        <f t="shared" si="0"/>
        <v>0</v>
      </c>
      <c r="O7" s="14">
        <f t="shared" si="1"/>
        <v>0</v>
      </c>
    </row>
    <row r="8" spans="1:15" ht="16.5" hidden="1">
      <c r="A8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806</v>
      </c>
      <c r="C11" s="20">
        <f t="shared" si="2"/>
        <v>4107</v>
      </c>
      <c r="D11" s="20">
        <f t="shared" si="2"/>
        <v>1018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864</v>
      </c>
      <c r="I11" s="20">
        <f t="shared" si="2"/>
        <v>0</v>
      </c>
      <c r="J11" s="20">
        <f t="shared" si="2"/>
        <v>0</v>
      </c>
      <c r="K11" s="20">
        <f t="shared" si="2"/>
        <v>6795</v>
      </c>
      <c r="L11" s="21"/>
      <c r="M11" s="20">
        <v>0</v>
      </c>
      <c r="N11" s="20">
        <f>SUM(N4:N10)</f>
        <v>0</v>
      </c>
      <c r="O11" s="20">
        <f>SUM(O4:O10)</f>
        <v>0</v>
      </c>
    </row>
    <row r="12" spans="1:15" ht="15.75" thickBot="1"/>
    <row r="13" spans="1:15" ht="17.25" thickBot="1">
      <c r="A13" s="53">
        <v>45876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806</v>
      </c>
    </row>
    <row r="24" spans="1:4">
      <c r="A24" t="s">
        <v>23</v>
      </c>
      <c r="D24" s="33">
        <f>1213+806</f>
        <v>2019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32FE-43F2-4273-8425-E35B729840DC}">
  <dimension ref="A1:O24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45907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384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384</v>
      </c>
      <c r="L5" s="9"/>
      <c r="M5" s="12">
        <v>384</v>
      </c>
      <c r="N5" s="14">
        <f t="shared" si="0"/>
        <v>0</v>
      </c>
      <c r="O5" s="14">
        <f t="shared" si="1"/>
        <v>0</v>
      </c>
    </row>
    <row r="6" spans="1:15" ht="16.5">
      <c r="A6" t="s">
        <v>25</v>
      </c>
      <c r="B6" s="17">
        <v>448</v>
      </c>
      <c r="C6" s="11">
        <f>32+32+32+49+32+32+16+40+89+24+27+24+137+75+210+64+80+45+104+20+20+40+32+64+12+26+26+38+32+26+32+64+32+20</f>
        <v>1628</v>
      </c>
      <c r="D6" s="12">
        <v>212</v>
      </c>
      <c r="E6" s="12">
        <v>0</v>
      </c>
      <c r="F6" s="12">
        <v>0</v>
      </c>
      <c r="G6" s="12">
        <v>0</v>
      </c>
      <c r="H6" s="12">
        <v>416</v>
      </c>
      <c r="I6" s="12">
        <v>66</v>
      </c>
      <c r="J6" s="12">
        <v>0</v>
      </c>
      <c r="K6" s="13">
        <f>SUM(B6:J6)</f>
        <v>2770</v>
      </c>
      <c r="L6" s="9"/>
      <c r="M6" s="12">
        <v>2770</v>
      </c>
      <c r="N6" s="14">
        <f t="shared" si="0"/>
        <v>0</v>
      </c>
      <c r="O6" s="14">
        <f t="shared" si="1"/>
        <v>0</v>
      </c>
    </row>
    <row r="7" spans="1:15" ht="16.5">
      <c r="A7" t="s">
        <v>26</v>
      </c>
      <c r="B7" s="17">
        <v>122</v>
      </c>
      <c r="C7" s="11">
        <f>96+24+26+27+7+32+32+20+77+52+30+32+122+35+64+26+33+32+64+52+20+32+54+25+80+84+60+66+20+13+13</f>
        <v>1350</v>
      </c>
      <c r="D7" s="12">
        <v>0</v>
      </c>
      <c r="E7" s="12">
        <v>0</v>
      </c>
      <c r="F7" s="12">
        <v>0</v>
      </c>
      <c r="G7" s="12">
        <v>0</v>
      </c>
      <c r="H7" s="12">
        <v>384</v>
      </c>
      <c r="I7" s="12">
        <v>0</v>
      </c>
      <c r="J7" s="12">
        <v>0</v>
      </c>
      <c r="K7" s="13">
        <f>SUM(B7:J7)</f>
        <v>1856</v>
      </c>
      <c r="L7" s="9"/>
      <c r="M7" s="12">
        <v>1856</v>
      </c>
      <c r="N7" s="14">
        <f t="shared" si="0"/>
        <v>0</v>
      </c>
      <c r="O7" s="14">
        <f t="shared" si="1"/>
        <v>0</v>
      </c>
    </row>
    <row r="8" spans="1:15" ht="16.5" hidden="1">
      <c r="A8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570</v>
      </c>
      <c r="C11" s="20">
        <f t="shared" si="2"/>
        <v>2978</v>
      </c>
      <c r="D11" s="20">
        <f t="shared" si="2"/>
        <v>596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800</v>
      </c>
      <c r="I11" s="20">
        <f t="shared" si="2"/>
        <v>66</v>
      </c>
      <c r="J11" s="20">
        <f t="shared" si="2"/>
        <v>0</v>
      </c>
      <c r="K11" s="20">
        <f t="shared" si="2"/>
        <v>5010</v>
      </c>
      <c r="L11" s="21"/>
      <c r="M11" s="20">
        <v>0</v>
      </c>
      <c r="N11" s="20">
        <f>SUM(N4:N10)</f>
        <v>0</v>
      </c>
      <c r="O11" s="20">
        <f>SUM(O4:O10)</f>
        <v>0</v>
      </c>
    </row>
    <row r="12" spans="1:15" ht="15.75" thickBot="1"/>
    <row r="13" spans="1:15" ht="17.25" thickBot="1">
      <c r="A13" s="53">
        <v>45907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570</v>
      </c>
    </row>
    <row r="24" spans="1:4">
      <c r="A24" t="s">
        <v>23</v>
      </c>
      <c r="D24" s="33">
        <f>2019+570</f>
        <v>2589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A3D1-52D4-4A5E-9B5A-FA4E04A1B533}">
  <dimension ref="A1:O24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45937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160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160</v>
      </c>
      <c r="L5" s="9"/>
      <c r="M5" s="12">
        <v>0</v>
      </c>
      <c r="N5" s="14">
        <f t="shared" si="0"/>
        <v>160</v>
      </c>
      <c r="O5" s="14">
        <f t="shared" si="1"/>
        <v>0</v>
      </c>
    </row>
    <row r="6" spans="1:15" ht="16.5">
      <c r="A6" t="s">
        <v>31</v>
      </c>
      <c r="B6" s="17">
        <v>119</v>
      </c>
      <c r="C6" s="11">
        <f>30+205+22+90+96+40+10+156+32+15+13+24+24+32+20+15+70+24+20+62+32+172+131+64+72+20</f>
        <v>1491</v>
      </c>
      <c r="D6" s="12">
        <v>32</v>
      </c>
      <c r="E6" s="12">
        <v>0</v>
      </c>
      <c r="F6" s="12">
        <v>0</v>
      </c>
      <c r="G6" s="12">
        <v>0</v>
      </c>
      <c r="H6" s="12">
        <v>448</v>
      </c>
      <c r="I6" s="12">
        <v>44</v>
      </c>
      <c r="J6" s="12">
        <v>0</v>
      </c>
      <c r="K6" s="13">
        <f>SUM(B6:J6)</f>
        <v>2134</v>
      </c>
      <c r="L6" s="9"/>
      <c r="M6" s="12">
        <v>2134</v>
      </c>
      <c r="N6" s="14">
        <f t="shared" si="0"/>
        <v>0</v>
      </c>
      <c r="O6" s="14">
        <f t="shared" si="1"/>
        <v>0</v>
      </c>
    </row>
    <row r="7" spans="1:15" ht="16.5">
      <c r="A7" t="s">
        <v>27</v>
      </c>
      <c r="B7" s="17">
        <v>337</v>
      </c>
      <c r="C7" s="11">
        <f>32+134+122+32+32+147+104+53+98+80+126+58+20+40+64+98+75+5+20+169+20+45+52+7+74+44</f>
        <v>1751</v>
      </c>
      <c r="D7" s="12">
        <v>106</v>
      </c>
      <c r="E7" s="12">
        <v>0</v>
      </c>
      <c r="F7" s="12">
        <v>0</v>
      </c>
      <c r="G7" s="12">
        <v>0</v>
      </c>
      <c r="H7" s="12">
        <v>576</v>
      </c>
      <c r="I7" s="12">
        <v>0</v>
      </c>
      <c r="J7" s="12">
        <v>0</v>
      </c>
      <c r="K7" s="13">
        <f>SUM(B7:J7)</f>
        <v>2770</v>
      </c>
      <c r="L7" s="9"/>
      <c r="M7" s="12">
        <v>2802</v>
      </c>
      <c r="N7" s="14">
        <f t="shared" si="0"/>
        <v>0</v>
      </c>
      <c r="O7" s="14">
        <f t="shared" si="1"/>
        <v>32</v>
      </c>
    </row>
    <row r="8" spans="1:15" ht="16.5" hidden="1">
      <c r="A8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>
      <c r="A10" t="s">
        <v>18</v>
      </c>
      <c r="B10" s="17">
        <v>286</v>
      </c>
      <c r="C10" s="11">
        <f>96+96+30+100+160+96+122+148+32+32+138+64+46+146+104+40</f>
        <v>1450</v>
      </c>
      <c r="D10" s="12">
        <v>128</v>
      </c>
      <c r="E10" s="12">
        <v>0</v>
      </c>
      <c r="F10" s="12">
        <v>0</v>
      </c>
      <c r="G10" s="12">
        <v>0</v>
      </c>
      <c r="H10" s="12">
        <v>256</v>
      </c>
      <c r="I10" s="12">
        <v>0</v>
      </c>
      <c r="J10" s="12">
        <v>0</v>
      </c>
      <c r="K10" s="13">
        <f>SUM(B10:J10)</f>
        <v>2120</v>
      </c>
      <c r="L10" s="9"/>
      <c r="M10" s="12">
        <v>2120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742</v>
      </c>
      <c r="C11" s="20">
        <f t="shared" si="2"/>
        <v>4692</v>
      </c>
      <c r="D11" s="20">
        <f t="shared" si="2"/>
        <v>426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1280</v>
      </c>
      <c r="I11" s="20">
        <f t="shared" si="2"/>
        <v>44</v>
      </c>
      <c r="J11" s="20">
        <f t="shared" si="2"/>
        <v>0</v>
      </c>
      <c r="K11" s="20">
        <f t="shared" si="2"/>
        <v>7184</v>
      </c>
      <c r="L11" s="21"/>
      <c r="M11" s="20">
        <v>0</v>
      </c>
      <c r="N11" s="20">
        <f>SUM(N4:N10)</f>
        <v>160</v>
      </c>
      <c r="O11" s="20">
        <f>SUM(O4:O10)</f>
        <v>32</v>
      </c>
    </row>
    <row r="12" spans="1:15" ht="15.75" thickBot="1"/>
    <row r="13" spans="1:15" ht="17.25" thickBot="1">
      <c r="A13" s="53">
        <v>45937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7</v>
      </c>
      <c r="D16" s="25">
        <f t="shared" si="3"/>
        <v>350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4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742</v>
      </c>
    </row>
    <row r="24" spans="1:4">
      <c r="A24" t="s">
        <v>23</v>
      </c>
      <c r="D24" s="33">
        <f>2589+742</f>
        <v>3331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434D-F38B-47DE-8501-524BCC108505}">
  <dimension ref="A1:O24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45968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802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802</v>
      </c>
      <c r="L5" s="9"/>
      <c r="M5" s="12">
        <v>802</v>
      </c>
      <c r="N5" s="14">
        <f t="shared" si="0"/>
        <v>0</v>
      </c>
      <c r="O5" s="14">
        <f t="shared" si="1"/>
        <v>0</v>
      </c>
    </row>
    <row r="6" spans="1:15" ht="16.5">
      <c r="A6" s="16" t="s">
        <v>25</v>
      </c>
      <c r="B6" s="17">
        <v>309</v>
      </c>
      <c r="C6" s="11">
        <f>26+137+32+32+116+32+60+7+54+47+160+27+32+20+76+20+85+76+25+26+103+96+24+26+32+101+64+132+58+184+16+22+64+32</f>
        <v>2044</v>
      </c>
      <c r="D6" s="12">
        <v>96</v>
      </c>
      <c r="E6" s="12">
        <v>0</v>
      </c>
      <c r="F6" s="12">
        <v>0</v>
      </c>
      <c r="G6" s="12">
        <v>0</v>
      </c>
      <c r="H6" s="12">
        <v>704</v>
      </c>
      <c r="I6" s="12">
        <v>0</v>
      </c>
      <c r="J6" s="12">
        <v>0</v>
      </c>
      <c r="K6" s="13">
        <f>SUM(B6:J6)</f>
        <v>3153</v>
      </c>
      <c r="L6" s="9"/>
      <c r="M6" s="12">
        <v>3152</v>
      </c>
      <c r="N6" s="14">
        <f t="shared" si="0"/>
        <v>1</v>
      </c>
      <c r="O6" s="14">
        <f t="shared" si="1"/>
        <v>0</v>
      </c>
    </row>
    <row r="7" spans="1:15" ht="16.5">
      <c r="A7" s="16" t="s">
        <v>26</v>
      </c>
      <c r="B7" s="17">
        <v>181</v>
      </c>
      <c r="C7" s="11">
        <f>40+40+162+7+15+64+128+61+32+2+59+7</f>
        <v>617</v>
      </c>
      <c r="D7" s="12">
        <v>128</v>
      </c>
      <c r="E7" s="12">
        <v>0</v>
      </c>
      <c r="F7" s="12">
        <v>0</v>
      </c>
      <c r="G7" s="12">
        <v>0</v>
      </c>
      <c r="H7" s="12">
        <v>128</v>
      </c>
      <c r="I7" s="12">
        <v>0</v>
      </c>
      <c r="J7" s="12">
        <v>0</v>
      </c>
      <c r="K7" s="13">
        <f>SUM(B7:J7)</f>
        <v>1054</v>
      </c>
      <c r="L7" s="9"/>
      <c r="M7" s="12">
        <v>1054</v>
      </c>
      <c r="N7" s="14">
        <f t="shared" si="0"/>
        <v>0</v>
      </c>
      <c r="O7" s="14">
        <f t="shared" si="1"/>
        <v>0</v>
      </c>
    </row>
    <row r="8" spans="1:15" ht="16.5" hidden="1">
      <c r="A8" s="16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s="16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>
      <c r="A10" s="16" t="s">
        <v>24</v>
      </c>
      <c r="B10" s="17">
        <v>210</v>
      </c>
      <c r="C10" s="11">
        <f>84+8+20+32+40+32+32+29+29+32+32+32+20+87+110+118+64+38+109+20+128+58+32+20+32+50+92+90</f>
        <v>1470</v>
      </c>
      <c r="D10" s="12">
        <v>254</v>
      </c>
      <c r="E10" s="12">
        <v>0</v>
      </c>
      <c r="F10" s="12">
        <v>0</v>
      </c>
      <c r="G10" s="12">
        <v>0</v>
      </c>
      <c r="H10" s="12">
        <v>416</v>
      </c>
      <c r="I10" s="12">
        <v>0</v>
      </c>
      <c r="J10" s="12">
        <v>0</v>
      </c>
      <c r="K10" s="13">
        <f>SUM(B10:J10)</f>
        <v>2350</v>
      </c>
      <c r="L10" s="9"/>
      <c r="M10" s="12">
        <v>2350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700</v>
      </c>
      <c r="C11" s="20">
        <f t="shared" si="2"/>
        <v>4131</v>
      </c>
      <c r="D11" s="20">
        <f t="shared" si="2"/>
        <v>1280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1248</v>
      </c>
      <c r="I11" s="20">
        <f t="shared" si="2"/>
        <v>0</v>
      </c>
      <c r="J11" s="20">
        <f t="shared" si="2"/>
        <v>0</v>
      </c>
      <c r="K11" s="20">
        <f t="shared" si="2"/>
        <v>7359</v>
      </c>
      <c r="L11" s="21"/>
      <c r="M11" s="20">
        <v>0</v>
      </c>
      <c r="N11" s="20">
        <f>SUM(N4:N10)</f>
        <v>1</v>
      </c>
      <c r="O11" s="20">
        <f>SUM(O4:O10)</f>
        <v>0</v>
      </c>
    </row>
    <row r="12" spans="1:15" ht="15.75" thickBot="1"/>
    <row r="13" spans="1:15" ht="17.25" thickBot="1">
      <c r="A13" s="53">
        <v>45968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700</v>
      </c>
    </row>
    <row r="24" spans="1:4">
      <c r="A24" t="s">
        <v>23</v>
      </c>
      <c r="D24" s="33">
        <f>3331+700</f>
        <v>4031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B322-0437-46B6-AF8C-F9B7DC77257D}">
  <dimension ref="A1:O24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45998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9"/>
      <c r="M3" s="6" t="s">
        <v>13</v>
      </c>
      <c r="N3" s="6" t="s">
        <v>14</v>
      </c>
      <c r="O3" s="6" t="s">
        <v>15</v>
      </c>
    </row>
    <row r="4" spans="1:15" ht="16.5">
      <c r="A4" s="10" t="s">
        <v>16</v>
      </c>
      <c r="B4" s="11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3">
        <f>SUM(C4:J4)</f>
        <v>0</v>
      </c>
      <c r="L4" s="9"/>
      <c r="M4" s="12">
        <v>0</v>
      </c>
      <c r="N4" s="14">
        <f t="shared" ref="N4:N10" si="0">IF(K4&gt;M4,K4-M4,0)</f>
        <v>0</v>
      </c>
      <c r="O4" s="14">
        <f t="shared" ref="O4:O10" si="1">IF(M4&gt;K4,M4-K4,0)</f>
        <v>0</v>
      </c>
    </row>
    <row r="5" spans="1:15" ht="16.5">
      <c r="A5" s="10" t="s">
        <v>17</v>
      </c>
      <c r="B5" s="15">
        <v>0</v>
      </c>
      <c r="C5" s="12">
        <v>0</v>
      </c>
      <c r="D5" s="12">
        <v>32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3">
        <f>SUM(C5:J5)</f>
        <v>32</v>
      </c>
      <c r="L5" s="9"/>
      <c r="M5" s="12">
        <v>32</v>
      </c>
      <c r="N5" s="14">
        <f t="shared" si="0"/>
        <v>0</v>
      </c>
      <c r="O5" s="14">
        <f t="shared" si="1"/>
        <v>0</v>
      </c>
    </row>
    <row r="6" spans="1:15" ht="16.5">
      <c r="A6" t="s">
        <v>24</v>
      </c>
      <c r="B6" s="17">
        <v>283</v>
      </c>
      <c r="C6" s="11">
        <f>64+30+26+70+96+84+57+20+26+58+20+20+20+20+162+48+52+32+32+64+24+24+24+169+169+40+120+270+196+64+246+20+24+44+12+70+26+24+42</f>
        <v>2609</v>
      </c>
      <c r="D6" s="12">
        <v>64</v>
      </c>
      <c r="E6" s="12">
        <v>0</v>
      </c>
      <c r="F6" s="12">
        <v>0</v>
      </c>
      <c r="G6" s="12">
        <v>0</v>
      </c>
      <c r="H6" s="12">
        <v>352</v>
      </c>
      <c r="I6" s="12">
        <v>26</v>
      </c>
      <c r="J6" s="12">
        <v>0</v>
      </c>
      <c r="K6" s="13">
        <f>SUM(B6:J6)</f>
        <v>3334</v>
      </c>
      <c r="L6" s="9"/>
      <c r="M6" s="12">
        <v>3334</v>
      </c>
      <c r="N6" s="14">
        <f t="shared" si="0"/>
        <v>0</v>
      </c>
      <c r="O6" s="14">
        <f t="shared" si="1"/>
        <v>0</v>
      </c>
    </row>
    <row r="7" spans="1:15" ht="16.5">
      <c r="A7" t="s">
        <v>18</v>
      </c>
      <c r="B7" s="17">
        <v>237</v>
      </c>
      <c r="C7" s="11">
        <f>32+26+32+70+62+64+38+104</f>
        <v>428</v>
      </c>
      <c r="D7" s="12">
        <v>116</v>
      </c>
      <c r="E7" s="12">
        <v>0</v>
      </c>
      <c r="F7" s="12">
        <v>0</v>
      </c>
      <c r="G7" s="12">
        <v>0</v>
      </c>
      <c r="H7" s="12">
        <v>96</v>
      </c>
      <c r="I7" s="12">
        <v>56</v>
      </c>
      <c r="J7" s="12">
        <v>0</v>
      </c>
      <c r="K7" s="13">
        <f>SUM(B7:J7)</f>
        <v>933</v>
      </c>
      <c r="L7" s="9"/>
      <c r="M7" s="12">
        <v>933</v>
      </c>
      <c r="N7" s="14">
        <f t="shared" si="0"/>
        <v>0</v>
      </c>
      <c r="O7" s="14">
        <f t="shared" si="1"/>
        <v>0</v>
      </c>
    </row>
    <row r="8" spans="1:15" ht="16.5" hidden="1">
      <c r="A8" s="16" t="s">
        <v>18</v>
      </c>
      <c r="B8" s="17">
        <v>0</v>
      </c>
      <c r="C8" s="11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f>SUM(B8:J8)</f>
        <v>0</v>
      </c>
      <c r="L8" s="9"/>
      <c r="M8" s="12">
        <v>0</v>
      </c>
      <c r="N8" s="14">
        <f t="shared" si="0"/>
        <v>0</v>
      </c>
      <c r="O8" s="14">
        <f t="shared" si="1"/>
        <v>0</v>
      </c>
    </row>
    <row r="9" spans="1:15" ht="16.5" hidden="1">
      <c r="A9" s="16" t="s">
        <v>28</v>
      </c>
      <c r="B9" s="17">
        <v>0</v>
      </c>
      <c r="C9" s="11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f>SUM(B9:J9)</f>
        <v>0</v>
      </c>
      <c r="L9" s="9"/>
      <c r="M9" s="12">
        <v>0</v>
      </c>
      <c r="N9" s="14">
        <f t="shared" si="0"/>
        <v>0</v>
      </c>
      <c r="O9" s="14">
        <f t="shared" si="1"/>
        <v>0</v>
      </c>
    </row>
    <row r="10" spans="1:15" ht="16.5" hidden="1">
      <c r="A10" s="16" t="s">
        <v>24</v>
      </c>
      <c r="B10" s="17">
        <v>0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f>SUM(B10:J10)</f>
        <v>0</v>
      </c>
      <c r="L10" s="9"/>
      <c r="M10" s="12">
        <v>0</v>
      </c>
      <c r="N10" s="14">
        <f t="shared" si="0"/>
        <v>0</v>
      </c>
      <c r="O10" s="14">
        <f t="shared" si="1"/>
        <v>0</v>
      </c>
    </row>
    <row r="11" spans="1:15" ht="16.5">
      <c r="A11" s="18"/>
      <c r="B11" s="19">
        <f t="shared" ref="B11:K11" si="2">SUM(B4:B10)</f>
        <v>520</v>
      </c>
      <c r="C11" s="20">
        <f t="shared" si="2"/>
        <v>3037</v>
      </c>
      <c r="D11" s="20">
        <f t="shared" si="2"/>
        <v>212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448</v>
      </c>
      <c r="I11" s="20">
        <f t="shared" si="2"/>
        <v>82</v>
      </c>
      <c r="J11" s="20">
        <f t="shared" si="2"/>
        <v>0</v>
      </c>
      <c r="K11" s="20">
        <f t="shared" si="2"/>
        <v>4299</v>
      </c>
      <c r="L11" s="21"/>
      <c r="M11" s="20">
        <v>0</v>
      </c>
      <c r="N11" s="20">
        <f>SUM(N4:N10)</f>
        <v>0</v>
      </c>
      <c r="O11" s="20">
        <f>SUM(O4:O10)</f>
        <v>0</v>
      </c>
    </row>
    <row r="12" spans="1:15" ht="15.75" thickBot="1">
      <c r="A12" s="34" t="s">
        <v>29</v>
      </c>
    </row>
    <row r="13" spans="1:15" ht="17.25" thickBot="1">
      <c r="A13" s="53">
        <v>45998</v>
      </c>
      <c r="B13" s="54"/>
      <c r="C13" s="54"/>
      <c r="D13" s="54"/>
      <c r="K13" s="53" t="s">
        <v>32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1</v>
      </c>
      <c r="N14" s="25">
        <f t="shared" ref="N14:N19" si="4">K14*M14</f>
        <v>500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  <c r="K15" s="26">
        <v>100</v>
      </c>
      <c r="L15" s="23" t="s">
        <v>20</v>
      </c>
      <c r="M15" s="24">
        <v>25</v>
      </c>
      <c r="N15" s="25">
        <f t="shared" si="4"/>
        <v>2500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  <c r="K16" s="26">
        <v>50</v>
      </c>
      <c r="L16" s="23" t="s">
        <v>20</v>
      </c>
      <c r="M16" s="24">
        <v>30</v>
      </c>
      <c r="N16" s="25">
        <f t="shared" si="4"/>
        <v>1500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6</v>
      </c>
      <c r="D18" s="25">
        <f t="shared" si="3"/>
        <v>60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11</v>
      </c>
      <c r="D19" s="25">
        <f t="shared" si="3"/>
        <v>55</v>
      </c>
      <c r="K19" s="26">
        <v>5</v>
      </c>
      <c r="L19" s="23" t="s">
        <v>20</v>
      </c>
      <c r="M19" s="24">
        <v>9</v>
      </c>
      <c r="N19" s="25">
        <f t="shared" si="4"/>
        <v>45</v>
      </c>
    </row>
    <row r="20" spans="1:14" ht="16.5">
      <c r="A20" s="27" t="s">
        <v>21</v>
      </c>
      <c r="B20" s="23" t="s">
        <v>20</v>
      </c>
      <c r="C20" s="24">
        <v>5</v>
      </c>
      <c r="D20" s="25">
        <f>+C20*1</f>
        <v>5</v>
      </c>
      <c r="K20" s="27" t="s">
        <v>21</v>
      </c>
      <c r="L20" s="23" t="s">
        <v>20</v>
      </c>
      <c r="M20" s="24">
        <v>6</v>
      </c>
      <c r="N20" s="25">
        <f>+M20*1</f>
        <v>6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520</v>
      </c>
      <c r="K22" s="29" t="s">
        <v>22</v>
      </c>
      <c r="L22" s="30"/>
      <c r="M22" s="31">
        <v>0</v>
      </c>
      <c r="N22" s="32">
        <f>SUM(N14:N21)</f>
        <v>4551</v>
      </c>
    </row>
    <row r="24" spans="1:14">
      <c r="A24" t="s">
        <v>23</v>
      </c>
      <c r="D24" s="33">
        <f>4031+520</f>
        <v>4551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04B2-9DFC-4682-8F53-FBBA77955BA2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631</v>
      </c>
      <c r="C6" s="17">
        <v>1327</v>
      </c>
      <c r="D6" s="17">
        <v>0</v>
      </c>
      <c r="E6" s="17">
        <v>32</v>
      </c>
      <c r="F6" s="17">
        <v>0</v>
      </c>
      <c r="G6" s="17">
        <v>0</v>
      </c>
      <c r="H6" s="17">
        <v>288</v>
      </c>
      <c r="I6" s="17">
        <v>0</v>
      </c>
      <c r="J6" s="17">
        <v>0</v>
      </c>
      <c r="K6" s="38">
        <f>SUM(B6:J6)</f>
        <v>2278</v>
      </c>
      <c r="L6" s="39"/>
      <c r="M6" s="17">
        <v>2278</v>
      </c>
      <c r="N6" s="40">
        <f t="shared" si="0"/>
        <v>0</v>
      </c>
      <c r="O6" s="40">
        <f t="shared" si="1"/>
        <v>0</v>
      </c>
    </row>
    <row r="7" spans="1:15" ht="16.5">
      <c r="A7" s="16" t="s">
        <v>19</v>
      </c>
      <c r="B7" s="17">
        <v>0</v>
      </c>
      <c r="C7" s="17">
        <f>80+80</f>
        <v>160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160</v>
      </c>
      <c r="L7" s="39"/>
      <c r="M7" s="17">
        <v>160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631</v>
      </c>
      <c r="C11" s="42">
        <f t="shared" si="2"/>
        <v>1487</v>
      </c>
      <c r="D11" s="42">
        <f t="shared" si="2"/>
        <v>0</v>
      </c>
      <c r="E11" s="42">
        <f t="shared" si="2"/>
        <v>32</v>
      </c>
      <c r="F11" s="42">
        <f t="shared" si="2"/>
        <v>0</v>
      </c>
      <c r="G11" s="42">
        <f t="shared" si="2"/>
        <v>0</v>
      </c>
      <c r="H11" s="42">
        <f t="shared" si="2"/>
        <v>288</v>
      </c>
      <c r="I11" s="42">
        <f t="shared" si="2"/>
        <v>0</v>
      </c>
      <c r="J11" s="42">
        <f t="shared" si="2"/>
        <v>0</v>
      </c>
      <c r="K11" s="42">
        <f t="shared" si="2"/>
        <v>2438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33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631</v>
      </c>
    </row>
    <row r="24" spans="1:4">
      <c r="A24" t="s">
        <v>23</v>
      </c>
      <c r="D24" s="33">
        <v>631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2899-EE58-4B41-9500-E79C209278CB}">
  <dimension ref="A1:O24"/>
  <sheetViews>
    <sheetView workbookViewId="0">
      <selection activeCell="K30" sqref="K3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112</v>
      </c>
      <c r="N4" s="40">
        <f t="shared" ref="N4:N10" si="0">IF(K4&gt;M4,K4-M4,0)</f>
        <v>0</v>
      </c>
      <c r="O4" s="40">
        <f t="shared" ref="O4:O10" si="1">IF(M4&gt;K4,M4-K4,0)</f>
        <v>112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31</v>
      </c>
      <c r="B6" s="17">
        <v>0</v>
      </c>
      <c r="C6" s="17">
        <f>70+64+32+32+32+52+115+12</f>
        <v>409</v>
      </c>
      <c r="D6" s="17">
        <v>0</v>
      </c>
      <c r="E6" s="17">
        <v>0</v>
      </c>
      <c r="F6" s="17">
        <v>0</v>
      </c>
      <c r="G6" s="17">
        <v>0</v>
      </c>
      <c r="H6" s="17">
        <v>96</v>
      </c>
      <c r="I6" s="17">
        <v>0</v>
      </c>
      <c r="J6" s="17">
        <v>0</v>
      </c>
      <c r="K6" s="38">
        <f>SUM(B6:J6)</f>
        <v>505</v>
      </c>
      <c r="L6" s="39"/>
      <c r="M6" s="17">
        <v>505</v>
      </c>
      <c r="N6" s="40">
        <f t="shared" si="0"/>
        <v>0</v>
      </c>
      <c r="O6" s="40">
        <f t="shared" si="1"/>
        <v>0</v>
      </c>
    </row>
    <row r="7" spans="1:15" ht="16.5">
      <c r="A7" s="16" t="s">
        <v>18</v>
      </c>
      <c r="B7" s="17">
        <v>783</v>
      </c>
      <c r="C7" s="17">
        <f>64+20+96+8+64+53+160+40+32+16+90+121+96+12+100+20+63+47+96+32+40+121+160+20+20+40+48+96+2+18+64+26+7+32+32+26+32+64+86+32+229+32+64+32+36+32+27+13+104+82+52+20+2+92+32+26+20</f>
        <v>3091</v>
      </c>
      <c r="D7" s="17">
        <v>0</v>
      </c>
      <c r="E7" s="17">
        <v>32</v>
      </c>
      <c r="F7" s="17">
        <v>0</v>
      </c>
      <c r="G7" s="17">
        <v>0</v>
      </c>
      <c r="H7" s="17">
        <v>1088</v>
      </c>
      <c r="I7" s="17">
        <v>0</v>
      </c>
      <c r="J7" s="17">
        <v>0</v>
      </c>
      <c r="K7" s="38">
        <f>SUM(B7:J7)</f>
        <v>4994</v>
      </c>
      <c r="L7" s="39"/>
      <c r="M7" s="17">
        <v>4962</v>
      </c>
      <c r="N7" s="40">
        <f t="shared" si="0"/>
        <v>32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783</v>
      </c>
      <c r="C11" s="42">
        <f t="shared" si="2"/>
        <v>3500</v>
      </c>
      <c r="D11" s="42">
        <f t="shared" si="2"/>
        <v>0</v>
      </c>
      <c r="E11" s="42">
        <f t="shared" si="2"/>
        <v>32</v>
      </c>
      <c r="F11" s="42">
        <f t="shared" si="2"/>
        <v>0</v>
      </c>
      <c r="G11" s="42">
        <f t="shared" si="2"/>
        <v>0</v>
      </c>
      <c r="H11" s="42">
        <f t="shared" si="2"/>
        <v>1184</v>
      </c>
      <c r="I11" s="42">
        <f t="shared" si="2"/>
        <v>0</v>
      </c>
      <c r="J11" s="42">
        <f t="shared" si="2"/>
        <v>0</v>
      </c>
      <c r="K11" s="42">
        <f t="shared" si="2"/>
        <v>5499</v>
      </c>
      <c r="L11" s="43"/>
      <c r="M11" s="42">
        <v>0</v>
      </c>
      <c r="N11" s="42">
        <f>SUM(N4:N10)</f>
        <v>32</v>
      </c>
      <c r="O11" s="42">
        <f>SUM(O4:O10)</f>
        <v>112</v>
      </c>
    </row>
    <row r="12" spans="1:15" ht="15.75" thickBot="1"/>
    <row r="13" spans="1:15" ht="17.25" thickBot="1">
      <c r="A13" s="53" t="s">
        <v>34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7</v>
      </c>
      <c r="D16" s="25">
        <f t="shared" si="3"/>
        <v>350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783</v>
      </c>
    </row>
    <row r="24" spans="1:4">
      <c r="A24" t="s">
        <v>23</v>
      </c>
      <c r="D24" s="33">
        <f>631+783</f>
        <v>1414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888C-F1CB-4D05-B2ED-7DC67A2B7020}">
  <dimension ref="A1:O24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152</v>
      </c>
      <c r="N4" s="40">
        <f t="shared" ref="N4:N10" si="0">IF(K4&gt;M4,K4-M4,0)</f>
        <v>0</v>
      </c>
      <c r="O4" s="40">
        <f t="shared" ref="O4:O10" si="1">IF(M4&gt;K4,M4-K4,0)</f>
        <v>152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24</v>
      </c>
      <c r="B6" s="17">
        <v>621</v>
      </c>
      <c r="C6" s="17">
        <v>1680</v>
      </c>
      <c r="D6" s="17">
        <v>0</v>
      </c>
      <c r="E6" s="17">
        <v>0</v>
      </c>
      <c r="F6" s="17">
        <v>0</v>
      </c>
      <c r="G6" s="17">
        <v>0</v>
      </c>
      <c r="H6" s="17">
        <v>928</v>
      </c>
      <c r="I6" s="17">
        <v>0</v>
      </c>
      <c r="J6" s="17">
        <v>0</v>
      </c>
      <c r="K6" s="38">
        <f>SUM(B6:J6)</f>
        <v>3229</v>
      </c>
      <c r="L6" s="39"/>
      <c r="M6" s="17">
        <v>3229</v>
      </c>
      <c r="N6" s="40">
        <f t="shared" si="0"/>
        <v>0</v>
      </c>
      <c r="O6" s="40">
        <f t="shared" si="1"/>
        <v>0</v>
      </c>
    </row>
    <row r="7" spans="1:15" ht="16.5">
      <c r="A7" s="16" t="s">
        <v>27</v>
      </c>
      <c r="B7" s="17">
        <v>0</v>
      </c>
      <c r="C7" s="17">
        <v>212</v>
      </c>
      <c r="D7" s="17">
        <v>0</v>
      </c>
      <c r="E7" s="17">
        <v>0</v>
      </c>
      <c r="F7" s="17">
        <v>0</v>
      </c>
      <c r="G7" s="17">
        <v>0</v>
      </c>
      <c r="H7" s="17">
        <v>32</v>
      </c>
      <c r="I7" s="17">
        <v>0</v>
      </c>
      <c r="J7" s="17">
        <v>0</v>
      </c>
      <c r="K7" s="38">
        <f>SUM(B7:J7)</f>
        <v>244</v>
      </c>
      <c r="L7" s="39"/>
      <c r="M7" s="17">
        <v>244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621</v>
      </c>
      <c r="C11" s="42">
        <f t="shared" si="2"/>
        <v>1892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960</v>
      </c>
      <c r="I11" s="42">
        <f t="shared" si="2"/>
        <v>0</v>
      </c>
      <c r="J11" s="42">
        <f t="shared" si="2"/>
        <v>0</v>
      </c>
      <c r="K11" s="42">
        <f t="shared" si="2"/>
        <v>3473</v>
      </c>
      <c r="L11" s="43"/>
      <c r="M11" s="42">
        <v>0</v>
      </c>
      <c r="N11" s="42">
        <f>SUM(N4:N10)</f>
        <v>0</v>
      </c>
      <c r="O11" s="42">
        <f>SUM(O4:O10)</f>
        <v>152</v>
      </c>
    </row>
    <row r="12" spans="1:15" ht="15.75" thickBot="1"/>
    <row r="13" spans="1:15" ht="17.25" thickBot="1">
      <c r="A13" s="53" t="s">
        <v>35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4" ht="16.5">
      <c r="A17" s="26">
        <v>20</v>
      </c>
      <c r="B17" s="23" t="s">
        <v>20</v>
      </c>
      <c r="C17" s="24"/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32</v>
      </c>
      <c r="D19" s="25">
        <f t="shared" si="3"/>
        <v>160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621</v>
      </c>
    </row>
    <row r="24" spans="1:4">
      <c r="A24" t="s">
        <v>23</v>
      </c>
      <c r="D24" s="33">
        <f>631+783+621</f>
        <v>2035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2EA4-DC70-481A-BBE9-D864AB89E37A}">
  <dimension ref="A1:O24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144</v>
      </c>
      <c r="N4" s="40">
        <f t="shared" ref="N4:N10" si="0">IF(K4&gt;M4,K4-M4,0)</f>
        <v>0</v>
      </c>
      <c r="O4" s="40">
        <f t="shared" ref="O4:O10" si="1">IF(M4&gt;K4,M4-K4,0)</f>
        <v>144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31</v>
      </c>
      <c r="B6" s="17">
        <v>233</v>
      </c>
      <c r="C6" s="17">
        <v>946</v>
      </c>
      <c r="D6" s="17">
        <v>0</v>
      </c>
      <c r="E6" s="17">
        <v>382</v>
      </c>
      <c r="F6" s="17">
        <v>0</v>
      </c>
      <c r="G6" s="17">
        <v>0</v>
      </c>
      <c r="H6" s="17">
        <v>352</v>
      </c>
      <c r="I6" s="17">
        <v>0</v>
      </c>
      <c r="J6" s="17">
        <v>0</v>
      </c>
      <c r="K6" s="38">
        <f>SUM(B6:J6)</f>
        <v>1913</v>
      </c>
      <c r="L6" s="39"/>
      <c r="M6" s="17">
        <v>1988</v>
      </c>
      <c r="N6" s="40">
        <f t="shared" si="0"/>
        <v>0</v>
      </c>
      <c r="O6" s="40">
        <f t="shared" si="1"/>
        <v>75</v>
      </c>
    </row>
    <row r="7" spans="1:15" ht="15.75" customHeight="1">
      <c r="A7" s="16" t="s">
        <v>19</v>
      </c>
      <c r="B7" s="17">
        <v>274</v>
      </c>
      <c r="C7" s="17">
        <v>1553</v>
      </c>
      <c r="D7" s="17">
        <v>0</v>
      </c>
      <c r="E7" s="17">
        <v>336</v>
      </c>
      <c r="F7" s="17">
        <v>0</v>
      </c>
      <c r="G7" s="17">
        <v>0</v>
      </c>
      <c r="H7" s="17">
        <v>480</v>
      </c>
      <c r="I7" s="17">
        <v>0</v>
      </c>
      <c r="J7" s="17">
        <v>0</v>
      </c>
      <c r="K7" s="38">
        <f>SUM(B7:J7)</f>
        <v>2643</v>
      </c>
      <c r="L7" s="39"/>
      <c r="M7" s="17">
        <v>2577</v>
      </c>
      <c r="N7" s="40">
        <f t="shared" si="0"/>
        <v>66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customHeight="1">
      <c r="A10" t="s">
        <v>39</v>
      </c>
      <c r="B10" s="17">
        <v>0</v>
      </c>
      <c r="C10" s="17">
        <v>393</v>
      </c>
      <c r="D10" s="17">
        <v>0</v>
      </c>
      <c r="E10" s="17">
        <v>96</v>
      </c>
      <c r="F10" s="17">
        <v>0</v>
      </c>
      <c r="G10" s="17">
        <v>0</v>
      </c>
      <c r="H10" s="17">
        <v>64</v>
      </c>
      <c r="I10" s="17">
        <v>0</v>
      </c>
      <c r="J10" s="17">
        <v>0</v>
      </c>
      <c r="K10" s="38">
        <f>SUM(B10:J10)</f>
        <v>553</v>
      </c>
      <c r="L10" s="39"/>
      <c r="M10" s="17">
        <v>553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507</v>
      </c>
      <c r="C11" s="42">
        <f t="shared" si="2"/>
        <v>2892</v>
      </c>
      <c r="D11" s="42">
        <f t="shared" si="2"/>
        <v>0</v>
      </c>
      <c r="E11" s="42">
        <f t="shared" si="2"/>
        <v>814</v>
      </c>
      <c r="F11" s="42">
        <f t="shared" si="2"/>
        <v>0</v>
      </c>
      <c r="G11" s="42">
        <f t="shared" si="2"/>
        <v>0</v>
      </c>
      <c r="H11" s="42">
        <f t="shared" si="2"/>
        <v>896</v>
      </c>
      <c r="I11" s="42">
        <f t="shared" si="2"/>
        <v>0</v>
      </c>
      <c r="J11" s="42">
        <f t="shared" si="2"/>
        <v>0</v>
      </c>
      <c r="K11" s="42">
        <f t="shared" si="2"/>
        <v>5109</v>
      </c>
      <c r="L11" s="43"/>
      <c r="M11" s="42">
        <v>0</v>
      </c>
      <c r="N11" s="42">
        <f>SUM(N4:N10)</f>
        <v>66</v>
      </c>
      <c r="O11" s="42">
        <f>SUM(O4:O10)</f>
        <v>219</v>
      </c>
    </row>
    <row r="12" spans="1:15" ht="15.75" thickBot="1"/>
    <row r="13" spans="1:15" ht="17.25" thickBot="1">
      <c r="A13" s="53" t="s">
        <v>36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5</v>
      </c>
      <c r="D18" s="25">
        <f t="shared" si="3"/>
        <v>50</v>
      </c>
    </row>
    <row r="19" spans="1:4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4" ht="16.5">
      <c r="A20" s="27" t="s">
        <v>21</v>
      </c>
      <c r="B20" s="23" t="s">
        <v>20</v>
      </c>
      <c r="C20" s="24">
        <v>7</v>
      </c>
      <c r="D20" s="25">
        <f>+C20*1</f>
        <v>7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507</v>
      </c>
    </row>
    <row r="24" spans="1:4">
      <c r="A24" t="s">
        <v>23</v>
      </c>
      <c r="D24" s="33">
        <f>631+783+621+506</f>
        <v>2541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9671C-6B15-4605-8B48-476B42398259}">
  <dimension ref="A1:O24"/>
  <sheetViews>
    <sheetView workbookViewId="0">
      <selection activeCell="O15" sqref="O1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410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410</v>
      </c>
      <c r="L5" s="39"/>
      <c r="M5" s="17">
        <v>410</v>
      </c>
      <c r="N5" s="40">
        <f t="shared" si="0"/>
        <v>0</v>
      </c>
      <c r="O5" s="40">
        <f t="shared" si="1"/>
        <v>0</v>
      </c>
    </row>
    <row r="6" spans="1:15" ht="16.5" customHeight="1">
      <c r="A6" s="16" t="s">
        <v>27</v>
      </c>
      <c r="B6" s="17">
        <v>381</v>
      </c>
      <c r="C6" s="17">
        <v>1236</v>
      </c>
      <c r="D6" s="17">
        <v>0</v>
      </c>
      <c r="E6" s="17">
        <v>200</v>
      </c>
      <c r="F6" s="17">
        <v>0</v>
      </c>
      <c r="G6" s="17">
        <v>42</v>
      </c>
      <c r="H6" s="17">
        <v>350</v>
      </c>
      <c r="I6" s="17">
        <v>0</v>
      </c>
      <c r="J6" s="17">
        <v>0</v>
      </c>
      <c r="K6" s="38">
        <f>SUM(B6:J6)</f>
        <v>2209</v>
      </c>
      <c r="L6" s="39"/>
      <c r="M6" s="17">
        <v>2213.86</v>
      </c>
      <c r="N6" s="40">
        <f t="shared" si="0"/>
        <v>0</v>
      </c>
      <c r="O6" s="40">
        <f t="shared" si="1"/>
        <v>4.8600000000001273</v>
      </c>
    </row>
    <row r="7" spans="1:15" ht="16.5">
      <c r="A7" s="16" t="s">
        <v>18</v>
      </c>
      <c r="B7" s="17">
        <v>222</v>
      </c>
      <c r="C7" s="17">
        <v>1018</v>
      </c>
      <c r="D7" s="17">
        <v>0</v>
      </c>
      <c r="E7" s="17">
        <v>427</v>
      </c>
      <c r="F7" s="17">
        <v>0</v>
      </c>
      <c r="G7" s="17">
        <v>0</v>
      </c>
      <c r="H7" s="17">
        <v>325</v>
      </c>
      <c r="I7" s="17">
        <v>0</v>
      </c>
      <c r="J7" s="17">
        <v>0</v>
      </c>
      <c r="K7" s="38">
        <f>SUM(B7:J7)</f>
        <v>1992</v>
      </c>
      <c r="L7" s="39"/>
      <c r="M7" s="17">
        <v>1908</v>
      </c>
      <c r="N7" s="40">
        <f t="shared" si="0"/>
        <v>84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8.75" hidden="1" customHeight="1">
      <c r="A9" s="16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8" customHeight="1">
      <c r="A10" s="16" t="s">
        <v>26</v>
      </c>
      <c r="B10" s="17">
        <v>145</v>
      </c>
      <c r="C10" s="17">
        <v>885</v>
      </c>
      <c r="D10" s="17">
        <v>0</v>
      </c>
      <c r="E10" s="17">
        <v>25</v>
      </c>
      <c r="F10" s="17">
        <v>0</v>
      </c>
      <c r="G10" s="17">
        <v>0</v>
      </c>
      <c r="H10" s="17">
        <v>200</v>
      </c>
      <c r="I10" s="17">
        <v>0</v>
      </c>
      <c r="J10" s="17">
        <v>0</v>
      </c>
      <c r="K10" s="38">
        <f>SUM(B10:J10)</f>
        <v>1255</v>
      </c>
      <c r="L10" s="39"/>
      <c r="M10" s="17">
        <v>1255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748</v>
      </c>
      <c r="C11" s="42">
        <f t="shared" si="2"/>
        <v>3139</v>
      </c>
      <c r="D11" s="42">
        <f t="shared" si="2"/>
        <v>410</v>
      </c>
      <c r="E11" s="42">
        <f t="shared" si="2"/>
        <v>652</v>
      </c>
      <c r="F11" s="42">
        <f t="shared" si="2"/>
        <v>0</v>
      </c>
      <c r="G11" s="42">
        <f t="shared" si="2"/>
        <v>42</v>
      </c>
      <c r="H11" s="42">
        <f t="shared" si="2"/>
        <v>875</v>
      </c>
      <c r="I11" s="42">
        <f t="shared" si="2"/>
        <v>0</v>
      </c>
      <c r="J11" s="42">
        <f t="shared" si="2"/>
        <v>0</v>
      </c>
      <c r="K11" s="42">
        <f t="shared" si="2"/>
        <v>5866</v>
      </c>
      <c r="L11" s="43"/>
      <c r="M11" s="42">
        <v>0</v>
      </c>
      <c r="N11" s="42">
        <f>SUM(N4:N10)</f>
        <v>84</v>
      </c>
      <c r="O11" s="42">
        <f>SUM(O4:O10)</f>
        <v>4.8600000000001273</v>
      </c>
    </row>
    <row r="12" spans="1:15" ht="15.75" thickBot="1"/>
    <row r="13" spans="1:15" ht="17.25" thickBot="1">
      <c r="A13" s="53" t="s">
        <v>37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11</v>
      </c>
      <c r="D18" s="25">
        <f t="shared" si="3"/>
        <v>110</v>
      </c>
    </row>
    <row r="19" spans="1:4" ht="16.5">
      <c r="A19" s="26">
        <v>5</v>
      </c>
      <c r="B19" s="23" t="s">
        <v>20</v>
      </c>
      <c r="C19" s="24">
        <v>23</v>
      </c>
      <c r="D19" s="25">
        <f t="shared" si="3"/>
        <v>115</v>
      </c>
    </row>
    <row r="20" spans="1:4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748</v>
      </c>
    </row>
    <row r="24" spans="1:4">
      <c r="A24" t="s">
        <v>23</v>
      </c>
      <c r="D24" s="33">
        <f>631+783+621+506+748</f>
        <v>3289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42C0-FBC5-408E-ADC0-022D2F3C8C3F}">
  <dimension ref="A1:O24"/>
  <sheetViews>
    <sheetView workbookViewId="0">
      <selection activeCell="L29" sqref="L29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168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168</v>
      </c>
      <c r="L5" s="39"/>
      <c r="M5" s="17">
        <v>168</v>
      </c>
      <c r="N5" s="40">
        <f t="shared" si="0"/>
        <v>0</v>
      </c>
      <c r="O5" s="40">
        <f t="shared" si="1"/>
        <v>0</v>
      </c>
    </row>
    <row r="6" spans="1:15" ht="16.5">
      <c r="A6" s="16" t="s">
        <v>31</v>
      </c>
      <c r="B6" s="17">
        <v>256</v>
      </c>
      <c r="C6" s="17">
        <f>110+59+63+50+20+170+25+25+101+162+26+1+20+25</f>
        <v>857</v>
      </c>
      <c r="D6" s="17">
        <v>0</v>
      </c>
      <c r="E6" s="17">
        <v>75</v>
      </c>
      <c r="F6" s="17">
        <v>0</v>
      </c>
      <c r="G6" s="17">
        <v>0</v>
      </c>
      <c r="H6" s="17">
        <v>75</v>
      </c>
      <c r="I6" s="17">
        <v>0</v>
      </c>
      <c r="J6" s="17">
        <v>0</v>
      </c>
      <c r="K6" s="38">
        <f>SUM(B6:J6)</f>
        <v>1263</v>
      </c>
      <c r="L6" s="39"/>
      <c r="M6" s="17">
        <v>1264</v>
      </c>
      <c r="N6" s="40">
        <f t="shared" si="0"/>
        <v>0</v>
      </c>
      <c r="O6" s="40">
        <f t="shared" si="1"/>
        <v>1</v>
      </c>
    </row>
    <row r="7" spans="1:15" ht="16.5">
      <c r="A7" s="16" t="s">
        <v>24</v>
      </c>
      <c r="B7" s="17">
        <v>220</v>
      </c>
      <c r="C7" s="17">
        <f>27+24+100+20+25+25+51+90+20+38+40+25+26+25+25+25+24+160+42+20+25+139+120+155+58+100+50</f>
        <v>1479</v>
      </c>
      <c r="D7" s="17">
        <v>0</v>
      </c>
      <c r="E7" s="17">
        <v>126</v>
      </c>
      <c r="F7" s="17">
        <v>0</v>
      </c>
      <c r="G7" s="17">
        <v>0</v>
      </c>
      <c r="H7" s="17">
        <v>400</v>
      </c>
      <c r="I7" s="17">
        <v>0</v>
      </c>
      <c r="J7" s="17">
        <v>0</v>
      </c>
      <c r="K7" s="38">
        <f>SUM(B7:J7)</f>
        <v>2225</v>
      </c>
      <c r="L7" s="39"/>
      <c r="M7" s="17">
        <v>2225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26</v>
      </c>
      <c r="B10" s="17">
        <v>490</v>
      </c>
      <c r="C10" s="17">
        <v>1581</v>
      </c>
      <c r="D10" s="17">
        <v>0</v>
      </c>
      <c r="E10" s="17">
        <v>259</v>
      </c>
      <c r="F10" s="17">
        <v>0</v>
      </c>
      <c r="G10" s="17">
        <v>0</v>
      </c>
      <c r="H10" s="17">
        <v>275</v>
      </c>
      <c r="I10" s="17">
        <v>0</v>
      </c>
      <c r="J10" s="17">
        <v>0</v>
      </c>
      <c r="K10" s="38">
        <f>SUM(B10:J10)</f>
        <v>2605</v>
      </c>
      <c r="L10" s="39"/>
      <c r="M10" s="17">
        <v>2605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966</v>
      </c>
      <c r="C11" s="42">
        <f t="shared" si="2"/>
        <v>3917</v>
      </c>
      <c r="D11" s="42">
        <f t="shared" si="2"/>
        <v>168</v>
      </c>
      <c r="E11" s="42">
        <f t="shared" si="2"/>
        <v>460</v>
      </c>
      <c r="F11" s="42">
        <f t="shared" si="2"/>
        <v>0</v>
      </c>
      <c r="G11" s="42">
        <f t="shared" si="2"/>
        <v>0</v>
      </c>
      <c r="H11" s="42">
        <f t="shared" si="2"/>
        <v>750</v>
      </c>
      <c r="I11" s="42">
        <f t="shared" si="2"/>
        <v>0</v>
      </c>
      <c r="J11" s="42">
        <f t="shared" si="2"/>
        <v>0</v>
      </c>
      <c r="K11" s="42">
        <f t="shared" si="2"/>
        <v>6261</v>
      </c>
      <c r="L11" s="43"/>
      <c r="M11" s="42">
        <v>0</v>
      </c>
      <c r="N11" s="42">
        <f>SUM(N4:N10)</f>
        <v>0</v>
      </c>
      <c r="O11" s="42">
        <f>SUM(O4:O10)</f>
        <v>1</v>
      </c>
    </row>
    <row r="12" spans="1:15" ht="15.75" thickBot="1"/>
    <row r="13" spans="1:15" ht="17.25" thickBot="1">
      <c r="A13" s="53" t="s">
        <v>38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8</v>
      </c>
      <c r="D15" s="25">
        <f t="shared" si="3"/>
        <v>800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/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4" ht="16.5">
      <c r="A19" s="26">
        <v>5</v>
      </c>
      <c r="B19" s="23" t="s">
        <v>20</v>
      </c>
      <c r="C19" s="24">
        <v>5</v>
      </c>
      <c r="D19" s="25">
        <f t="shared" si="3"/>
        <v>25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966</v>
      </c>
    </row>
    <row r="24" spans="1:4">
      <c r="A24" t="s">
        <v>23</v>
      </c>
      <c r="D24" s="33">
        <f>631+783+621+506+748+966</f>
        <v>4255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0300-35C9-42AC-B7C8-DEAA479BD0B9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39</v>
      </c>
      <c r="B6" s="17">
        <v>314</v>
      </c>
      <c r="C6" s="17">
        <f>26+20+123+25+27+25+70+20+20+45+25+27+99+70+12+84+25+26</f>
        <v>769</v>
      </c>
      <c r="D6" s="17">
        <v>0</v>
      </c>
      <c r="E6" s="17">
        <v>75</v>
      </c>
      <c r="F6" s="17">
        <v>0</v>
      </c>
      <c r="G6" s="17">
        <v>0</v>
      </c>
      <c r="H6" s="17">
        <v>150</v>
      </c>
      <c r="I6" s="17">
        <v>0</v>
      </c>
      <c r="J6" s="17">
        <v>0</v>
      </c>
      <c r="K6" s="38">
        <f>SUM(B6:J6)</f>
        <v>1308</v>
      </c>
      <c r="L6" s="39"/>
      <c r="M6" s="17">
        <v>1308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279</v>
      </c>
      <c r="C7" s="17">
        <v>2065</v>
      </c>
      <c r="D7" s="17">
        <v>0</v>
      </c>
      <c r="E7" s="17">
        <v>0</v>
      </c>
      <c r="F7" s="17">
        <v>0</v>
      </c>
      <c r="G7" s="17">
        <v>0</v>
      </c>
      <c r="H7" s="17">
        <v>475</v>
      </c>
      <c r="I7" s="17">
        <v>0</v>
      </c>
      <c r="J7" s="17">
        <v>0</v>
      </c>
      <c r="K7" s="38">
        <f>SUM(B7:J7)</f>
        <v>2819</v>
      </c>
      <c r="L7" s="39"/>
      <c r="M7" s="17">
        <v>2819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593</v>
      </c>
      <c r="C11" s="42">
        <f t="shared" si="2"/>
        <v>2834</v>
      </c>
      <c r="D11" s="42">
        <f t="shared" si="2"/>
        <v>0</v>
      </c>
      <c r="E11" s="42">
        <f t="shared" si="2"/>
        <v>75</v>
      </c>
      <c r="F11" s="42">
        <f t="shared" si="2"/>
        <v>0</v>
      </c>
      <c r="G11" s="42">
        <f t="shared" si="2"/>
        <v>0</v>
      </c>
      <c r="H11" s="42">
        <f t="shared" si="2"/>
        <v>625</v>
      </c>
      <c r="I11" s="42">
        <f t="shared" si="2"/>
        <v>0</v>
      </c>
      <c r="J11" s="42">
        <f t="shared" si="2"/>
        <v>0</v>
      </c>
      <c r="K11" s="42">
        <f t="shared" si="2"/>
        <v>4127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40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/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4" ht="16.5">
      <c r="A20" s="27" t="s">
        <v>21</v>
      </c>
      <c r="B20" s="23" t="s">
        <v>20</v>
      </c>
      <c r="C20" s="24">
        <v>8</v>
      </c>
      <c r="D20" s="25">
        <f>+C20*1</f>
        <v>8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/>
      <c r="D22" s="32">
        <f>SUM(D14:D21)</f>
        <v>593</v>
      </c>
    </row>
    <row r="24" spans="1:4">
      <c r="A24" t="s">
        <v>23</v>
      </c>
      <c r="D24" s="33">
        <f>631+783+621+506+748+966+593</f>
        <v>4848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9B63-3E4B-4CD2-B2AA-F15EF64D531C}">
  <dimension ref="A1:O27"/>
  <sheetViews>
    <sheetView workbookViewId="0">
      <selection activeCell="K13" sqref="K13:N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41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>
      <c r="A6" t="s">
        <v>26</v>
      </c>
      <c r="B6" s="17">
        <v>480</v>
      </c>
      <c r="C6" s="17">
        <f>25+20+20+30+25+24+40+50+26+46+24+50+25+20+24+25+25</f>
        <v>499</v>
      </c>
      <c r="D6" s="17">
        <v>100</v>
      </c>
      <c r="E6" s="17">
        <v>0</v>
      </c>
      <c r="F6" s="17">
        <v>0</v>
      </c>
      <c r="G6" s="17">
        <v>0</v>
      </c>
      <c r="H6" s="17">
        <v>225</v>
      </c>
      <c r="I6" s="17">
        <v>38</v>
      </c>
      <c r="J6" s="17">
        <v>0</v>
      </c>
      <c r="K6" s="38">
        <f>SUM(B6:J6)</f>
        <v>1342</v>
      </c>
      <c r="L6" s="39"/>
      <c r="M6" s="17">
        <v>1342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254</v>
      </c>
      <c r="C7" s="17">
        <f>26+13+13+14+20+20+49+25+40+40+25+65+54+26+40+25+20+20+90+25</f>
        <v>650</v>
      </c>
      <c r="D7" s="17">
        <v>0</v>
      </c>
      <c r="E7" s="17">
        <v>0</v>
      </c>
      <c r="F7" s="17">
        <v>0</v>
      </c>
      <c r="G7" s="17">
        <v>0</v>
      </c>
      <c r="H7" s="17">
        <v>75</v>
      </c>
      <c r="I7" s="17">
        <v>0</v>
      </c>
      <c r="J7" s="17">
        <v>0</v>
      </c>
      <c r="K7" s="38">
        <f>SUM(B7:J7)</f>
        <v>979</v>
      </c>
      <c r="L7" s="39"/>
      <c r="M7" s="17">
        <v>979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734</v>
      </c>
      <c r="C11" s="42">
        <f t="shared" si="2"/>
        <v>1149</v>
      </c>
      <c r="D11" s="42">
        <f t="shared" si="2"/>
        <v>150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300</v>
      </c>
      <c r="I11" s="42">
        <f t="shared" si="2"/>
        <v>38</v>
      </c>
      <c r="J11" s="42">
        <f t="shared" si="2"/>
        <v>0</v>
      </c>
      <c r="K11" s="42">
        <f t="shared" si="2"/>
        <v>2371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41</v>
      </c>
      <c r="B13" s="54"/>
      <c r="C13" s="54"/>
      <c r="D13" s="54"/>
      <c r="K13" s="53" t="s">
        <v>41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1</v>
      </c>
      <c r="N14" s="25">
        <f t="shared" ref="N14:N19" si="4">K14*M14</f>
        <v>500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  <c r="K15" s="26">
        <v>100</v>
      </c>
      <c r="L15" s="23" t="s">
        <v>20</v>
      </c>
      <c r="M15" s="24">
        <v>32</v>
      </c>
      <c r="N15" s="25">
        <f t="shared" si="4"/>
        <v>3200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36</v>
      </c>
      <c r="N16" s="25">
        <f t="shared" si="4"/>
        <v>1800</v>
      </c>
    </row>
    <row r="17" spans="1:14" ht="16.5">
      <c r="A17" s="26">
        <v>20</v>
      </c>
      <c r="B17" s="23" t="s">
        <v>20</v>
      </c>
      <c r="C17" s="24">
        <v>2</v>
      </c>
      <c r="D17" s="25">
        <f t="shared" si="3"/>
        <v>40</v>
      </c>
      <c r="K17" s="26">
        <v>20</v>
      </c>
      <c r="L17" s="23" t="s">
        <v>20</v>
      </c>
      <c r="M17" s="24">
        <v>4</v>
      </c>
      <c r="N17" s="25">
        <f t="shared" si="4"/>
        <v>80</v>
      </c>
    </row>
    <row r="18" spans="1:14" ht="16.5">
      <c r="A18" s="26">
        <v>10</v>
      </c>
      <c r="B18" s="23" t="s">
        <v>20</v>
      </c>
      <c r="C18" s="24">
        <v>20</v>
      </c>
      <c r="D18" s="25">
        <f t="shared" si="3"/>
        <v>200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7</v>
      </c>
      <c r="D19" s="25">
        <f t="shared" si="3"/>
        <v>35</v>
      </c>
      <c r="K19" s="26">
        <v>5</v>
      </c>
      <c r="L19" s="23" t="s">
        <v>20</v>
      </c>
      <c r="M19" s="24">
        <v>0</v>
      </c>
      <c r="N19" s="25">
        <f t="shared" si="4"/>
        <v>0</v>
      </c>
    </row>
    <row r="20" spans="1:14" ht="16.5">
      <c r="A20" s="27" t="s">
        <v>21</v>
      </c>
      <c r="B20" s="23" t="s">
        <v>20</v>
      </c>
      <c r="C20" s="24">
        <v>9</v>
      </c>
      <c r="D20" s="25">
        <f>+C20*1</f>
        <v>9</v>
      </c>
      <c r="K20" s="27" t="s">
        <v>21</v>
      </c>
      <c r="L20" s="23" t="s">
        <v>20</v>
      </c>
      <c r="M20" s="24">
        <v>2</v>
      </c>
      <c r="N20" s="25">
        <f>+M20*1</f>
        <v>2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734</v>
      </c>
      <c r="K22" s="29" t="s">
        <v>22</v>
      </c>
      <c r="L22" s="30"/>
      <c r="M22" s="31"/>
      <c r="N22" s="32">
        <f>SUM(N14:N21)</f>
        <v>5582</v>
      </c>
    </row>
    <row r="24" spans="1:14">
      <c r="A24" t="s">
        <v>23</v>
      </c>
      <c r="D24" s="33">
        <f>631+783+621+506+748+966+593+734</f>
        <v>5582</v>
      </c>
    </row>
    <row r="27" spans="1:14">
      <c r="N27" t="s">
        <v>42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0690-FDD3-422E-8E2D-DB80D8460679}">
  <dimension ref="A1:O27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25</v>
      </c>
      <c r="B6" s="17">
        <v>219</v>
      </c>
      <c r="C6" s="17">
        <f>25+50+130+26+67+50+95+50+25+125+24+78+25+25+50+50+25+52+7+45+34+85+107+76</f>
        <v>1326</v>
      </c>
      <c r="D6" s="17">
        <v>602</v>
      </c>
      <c r="E6" s="17">
        <v>0</v>
      </c>
      <c r="F6" s="17">
        <v>0</v>
      </c>
      <c r="G6" s="17">
        <v>0</v>
      </c>
      <c r="H6" s="17">
        <v>275</v>
      </c>
      <c r="I6" s="17">
        <v>0</v>
      </c>
      <c r="J6" s="17">
        <v>0</v>
      </c>
      <c r="K6" s="38">
        <f>SUM(B6:J6)</f>
        <v>2422</v>
      </c>
      <c r="L6" s="39"/>
      <c r="M6" s="17">
        <v>2422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75</v>
      </c>
      <c r="C7" s="17">
        <f>50+20+26+20+26+25+24+48+25+60+79+66+20+60+65+25+25+25+63+25+45+40+40+20+20+40+50+30+30+60+20+40+25+25+25+70</f>
        <v>1357</v>
      </c>
      <c r="D7" s="17">
        <v>75</v>
      </c>
      <c r="E7" s="17">
        <v>0</v>
      </c>
      <c r="F7" s="17">
        <v>0</v>
      </c>
      <c r="G7" s="17">
        <v>0</v>
      </c>
      <c r="H7" s="17">
        <v>225</v>
      </c>
      <c r="I7" s="17">
        <v>24</v>
      </c>
      <c r="J7" s="17">
        <v>0</v>
      </c>
      <c r="K7" s="38">
        <f>SUM(B7:J7)</f>
        <v>1756</v>
      </c>
      <c r="L7" s="39"/>
      <c r="M7" s="17">
        <v>1760</v>
      </c>
      <c r="N7" s="40">
        <f t="shared" si="0"/>
        <v>0</v>
      </c>
      <c r="O7" s="40">
        <f t="shared" si="1"/>
        <v>4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294</v>
      </c>
      <c r="C11" s="42">
        <f t="shared" si="2"/>
        <v>2683</v>
      </c>
      <c r="D11" s="42">
        <f t="shared" si="2"/>
        <v>677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500</v>
      </c>
      <c r="I11" s="42">
        <f t="shared" si="2"/>
        <v>24</v>
      </c>
      <c r="J11" s="42">
        <f t="shared" si="2"/>
        <v>0</v>
      </c>
      <c r="K11" s="42">
        <f t="shared" si="2"/>
        <v>4178</v>
      </c>
      <c r="L11" s="43"/>
      <c r="M11" s="42">
        <v>0</v>
      </c>
      <c r="N11" s="42">
        <f>SUM(N4:N10)</f>
        <v>0</v>
      </c>
      <c r="O11" s="42">
        <f>SUM(O4:O10)</f>
        <v>4</v>
      </c>
    </row>
    <row r="12" spans="1:15" ht="15.75" thickBot="1"/>
    <row r="13" spans="1:15" ht="17.25" thickBot="1">
      <c r="A13" s="53" t="s">
        <v>43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1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14" ht="16.5">
      <c r="A19" s="26">
        <v>5</v>
      </c>
      <c r="B19" s="23" t="s">
        <v>20</v>
      </c>
      <c r="C19" s="24">
        <v>12</v>
      </c>
      <c r="D19" s="25">
        <f t="shared" si="3"/>
        <v>60</v>
      </c>
    </row>
    <row r="20" spans="1:14" ht="16.5">
      <c r="A20" s="27" t="s">
        <v>21</v>
      </c>
      <c r="B20" s="23" t="s">
        <v>20</v>
      </c>
      <c r="C20" s="24">
        <v>14</v>
      </c>
      <c r="D20" s="25">
        <f>+C20*1</f>
        <v>14</v>
      </c>
    </row>
    <row r="21" spans="1:14" ht="16.5">
      <c r="A21" s="27"/>
      <c r="B21" s="28"/>
      <c r="C21" s="24">
        <v>0</v>
      </c>
      <c r="D21" s="25">
        <f>+C21*0.025</f>
        <v>0</v>
      </c>
    </row>
    <row r="22" spans="1:14" ht="16.5">
      <c r="A22" s="29" t="s">
        <v>22</v>
      </c>
      <c r="B22" s="30"/>
      <c r="C22" s="31"/>
      <c r="D22" s="32">
        <f>SUM(D14:D21)</f>
        <v>294</v>
      </c>
    </row>
    <row r="24" spans="1:14">
      <c r="A24" t="s">
        <v>23</v>
      </c>
      <c r="D24" s="33">
        <v>294</v>
      </c>
    </row>
    <row r="27" spans="1:14">
      <c r="N27" t="s">
        <v>42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3E9B-6430-4733-8D0F-FFCEE6EB015B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172</v>
      </c>
      <c r="C6" s="17">
        <f>50+75+20+15+65+20+195+20+20+26+25+78+20+20+29+130+162+20+50+25+95+17</f>
        <v>1177</v>
      </c>
      <c r="D6" s="17">
        <v>75</v>
      </c>
      <c r="E6" s="17">
        <v>0</v>
      </c>
      <c r="F6" s="17">
        <v>0</v>
      </c>
      <c r="G6" s="17">
        <v>0</v>
      </c>
      <c r="H6" s="17">
        <v>275</v>
      </c>
      <c r="I6" s="17">
        <v>0</v>
      </c>
      <c r="J6" s="17">
        <v>0</v>
      </c>
      <c r="K6" s="38">
        <f>SUM(B6:J6)</f>
        <v>1699</v>
      </c>
      <c r="L6" s="39"/>
      <c r="M6" s="17">
        <v>1699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188</v>
      </c>
      <c r="C7" s="17">
        <f>34+26+39+20+25+25+25+176+40+92+24+98+26+26+111</f>
        <v>787</v>
      </c>
      <c r="D7" s="17">
        <v>0</v>
      </c>
      <c r="E7" s="17">
        <v>0</v>
      </c>
      <c r="F7" s="17">
        <v>0</v>
      </c>
      <c r="G7" s="17">
        <v>125</v>
      </c>
      <c r="H7" s="17">
        <v>250</v>
      </c>
      <c r="I7" s="17">
        <v>24</v>
      </c>
      <c r="J7" s="17">
        <v>0</v>
      </c>
      <c r="K7" s="38">
        <f>SUM(B7:J7)</f>
        <v>1374</v>
      </c>
      <c r="L7" s="39"/>
      <c r="M7" s="17">
        <v>1374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360</v>
      </c>
      <c r="C11" s="42">
        <f t="shared" si="2"/>
        <v>1964</v>
      </c>
      <c r="D11" s="42">
        <f t="shared" si="2"/>
        <v>75</v>
      </c>
      <c r="E11" s="42">
        <f t="shared" si="2"/>
        <v>0</v>
      </c>
      <c r="F11" s="42">
        <f t="shared" si="2"/>
        <v>0</v>
      </c>
      <c r="G11" s="42">
        <f t="shared" si="2"/>
        <v>125</v>
      </c>
      <c r="H11" s="42">
        <f t="shared" si="2"/>
        <v>525</v>
      </c>
      <c r="I11" s="42">
        <f t="shared" si="2"/>
        <v>24</v>
      </c>
      <c r="J11" s="42">
        <f t="shared" si="2"/>
        <v>0</v>
      </c>
      <c r="K11" s="42">
        <f t="shared" si="2"/>
        <v>3073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44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360</v>
      </c>
    </row>
    <row r="24" spans="1:4">
      <c r="A24" t="s">
        <v>23</v>
      </c>
      <c r="D24" s="33">
        <f>294+360</f>
        <v>654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E195-68E5-4165-AF3D-1415A5FCDEBE}">
  <dimension ref="A1:O24"/>
  <sheetViews>
    <sheetView workbookViewId="0">
      <selection activeCell="H30" sqref="H3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31</v>
      </c>
      <c r="B6" s="17">
        <v>35</v>
      </c>
      <c r="C6" s="17">
        <f>24.5+24.5+20+75+74+48+50+50+25+104+160+50+20+7+50</f>
        <v>782</v>
      </c>
      <c r="D6" s="17">
        <v>151</v>
      </c>
      <c r="E6" s="17">
        <v>0</v>
      </c>
      <c r="F6" s="17">
        <v>0</v>
      </c>
      <c r="G6" s="17">
        <v>0</v>
      </c>
      <c r="H6" s="17">
        <v>100</v>
      </c>
      <c r="I6" s="17">
        <v>0</v>
      </c>
      <c r="J6" s="17">
        <v>0</v>
      </c>
      <c r="K6" s="38">
        <f>SUM(B6:J6)</f>
        <v>1068</v>
      </c>
      <c r="L6" s="39"/>
      <c r="M6" s="17">
        <v>1068</v>
      </c>
      <c r="N6" s="40">
        <v>0</v>
      </c>
      <c r="O6" s="40">
        <f t="shared" si="1"/>
        <v>0</v>
      </c>
    </row>
    <row r="7" spans="1:15" ht="16.5">
      <c r="A7" s="16" t="s">
        <v>19</v>
      </c>
      <c r="B7" s="17">
        <v>134</v>
      </c>
      <c r="C7" s="17">
        <f>24+25+146+20+12+42+24+24+64+20+135+20+25+83+20+26+20</f>
        <v>730</v>
      </c>
      <c r="D7" s="17">
        <v>84</v>
      </c>
      <c r="E7" s="17">
        <v>0</v>
      </c>
      <c r="F7" s="17">
        <v>0</v>
      </c>
      <c r="G7" s="17">
        <v>0</v>
      </c>
      <c r="H7" s="17">
        <v>25</v>
      </c>
      <c r="I7" s="17">
        <v>0</v>
      </c>
      <c r="J7" s="17">
        <v>0</v>
      </c>
      <c r="K7" s="38">
        <f>SUM(B7:J7)</f>
        <v>973</v>
      </c>
      <c r="L7" s="39"/>
      <c r="M7" s="17">
        <v>973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s="16" t="s">
        <v>25</v>
      </c>
      <c r="B10" s="17">
        <v>77</v>
      </c>
      <c r="C10" s="17">
        <f>26+24+15+50+76+20+52+63+200+25+70</f>
        <v>621</v>
      </c>
      <c r="D10" s="17">
        <v>0</v>
      </c>
      <c r="E10" s="17">
        <v>0</v>
      </c>
      <c r="F10" s="17">
        <v>0</v>
      </c>
      <c r="G10" s="17">
        <v>0</v>
      </c>
      <c r="H10" s="17">
        <v>100</v>
      </c>
      <c r="I10" s="17">
        <v>0</v>
      </c>
      <c r="J10" s="17">
        <v>0</v>
      </c>
      <c r="K10" s="38">
        <f>SUM(B10:J10)</f>
        <v>798</v>
      </c>
      <c r="L10" s="39"/>
      <c r="M10" s="17">
        <v>798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246</v>
      </c>
      <c r="C11" s="42">
        <f t="shared" si="2"/>
        <v>2133</v>
      </c>
      <c r="D11" s="42">
        <f t="shared" si="2"/>
        <v>235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225</v>
      </c>
      <c r="I11" s="42">
        <f t="shared" si="2"/>
        <v>0</v>
      </c>
      <c r="J11" s="42">
        <f t="shared" si="2"/>
        <v>0</v>
      </c>
      <c r="K11" s="42">
        <f t="shared" si="2"/>
        <v>2839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46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4" ht="16.5">
      <c r="A20" s="27" t="s">
        <v>21</v>
      </c>
      <c r="B20" s="23" t="s">
        <v>20</v>
      </c>
      <c r="C20" s="24">
        <v>6</v>
      </c>
      <c r="D20" s="25">
        <f>+C20*1</f>
        <v>6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246</v>
      </c>
    </row>
    <row r="24" spans="1:4">
      <c r="A24" t="s">
        <v>23</v>
      </c>
      <c r="D24" s="33">
        <f>654+246</f>
        <v>900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4309-67AC-4327-8A35-60892CD1A2A4}">
  <dimension ref="A1:O24"/>
  <sheetViews>
    <sheetView workbookViewId="0">
      <selection activeCell="F27" sqref="F2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350</v>
      </c>
      <c r="L5" s="39"/>
      <c r="M5" s="17">
        <v>350</v>
      </c>
      <c r="N5" s="40">
        <f t="shared" si="0"/>
        <v>0</v>
      </c>
      <c r="O5" s="40">
        <f t="shared" si="1"/>
        <v>0</v>
      </c>
    </row>
    <row r="6" spans="1:15" ht="16.5">
      <c r="A6" t="s">
        <v>24</v>
      </c>
      <c r="B6" s="17">
        <v>155</v>
      </c>
      <c r="C6" s="17">
        <f>38+20+111+210+50+74+45+20+55+27+25+74+50+85+149+25+20+52+53+45+45+51+38</f>
        <v>1362</v>
      </c>
      <c r="D6" s="17">
        <v>109</v>
      </c>
      <c r="E6" s="17">
        <v>0</v>
      </c>
      <c r="F6" s="17">
        <v>0</v>
      </c>
      <c r="G6" s="17">
        <v>0</v>
      </c>
      <c r="H6" s="17">
        <v>250</v>
      </c>
      <c r="I6" s="17">
        <v>0</v>
      </c>
      <c r="J6" s="17">
        <v>0</v>
      </c>
      <c r="K6" s="38">
        <f>SUM(B6:J6)</f>
        <v>1876</v>
      </c>
      <c r="L6" s="39"/>
      <c r="M6" s="17">
        <v>1876</v>
      </c>
      <c r="N6" s="40">
        <f t="shared" si="0"/>
        <v>0</v>
      </c>
      <c r="O6" s="40">
        <f t="shared" si="1"/>
        <v>0</v>
      </c>
    </row>
    <row r="7" spans="1:15" ht="16.5">
      <c r="A7" t="s">
        <v>26</v>
      </c>
      <c r="B7" s="17">
        <v>0</v>
      </c>
      <c r="C7" s="17">
        <f>25+20+50+50+75+26+80+25+73+132+112</f>
        <v>668</v>
      </c>
      <c r="D7" s="17">
        <v>275</v>
      </c>
      <c r="E7" s="17">
        <v>0</v>
      </c>
      <c r="F7" s="17">
        <v>0</v>
      </c>
      <c r="G7" s="17">
        <v>0</v>
      </c>
      <c r="H7" s="17">
        <v>75</v>
      </c>
      <c r="I7" s="17">
        <v>188</v>
      </c>
      <c r="J7" s="17">
        <v>0</v>
      </c>
      <c r="K7" s="38">
        <f>SUM(B7:J7)</f>
        <v>1206</v>
      </c>
      <c r="L7" s="39"/>
      <c r="M7" s="17">
        <v>1206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422</v>
      </c>
      <c r="C10" s="17">
        <f>25+14+60+151+49+70+25+20+40+47+41+50+25+177+160+20+95+40+38+39+50+25+25+7+12+12+49+32+20+76</f>
        <v>1494</v>
      </c>
      <c r="D10" s="17">
        <v>234</v>
      </c>
      <c r="E10" s="17">
        <v>0</v>
      </c>
      <c r="F10" s="17">
        <v>0</v>
      </c>
      <c r="G10" s="17">
        <v>0</v>
      </c>
      <c r="H10" s="17">
        <v>575</v>
      </c>
      <c r="I10" s="17">
        <v>0</v>
      </c>
      <c r="J10" s="17">
        <v>0</v>
      </c>
      <c r="K10" s="38">
        <f>SUM(B10:J10)</f>
        <v>2725</v>
      </c>
      <c r="L10" s="39"/>
      <c r="M10" s="17">
        <v>2725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577</v>
      </c>
      <c r="C11" s="42">
        <f t="shared" si="2"/>
        <v>3524</v>
      </c>
      <c r="D11" s="42">
        <f t="shared" si="2"/>
        <v>968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900</v>
      </c>
      <c r="I11" s="42">
        <f t="shared" si="2"/>
        <v>188</v>
      </c>
      <c r="J11" s="42">
        <f t="shared" si="2"/>
        <v>0</v>
      </c>
      <c r="K11" s="42">
        <f t="shared" si="2"/>
        <v>6157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47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15</v>
      </c>
      <c r="D18" s="25">
        <f t="shared" si="3"/>
        <v>150</v>
      </c>
    </row>
    <row r="19" spans="1:4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577</v>
      </c>
    </row>
    <row r="24" spans="1:4">
      <c r="A24" t="s">
        <v>23</v>
      </c>
      <c r="D24" s="33">
        <f>900+577</f>
        <v>1477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9C6D-4096-4672-B47C-640B1A1B2E35}">
  <dimension ref="A1:O24"/>
  <sheetViews>
    <sheetView workbookViewId="0">
      <selection activeCell="G28" sqref="G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294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294</v>
      </c>
      <c r="L5" s="39"/>
      <c r="M5" s="17">
        <v>294</v>
      </c>
      <c r="N5" s="40">
        <f t="shared" si="0"/>
        <v>0</v>
      </c>
      <c r="O5" s="40">
        <f t="shared" si="1"/>
        <v>0</v>
      </c>
    </row>
    <row r="6" spans="1:15" ht="16.5">
      <c r="A6" t="s">
        <v>19</v>
      </c>
      <c r="B6" s="17">
        <v>238</v>
      </c>
      <c r="C6" s="17">
        <f>26+20+14+20+75+50+65+25+25+20+25+38+25+20+55+84+14+60+50+50+68+25+25</f>
        <v>879</v>
      </c>
      <c r="D6" s="17">
        <v>0</v>
      </c>
      <c r="E6" s="17">
        <v>0</v>
      </c>
      <c r="F6" s="17">
        <v>0</v>
      </c>
      <c r="G6" s="17">
        <v>0</v>
      </c>
      <c r="H6" s="17">
        <v>175</v>
      </c>
      <c r="I6" s="17">
        <v>0</v>
      </c>
      <c r="J6" s="17">
        <v>0</v>
      </c>
      <c r="K6" s="38">
        <f>SUM(B6:J6)</f>
        <v>1292</v>
      </c>
      <c r="L6" s="39"/>
      <c r="M6" s="17">
        <v>1292</v>
      </c>
      <c r="N6" s="40">
        <f t="shared" si="0"/>
        <v>0</v>
      </c>
      <c r="O6" s="40">
        <f t="shared" si="1"/>
        <v>0</v>
      </c>
    </row>
    <row r="7" spans="1:15" ht="16.5">
      <c r="A7" t="s">
        <v>25</v>
      </c>
      <c r="B7" s="17">
        <v>453</v>
      </c>
      <c r="C7" s="17">
        <f>7+78+40+15+126+48+22+116+20+52+27+3+42+38+25+84+26+42+25+26+101+14+20+50+40+25+25</f>
        <v>1137</v>
      </c>
      <c r="D7" s="17">
        <v>234</v>
      </c>
      <c r="E7" s="17">
        <v>0</v>
      </c>
      <c r="F7" s="17">
        <v>0</v>
      </c>
      <c r="G7" s="17">
        <v>0</v>
      </c>
      <c r="H7" s="17">
        <v>100</v>
      </c>
      <c r="I7" s="17">
        <f>24+26</f>
        <v>50</v>
      </c>
      <c r="J7" s="17">
        <v>0</v>
      </c>
      <c r="K7" s="38">
        <f>SUM(B7:J7)</f>
        <v>1974</v>
      </c>
      <c r="L7" s="39"/>
      <c r="M7" s="17">
        <v>1974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26</v>
      </c>
      <c r="B9" s="17">
        <v>520</v>
      </c>
      <c r="C9" s="17">
        <f>96+204+45+75+88+44+220+42+87+115+185+70+15+24+50+120+39+25+25+100+50+24</f>
        <v>1743</v>
      </c>
      <c r="D9" s="17">
        <v>259</v>
      </c>
      <c r="E9" s="17">
        <v>0</v>
      </c>
      <c r="F9" s="17">
        <v>0</v>
      </c>
      <c r="G9" s="17">
        <v>0</v>
      </c>
      <c r="H9" s="17">
        <v>300</v>
      </c>
      <c r="I9" s="17">
        <v>0</v>
      </c>
      <c r="J9" s="17">
        <v>0</v>
      </c>
      <c r="K9" s="38">
        <f>SUM(B9:J9)</f>
        <v>2822</v>
      </c>
      <c r="L9" s="39"/>
      <c r="M9" s="17">
        <v>2822</v>
      </c>
      <c r="N9" s="40">
        <f t="shared" si="0"/>
        <v>0</v>
      </c>
      <c r="O9" s="40">
        <f t="shared" si="1"/>
        <v>0</v>
      </c>
    </row>
    <row r="10" spans="1:15" ht="16.5">
      <c r="A10" t="s">
        <v>27</v>
      </c>
      <c r="B10" s="17">
        <v>30</v>
      </c>
      <c r="C10" s="17">
        <f>70+50+50+50+2+25+88+20</f>
        <v>355</v>
      </c>
      <c r="D10" s="17">
        <v>75</v>
      </c>
      <c r="E10" s="17">
        <v>0</v>
      </c>
      <c r="F10" s="17">
        <v>0</v>
      </c>
      <c r="G10" s="17">
        <v>0</v>
      </c>
      <c r="H10" s="17">
        <v>175</v>
      </c>
      <c r="I10" s="17">
        <v>0</v>
      </c>
      <c r="J10" s="17">
        <v>0</v>
      </c>
      <c r="K10" s="38">
        <f>SUM(B10:J10)</f>
        <v>635</v>
      </c>
      <c r="L10" s="39"/>
      <c r="M10" s="17">
        <v>635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1241</v>
      </c>
      <c r="C11" s="42">
        <f t="shared" si="2"/>
        <v>4114</v>
      </c>
      <c r="D11" s="42">
        <f t="shared" si="2"/>
        <v>862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750</v>
      </c>
      <c r="I11" s="42">
        <f t="shared" si="2"/>
        <v>50</v>
      </c>
      <c r="J11" s="42">
        <f t="shared" si="2"/>
        <v>0</v>
      </c>
      <c r="K11" s="42">
        <f t="shared" si="2"/>
        <v>7017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48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9</v>
      </c>
      <c r="D15" s="25">
        <f t="shared" si="3"/>
        <v>900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4" ht="16.5">
      <c r="A17" s="26">
        <v>20</v>
      </c>
      <c r="B17" s="23" t="s">
        <v>20</v>
      </c>
      <c r="C17" s="24">
        <v>4</v>
      </c>
      <c r="D17" s="25">
        <f t="shared" si="3"/>
        <v>80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4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4" ht="16.5">
      <c r="A21" s="27"/>
      <c r="B21" s="28"/>
      <c r="C21" s="24"/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1241</v>
      </c>
    </row>
    <row r="24" spans="1:4">
      <c r="A24" t="s">
        <v>23</v>
      </c>
      <c r="D24" s="33">
        <f>1477+1241</f>
        <v>2718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11B0-46EA-4F4D-A7E4-57812C054A24}">
  <dimension ref="A1:O24"/>
  <sheetViews>
    <sheetView workbookViewId="0">
      <selection activeCell="K13" sqref="K13:N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168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168</v>
      </c>
      <c r="L5" s="39"/>
      <c r="M5" s="17">
        <v>168</v>
      </c>
      <c r="N5" s="40">
        <f t="shared" si="0"/>
        <v>0</v>
      </c>
      <c r="O5" s="40">
        <f t="shared" si="1"/>
        <v>0</v>
      </c>
    </row>
    <row r="6" spans="1:15" ht="16.5">
      <c r="A6" t="s">
        <v>31</v>
      </c>
      <c r="B6" s="17">
        <v>200</v>
      </c>
      <c r="C6" s="17">
        <f>20+45+50+20+30+35+5+32+49+198+40+49+49+25+27+26</f>
        <v>700</v>
      </c>
      <c r="D6" s="17">
        <v>0</v>
      </c>
      <c r="E6" s="17">
        <v>0</v>
      </c>
      <c r="F6" s="17">
        <v>0</v>
      </c>
      <c r="G6" s="17">
        <v>0</v>
      </c>
      <c r="H6" s="17">
        <v>150</v>
      </c>
      <c r="I6" s="17">
        <v>0</v>
      </c>
      <c r="J6" s="17">
        <v>0</v>
      </c>
      <c r="K6" s="38">
        <f>SUM(B6:J6)</f>
        <v>1050</v>
      </c>
      <c r="L6" s="39"/>
      <c r="M6" s="17">
        <v>1050</v>
      </c>
      <c r="N6" s="40">
        <v>0</v>
      </c>
      <c r="O6" s="40">
        <f t="shared" si="1"/>
        <v>0</v>
      </c>
    </row>
    <row r="7" spans="1:15" ht="16.5">
      <c r="A7" t="s">
        <v>27</v>
      </c>
      <c r="B7" s="17">
        <v>95</v>
      </c>
      <c r="C7" s="17">
        <f>38+25+25+25+75+110+197+50+48+24+30+10+25+48+25+25+25+25+40</f>
        <v>870</v>
      </c>
      <c r="D7" s="17">
        <v>175</v>
      </c>
      <c r="E7" s="17">
        <v>0</v>
      </c>
      <c r="F7" s="17">
        <v>0</v>
      </c>
      <c r="G7" s="17">
        <v>0</v>
      </c>
      <c r="H7" s="17">
        <v>250</v>
      </c>
      <c r="I7" s="17">
        <v>0</v>
      </c>
      <c r="J7" s="17">
        <v>0</v>
      </c>
      <c r="K7" s="38">
        <f>SUM(B7:J7)</f>
        <v>1390</v>
      </c>
      <c r="L7" s="39"/>
      <c r="M7" s="17">
        <v>1390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24</v>
      </c>
      <c r="B9" s="17">
        <v>149</v>
      </c>
      <c r="C9" s="17">
        <f>100+186+25+25+50+65+84+110+27+38+25+25+20+4+25+96+90+14+58+127+20+25+22+170+20+40+27+25+25+140+50+20+34+7+74</f>
        <v>1893</v>
      </c>
      <c r="D9" s="17">
        <v>235</v>
      </c>
      <c r="E9" s="17">
        <v>0</v>
      </c>
      <c r="F9" s="17">
        <v>0</v>
      </c>
      <c r="G9" s="17">
        <v>0</v>
      </c>
      <c r="H9" s="17">
        <v>275</v>
      </c>
      <c r="I9" s="17">
        <v>0</v>
      </c>
      <c r="J9" s="17">
        <v>0</v>
      </c>
      <c r="K9" s="38">
        <f>SUM(B9:J9)</f>
        <v>2552</v>
      </c>
      <c r="L9" s="39"/>
      <c r="M9" s="17">
        <v>2552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27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444</v>
      </c>
      <c r="C11" s="42">
        <f t="shared" si="2"/>
        <v>3463</v>
      </c>
      <c r="D11" s="42">
        <f t="shared" si="2"/>
        <v>578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675</v>
      </c>
      <c r="I11" s="42">
        <f t="shared" si="2"/>
        <v>0</v>
      </c>
      <c r="J11" s="42">
        <f t="shared" si="2"/>
        <v>0</v>
      </c>
      <c r="K11" s="42">
        <f t="shared" si="2"/>
        <v>5160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49</v>
      </c>
      <c r="B13" s="54"/>
      <c r="C13" s="54"/>
      <c r="D13" s="54"/>
      <c r="K13" s="53" t="s">
        <v>50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  <c r="K15" s="26">
        <v>100</v>
      </c>
      <c r="L15" s="23" t="s">
        <v>20</v>
      </c>
      <c r="M15" s="24">
        <v>20</v>
      </c>
      <c r="N15" s="25">
        <f t="shared" si="4"/>
        <v>2000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17</v>
      </c>
      <c r="N16" s="25">
        <f t="shared" si="4"/>
        <v>850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8</v>
      </c>
      <c r="N17" s="25">
        <f t="shared" si="4"/>
        <v>160</v>
      </c>
    </row>
    <row r="18" spans="1:14" ht="16.5">
      <c r="A18" s="26">
        <v>10</v>
      </c>
      <c r="B18" s="23" t="s">
        <v>20</v>
      </c>
      <c r="C18" s="24">
        <v>4</v>
      </c>
      <c r="D18" s="25">
        <f t="shared" si="3"/>
        <v>40</v>
      </c>
      <c r="K18" s="26">
        <v>10</v>
      </c>
      <c r="L18" s="23" t="s">
        <v>20</v>
      </c>
      <c r="M18" s="24">
        <v>8</v>
      </c>
      <c r="N18" s="25">
        <f t="shared" si="4"/>
        <v>80</v>
      </c>
    </row>
    <row r="19" spans="1:14" ht="16.5">
      <c r="A19" s="26">
        <v>5</v>
      </c>
      <c r="B19" s="23" t="s">
        <v>20</v>
      </c>
      <c r="C19" s="24">
        <v>6</v>
      </c>
      <c r="D19" s="25">
        <f t="shared" si="3"/>
        <v>30</v>
      </c>
      <c r="K19" s="26">
        <v>5</v>
      </c>
      <c r="L19" s="23" t="s">
        <v>20</v>
      </c>
      <c r="M19" s="24">
        <v>14</v>
      </c>
      <c r="N19" s="25">
        <f t="shared" si="4"/>
        <v>70</v>
      </c>
    </row>
    <row r="20" spans="1:14" ht="16.5">
      <c r="A20" s="27" t="s">
        <v>21</v>
      </c>
      <c r="B20" s="23" t="s">
        <v>20</v>
      </c>
      <c r="C20" s="24">
        <v>4</v>
      </c>
      <c r="D20" s="25">
        <f>+C20*1</f>
        <v>4</v>
      </c>
      <c r="K20" s="27" t="s">
        <v>21</v>
      </c>
      <c r="L20" s="23" t="s">
        <v>20</v>
      </c>
      <c r="M20" s="24">
        <v>2</v>
      </c>
      <c r="N20" s="25">
        <f>+M20*1</f>
        <v>2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444</v>
      </c>
      <c r="K22" s="29" t="s">
        <v>22</v>
      </c>
      <c r="L22" s="30"/>
      <c r="M22" s="31">
        <v>0</v>
      </c>
      <c r="N22" s="32">
        <f>SUM(N14:N21)</f>
        <v>3162</v>
      </c>
    </row>
    <row r="24" spans="1:14">
      <c r="A24" t="s">
        <v>23</v>
      </c>
      <c r="D24" s="33">
        <f>2718+444</f>
        <v>3162</v>
      </c>
    </row>
  </sheetData>
  <mergeCells count="3">
    <mergeCell ref="A2:O2"/>
    <mergeCell ref="A13:D13"/>
    <mergeCell ref="K13:N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5506-9D15-4D1C-ADD5-ADF14ECD57AD}">
  <dimension ref="A1:O24"/>
  <sheetViews>
    <sheetView workbookViewId="0">
      <selection activeCell="K18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51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184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184</v>
      </c>
      <c r="L5" s="39"/>
      <c r="M5" s="17">
        <v>184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185</v>
      </c>
      <c r="C7" s="17">
        <f>288+33+40+102+197+70+202+154+25+7+145+38+26+76+24+30+20+20+75+25+26+7+25+26+153+33+152+120+108+25+126+100+26+40+22+67</f>
        <v>2653</v>
      </c>
      <c r="D7" s="17">
        <v>100</v>
      </c>
      <c r="E7" s="17">
        <v>0</v>
      </c>
      <c r="F7" s="17">
        <v>0</v>
      </c>
      <c r="G7" s="17">
        <v>0</v>
      </c>
      <c r="H7" s="17">
        <v>225</v>
      </c>
      <c r="I7" s="17">
        <v>0</v>
      </c>
      <c r="J7" s="17">
        <v>0</v>
      </c>
      <c r="K7" s="38">
        <f>SUM(B7:J7)</f>
        <v>3163</v>
      </c>
      <c r="L7" s="39"/>
      <c r="M7" s="17">
        <v>3163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t="s">
        <v>27</v>
      </c>
      <c r="B10" s="17">
        <v>130</v>
      </c>
      <c r="C10" s="17">
        <f>25+65+65+27+44+56+90+45+25+25+6+75+104+111+15+2+12+90+25+152+20+12.5+12.5+5+40+35</f>
        <v>1184</v>
      </c>
      <c r="D10" s="17">
        <v>42</v>
      </c>
      <c r="E10" s="17">
        <v>0</v>
      </c>
      <c r="F10" s="17">
        <v>0</v>
      </c>
      <c r="G10" s="17">
        <v>0</v>
      </c>
      <c r="H10" s="17">
        <v>350</v>
      </c>
      <c r="I10" s="17">
        <v>0</v>
      </c>
      <c r="J10" s="17">
        <v>0</v>
      </c>
      <c r="K10" s="38">
        <f>SUM(B10:J10)</f>
        <v>1706</v>
      </c>
      <c r="L10" s="39"/>
      <c r="M10" s="17">
        <v>1706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315</v>
      </c>
      <c r="C11" s="42">
        <f t="shared" si="2"/>
        <v>3837</v>
      </c>
      <c r="D11" s="42">
        <f t="shared" si="2"/>
        <v>326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575</v>
      </c>
      <c r="I11" s="42">
        <f t="shared" si="2"/>
        <v>0</v>
      </c>
      <c r="J11" s="42">
        <f t="shared" si="2"/>
        <v>0</v>
      </c>
      <c r="K11" s="42">
        <f t="shared" si="2"/>
        <v>5053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51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13</v>
      </c>
      <c r="D19" s="25">
        <f t="shared" si="3"/>
        <v>65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315</v>
      </c>
    </row>
    <row r="24" spans="1:4">
      <c r="A24" t="s">
        <v>23</v>
      </c>
      <c r="D24" s="33">
        <v>315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25DB-7F0A-42E0-BF62-4D8870B688F9}">
  <dimension ref="A1:O24"/>
  <sheetViews>
    <sheetView workbookViewId="0">
      <selection activeCell="A7" sqref="A7:XFD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52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69</v>
      </c>
      <c r="C7" s="17">
        <f>38+15+15+26+90+20+26+26+25+25+20+144+20+51+21+38+75+56+50+26+26+106+102+90+14+20+40+40+165+25+25+15+20+15+50+5+25+121+88+40+12+7+20+119+20+20+214+20+25+20+12+38+10+29+14</f>
        <v>2419</v>
      </c>
      <c r="D7" s="17">
        <v>75</v>
      </c>
      <c r="E7" s="17">
        <v>0</v>
      </c>
      <c r="F7" s="17">
        <v>0</v>
      </c>
      <c r="G7" s="17">
        <v>0</v>
      </c>
      <c r="H7" s="17">
        <v>300</v>
      </c>
      <c r="I7" s="17">
        <v>0</v>
      </c>
      <c r="J7" s="17">
        <v>0</v>
      </c>
      <c r="K7" s="38">
        <f>SUM(B7:J7)</f>
        <v>2863</v>
      </c>
      <c r="L7" s="39"/>
      <c r="M7" s="17">
        <v>2891</v>
      </c>
      <c r="N7" s="40">
        <f t="shared" si="0"/>
        <v>0</v>
      </c>
      <c r="O7" s="40">
        <f t="shared" si="1"/>
        <v>28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t="s">
        <v>26</v>
      </c>
      <c r="B10" s="17">
        <v>20</v>
      </c>
      <c r="C10" s="17">
        <f>20+86+25+42+45+25+24+100+75+70+62+25+42+42+50+20+12+25+20+20</f>
        <v>830</v>
      </c>
      <c r="D10" s="17">
        <v>100</v>
      </c>
      <c r="E10" s="17">
        <v>0</v>
      </c>
      <c r="F10" s="17">
        <v>0</v>
      </c>
      <c r="G10" s="17">
        <v>0</v>
      </c>
      <c r="H10" s="17">
        <v>0</v>
      </c>
      <c r="I10" s="17">
        <v>250</v>
      </c>
      <c r="J10" s="17">
        <v>0</v>
      </c>
      <c r="K10" s="38">
        <f>SUM(B10:J10)</f>
        <v>1200</v>
      </c>
      <c r="L10" s="39"/>
      <c r="M10" s="17">
        <v>1200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89</v>
      </c>
      <c r="C11" s="42">
        <f t="shared" si="2"/>
        <v>3249</v>
      </c>
      <c r="D11" s="42">
        <f t="shared" si="2"/>
        <v>225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300</v>
      </c>
      <c r="I11" s="42">
        <f t="shared" si="2"/>
        <v>250</v>
      </c>
      <c r="J11" s="42">
        <f t="shared" si="2"/>
        <v>0</v>
      </c>
      <c r="K11" s="42">
        <f t="shared" si="2"/>
        <v>4113</v>
      </c>
      <c r="L11" s="43"/>
      <c r="M11" s="42">
        <v>0</v>
      </c>
      <c r="N11" s="42">
        <f>SUM(N4:N10)</f>
        <v>0</v>
      </c>
      <c r="O11" s="42">
        <f>SUM(O4:O10)</f>
        <v>28</v>
      </c>
    </row>
    <row r="12" spans="1:15" ht="15.75" thickBot="1"/>
    <row r="13" spans="1:15" ht="17.25" thickBot="1">
      <c r="A13" s="53" t="s">
        <v>52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4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9</v>
      </c>
      <c r="D19" s="25">
        <f t="shared" si="3"/>
        <v>45</v>
      </c>
    </row>
    <row r="20" spans="1:4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89</v>
      </c>
    </row>
    <row r="24" spans="1:4">
      <c r="A24" t="s">
        <v>23</v>
      </c>
      <c r="D24" s="33">
        <f>315+89</f>
        <v>404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2925-44B8-43B8-9732-48D321D6DEF0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203</v>
      </c>
      <c r="C7" s="17">
        <f>97+26+26+135+27+94+25+50+20+89+33+24+57+27+577+25+50+50+25+20+26+26+38+20+95+25+37+25+25+50+26</f>
        <v>1870</v>
      </c>
      <c r="D7" s="17">
        <v>109</v>
      </c>
      <c r="E7" s="17">
        <v>0</v>
      </c>
      <c r="F7" s="17">
        <v>0</v>
      </c>
      <c r="G7" s="17">
        <v>0</v>
      </c>
      <c r="H7" s="17">
        <v>325</v>
      </c>
      <c r="I7" s="17">
        <v>0</v>
      </c>
      <c r="J7" s="17">
        <v>0</v>
      </c>
      <c r="K7" s="38">
        <f>SUM(B7:J7)</f>
        <v>2507</v>
      </c>
      <c r="L7" s="39"/>
      <c r="M7" s="17">
        <v>2507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24</v>
      </c>
      <c r="B9" s="17">
        <v>123</v>
      </c>
      <c r="C9" s="17">
        <f>88+20+25+7+14+125+25+26+26+49+27+21</f>
        <v>453</v>
      </c>
      <c r="D9" s="17">
        <v>50</v>
      </c>
      <c r="E9" s="17">
        <v>0</v>
      </c>
      <c r="F9" s="17">
        <v>0</v>
      </c>
      <c r="G9" s="17">
        <v>0</v>
      </c>
      <c r="H9" s="17">
        <v>175</v>
      </c>
      <c r="I9" s="17">
        <f>72+24</f>
        <v>96</v>
      </c>
      <c r="J9" s="17">
        <v>0</v>
      </c>
      <c r="K9" s="38">
        <f>SUM(B9:J9)</f>
        <v>897</v>
      </c>
      <c r="L9" s="39"/>
      <c r="M9" s="17">
        <v>897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254</v>
      </c>
      <c r="C10" s="17">
        <f>25+20+20+20+13+25+25+25+12+115+25+24+61+25+20+50+65+25+25+25+40+25+90+25+4+25+50+50</f>
        <v>954</v>
      </c>
      <c r="D10" s="17">
        <v>175</v>
      </c>
      <c r="E10" s="17">
        <v>0</v>
      </c>
      <c r="F10" s="17">
        <v>0</v>
      </c>
      <c r="G10" s="17">
        <v>0</v>
      </c>
      <c r="H10" s="17">
        <v>375</v>
      </c>
      <c r="I10" s="17">
        <v>0</v>
      </c>
      <c r="J10" s="17">
        <v>0</v>
      </c>
      <c r="K10" s="38">
        <f>SUM(B10:J10)</f>
        <v>1758</v>
      </c>
      <c r="L10" s="39"/>
      <c r="M10" s="17">
        <v>1795</v>
      </c>
      <c r="N10" s="40">
        <f t="shared" si="0"/>
        <v>0</v>
      </c>
      <c r="O10" s="40">
        <f t="shared" si="1"/>
        <v>37</v>
      </c>
    </row>
    <row r="11" spans="1:15" ht="16.5">
      <c r="A11" s="41"/>
      <c r="B11" s="42">
        <f t="shared" ref="B11:K11" si="2">SUM(B4:B10)</f>
        <v>580</v>
      </c>
      <c r="C11" s="42">
        <f t="shared" si="2"/>
        <v>3277</v>
      </c>
      <c r="D11" s="42">
        <f t="shared" si="2"/>
        <v>334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875</v>
      </c>
      <c r="I11" s="42">
        <f t="shared" si="2"/>
        <v>96</v>
      </c>
      <c r="J11" s="42">
        <f t="shared" si="2"/>
        <v>0</v>
      </c>
      <c r="K11" s="42">
        <f t="shared" si="2"/>
        <v>5162</v>
      </c>
      <c r="L11" s="43"/>
      <c r="M11" s="42">
        <v>0</v>
      </c>
      <c r="N11" s="42">
        <f>SUM(N4:N10)</f>
        <v>0</v>
      </c>
      <c r="O11" s="42">
        <f>SUM(O4:O10)</f>
        <v>37</v>
      </c>
    </row>
    <row r="12" spans="1:15" ht="15.75" thickBot="1"/>
    <row r="13" spans="1:15" ht="17.25" thickBot="1">
      <c r="A13" s="53" t="s">
        <v>53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4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580</v>
      </c>
    </row>
    <row r="24" spans="1:4">
      <c r="A24" t="s">
        <v>23</v>
      </c>
      <c r="D24" s="33">
        <f>315+89+580</f>
        <v>984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3304-798D-4C3F-B54D-7F31BB5E99DB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184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184</v>
      </c>
      <c r="L5" s="39"/>
      <c r="M5" s="17">
        <v>184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24</v>
      </c>
      <c r="B7" s="17">
        <v>99</v>
      </c>
      <c r="C7" s="17">
        <f>25+25+25+25+26+25+135+60+54+50+26+25+24</f>
        <v>525</v>
      </c>
      <c r="D7" s="17">
        <v>0</v>
      </c>
      <c r="E7" s="17">
        <v>0</v>
      </c>
      <c r="F7" s="17">
        <v>0</v>
      </c>
      <c r="G7" s="17">
        <v>0</v>
      </c>
      <c r="H7" s="17">
        <v>150</v>
      </c>
      <c r="I7" s="17">
        <v>0</v>
      </c>
      <c r="J7" s="17">
        <v>0</v>
      </c>
      <c r="K7" s="38">
        <f>SUM(B7:J7)</f>
        <v>774</v>
      </c>
      <c r="L7" s="39"/>
      <c r="M7" s="17">
        <v>774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26</v>
      </c>
      <c r="B9" s="17">
        <v>50</v>
      </c>
      <c r="C9" s="17">
        <f>165+40+154+48+25+7+68+76+140+75+50+24+26+40+79+87+24+24+25+24+25+24+89+32+50+24+24+270+24+25+74+90+105+50+66+25+12</f>
        <v>2210</v>
      </c>
      <c r="D9" s="17">
        <v>259</v>
      </c>
      <c r="E9" s="17">
        <v>0</v>
      </c>
      <c r="F9" s="17">
        <v>0</v>
      </c>
      <c r="G9" s="17">
        <v>0</v>
      </c>
      <c r="H9" s="17">
        <v>350</v>
      </c>
      <c r="I9" s="17">
        <v>48</v>
      </c>
      <c r="J9" s="17">
        <v>0</v>
      </c>
      <c r="K9" s="38">
        <f>SUM(B9:J9)</f>
        <v>2917</v>
      </c>
      <c r="L9" s="39"/>
      <c r="M9" s="17">
        <v>2917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106</v>
      </c>
      <c r="C10" s="17">
        <f>25+32+52+25+40+4+40+41+50+64+24+7+24+49+50+25+24+64+25+72+18+25+25+25+24+38+25+24+40+24+25+24.5+24.5+49+52+24+50+84+90+40+57+14</f>
        <v>1539</v>
      </c>
      <c r="D10" s="17">
        <v>75</v>
      </c>
      <c r="E10" s="17">
        <v>0</v>
      </c>
      <c r="F10" s="17">
        <v>0</v>
      </c>
      <c r="G10" s="17">
        <v>0</v>
      </c>
      <c r="H10" s="17">
        <v>300</v>
      </c>
      <c r="I10" s="17">
        <v>0</v>
      </c>
      <c r="J10" s="17">
        <v>0</v>
      </c>
      <c r="K10" s="38">
        <f>SUM(B10:J10)</f>
        <v>2020</v>
      </c>
      <c r="L10" s="39"/>
      <c r="M10" s="17">
        <v>2020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255</v>
      </c>
      <c r="C11" s="42">
        <f t="shared" si="2"/>
        <v>4274</v>
      </c>
      <c r="D11" s="42">
        <f t="shared" si="2"/>
        <v>518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800</v>
      </c>
      <c r="I11" s="42">
        <f t="shared" si="2"/>
        <v>48</v>
      </c>
      <c r="J11" s="42">
        <f t="shared" si="2"/>
        <v>0</v>
      </c>
      <c r="K11" s="42">
        <f t="shared" si="2"/>
        <v>5895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54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4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4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4" ht="16.5">
      <c r="A20" s="27" t="s">
        <v>21</v>
      </c>
      <c r="B20" s="23" t="s">
        <v>20</v>
      </c>
      <c r="C20" s="24">
        <v>5</v>
      </c>
      <c r="D20" s="25">
        <f>+C20*1</f>
        <v>5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255</v>
      </c>
    </row>
    <row r="24" spans="1:4">
      <c r="A24" t="s">
        <v>23</v>
      </c>
      <c r="D24" s="33">
        <f>315+89+580+255</f>
        <v>1239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5E88-EC18-4D6A-AE22-825163E0BB8C}">
  <dimension ref="A1:O24"/>
  <sheetViews>
    <sheetView workbookViewId="0">
      <selection activeCell="G22" sqref="G22:H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0</v>
      </c>
      <c r="C7" s="17">
        <f>15+15+30+26+246+31+253+27+49+26+54+231+25+34</f>
        <v>1062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1062</v>
      </c>
      <c r="L7" s="39"/>
      <c r="M7" s="17">
        <v>1062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27</v>
      </c>
      <c r="B9" s="17">
        <v>120</v>
      </c>
      <c r="C9" s="17">
        <f>20+7+40+65+47+42+20+15+20+60+104</f>
        <v>440</v>
      </c>
      <c r="D9" s="17">
        <v>50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610</v>
      </c>
      <c r="L9" s="39"/>
      <c r="M9" s="17">
        <v>610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330</v>
      </c>
      <c r="C10" s="17">
        <f>70+7+50+20+20+26+100+78+4+55+20+109+151+52+74+50+20+20+75+25+40+40+20+20+31+7+7+38+178+2+75+45+7+141+75</f>
        <v>1752</v>
      </c>
      <c r="D10" s="17">
        <v>475</v>
      </c>
      <c r="E10" s="17">
        <v>0</v>
      </c>
      <c r="F10" s="17">
        <v>0</v>
      </c>
      <c r="G10" s="17">
        <v>0</v>
      </c>
      <c r="H10" s="17">
        <v>0</v>
      </c>
      <c r="I10" s="17">
        <v>62</v>
      </c>
      <c r="J10" s="17">
        <v>0</v>
      </c>
      <c r="K10" s="38">
        <f>SUM(B10:J10)</f>
        <v>2619</v>
      </c>
      <c r="L10" s="39"/>
      <c r="M10" s="17">
        <v>2619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450</v>
      </c>
      <c r="C11" s="42">
        <f t="shared" si="2"/>
        <v>3254</v>
      </c>
      <c r="D11" s="42">
        <f t="shared" si="2"/>
        <v>575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62</v>
      </c>
      <c r="J11" s="42">
        <f t="shared" si="2"/>
        <v>0</v>
      </c>
      <c r="K11" s="42">
        <f t="shared" si="2"/>
        <v>4341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55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450</v>
      </c>
    </row>
    <row r="24" spans="1:4">
      <c r="A24" t="s">
        <v>23</v>
      </c>
      <c r="D24" s="33">
        <f>315+89+580+255+450</f>
        <v>1689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A20A-2BDE-458C-BB6A-941A62E6E7BA}">
  <dimension ref="A1:O24"/>
  <sheetViews>
    <sheetView workbookViewId="0">
      <selection activeCell="N13" sqref="N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45665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250</v>
      </c>
      <c r="L5" s="39"/>
      <c r="M5" s="17">
        <v>250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201</v>
      </c>
      <c r="C7" s="17">
        <f>130+64+110+40+139+50+20+5+7+84</f>
        <v>649</v>
      </c>
      <c r="D7" s="17">
        <v>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900</v>
      </c>
      <c r="L7" s="39"/>
      <c r="M7" s="17">
        <v>900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25</v>
      </c>
      <c r="B9" s="17">
        <v>74</v>
      </c>
      <c r="C9" s="17">
        <f>50+25+110+86+26+26+7+206+94+26+20+146+14+20+24+99+40+99+26</f>
        <v>1144</v>
      </c>
      <c r="D9" s="17">
        <v>610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1828</v>
      </c>
      <c r="L9" s="39"/>
      <c r="M9" s="17">
        <v>1846</v>
      </c>
      <c r="N9" s="40">
        <f t="shared" si="0"/>
        <v>0</v>
      </c>
      <c r="O9" s="40">
        <f t="shared" si="1"/>
        <v>18</v>
      </c>
    </row>
    <row r="10" spans="1:15" ht="16.5">
      <c r="A10" t="s">
        <v>27</v>
      </c>
      <c r="B10" s="17">
        <v>24</v>
      </c>
      <c r="C10" s="17">
        <f>20+24+65+50+25+76+110</f>
        <v>370</v>
      </c>
      <c r="D10" s="17">
        <v>50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444</v>
      </c>
      <c r="L10" s="39"/>
      <c r="M10" s="17">
        <v>444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299</v>
      </c>
      <c r="C11" s="42">
        <f t="shared" si="2"/>
        <v>2163</v>
      </c>
      <c r="D11" s="42">
        <f t="shared" si="2"/>
        <v>960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3422</v>
      </c>
      <c r="L11" s="43"/>
      <c r="M11" s="42">
        <v>0</v>
      </c>
      <c r="N11" s="42">
        <f>SUM(N4:N10)</f>
        <v>0</v>
      </c>
      <c r="O11" s="42">
        <f>SUM(O4:O10)</f>
        <v>18</v>
      </c>
    </row>
    <row r="12" spans="1:15" ht="15.75" thickBot="1"/>
    <row r="13" spans="1:15" ht="17.25" thickBot="1">
      <c r="A13" s="53">
        <v>45665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23</v>
      </c>
      <c r="D19" s="25">
        <f t="shared" si="3"/>
        <v>115</v>
      </c>
    </row>
    <row r="20" spans="1:4" ht="16.5">
      <c r="A20" s="27" t="s">
        <v>21</v>
      </c>
      <c r="B20" s="23" t="s">
        <v>20</v>
      </c>
      <c r="C20" s="24">
        <v>14</v>
      </c>
      <c r="D20" s="25">
        <f>+C20*1</f>
        <v>14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299</v>
      </c>
    </row>
    <row r="24" spans="1:4">
      <c r="A24" t="s">
        <v>23</v>
      </c>
      <c r="D24" s="33">
        <f>315+89+580+255+450+299</f>
        <v>1988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A723-69A5-472B-8F7D-7BBE67967C05}">
  <dimension ref="A1:O24"/>
  <sheetViews>
    <sheetView workbookViewId="0"/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45696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165</v>
      </c>
      <c r="C7" s="17">
        <f>50+20+25+20+20+50+70+89+47+26+166+25+20+84</f>
        <v>712</v>
      </c>
      <c r="D7" s="17">
        <v>25</v>
      </c>
      <c r="E7" s="17">
        <v>0</v>
      </c>
      <c r="F7" s="17">
        <v>0</v>
      </c>
      <c r="G7" s="17">
        <v>0</v>
      </c>
      <c r="H7" s="17">
        <v>0</v>
      </c>
      <c r="I7" s="17">
        <f>47+62</f>
        <v>109</v>
      </c>
      <c r="J7" s="17">
        <v>0</v>
      </c>
      <c r="K7" s="38">
        <f>SUM(B7:J7)</f>
        <v>1011</v>
      </c>
      <c r="L7" s="39"/>
      <c r="M7" s="17">
        <v>1010</v>
      </c>
      <c r="N7" s="40">
        <f t="shared" si="0"/>
        <v>1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26</v>
      </c>
      <c r="B9" s="17">
        <v>80</v>
      </c>
      <c r="C9" s="17">
        <f>34+20+20+20+55</f>
        <v>149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229</v>
      </c>
      <c r="L9" s="39"/>
      <c r="M9" s="17">
        <v>229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262</v>
      </c>
      <c r="C10" s="17">
        <f>49+50+38+38+38+26+24+20+39+20+25+25+38+24+20+189+126</f>
        <v>789</v>
      </c>
      <c r="D10" s="17">
        <v>226</v>
      </c>
      <c r="E10" s="17">
        <v>0</v>
      </c>
      <c r="F10" s="17">
        <v>0</v>
      </c>
      <c r="G10" s="17">
        <v>75</v>
      </c>
      <c r="H10" s="17">
        <v>0</v>
      </c>
      <c r="I10" s="17">
        <v>0</v>
      </c>
      <c r="J10" s="17">
        <v>0</v>
      </c>
      <c r="K10" s="38">
        <f>SUM(B10:J10)</f>
        <v>1352</v>
      </c>
      <c r="L10" s="39"/>
      <c r="M10" s="17">
        <v>1352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507</v>
      </c>
      <c r="C11" s="42">
        <f t="shared" si="2"/>
        <v>1650</v>
      </c>
      <c r="D11" s="42">
        <f t="shared" si="2"/>
        <v>251</v>
      </c>
      <c r="E11" s="42">
        <f t="shared" si="2"/>
        <v>0</v>
      </c>
      <c r="F11" s="42">
        <f t="shared" si="2"/>
        <v>0</v>
      </c>
      <c r="G11" s="42">
        <f t="shared" si="2"/>
        <v>75</v>
      </c>
      <c r="H11" s="42">
        <f t="shared" si="2"/>
        <v>0</v>
      </c>
      <c r="I11" s="42">
        <f t="shared" si="2"/>
        <v>109</v>
      </c>
      <c r="J11" s="42">
        <f t="shared" si="2"/>
        <v>0</v>
      </c>
      <c r="K11" s="42">
        <f t="shared" si="2"/>
        <v>2592</v>
      </c>
      <c r="L11" s="43"/>
      <c r="M11" s="42">
        <v>0</v>
      </c>
      <c r="N11" s="42">
        <f>SUM(N4:N10)</f>
        <v>1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>
        <v>45696</v>
      </c>
      <c r="B13" s="54"/>
      <c r="C13" s="54"/>
      <c r="D13" s="54"/>
      <c r="K13" s="53" t="s">
        <v>56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  <c r="K15" s="26">
        <v>100</v>
      </c>
      <c r="L15" s="23" t="s">
        <v>20</v>
      </c>
      <c r="M15" s="24">
        <v>19</v>
      </c>
      <c r="N15" s="25">
        <f t="shared" si="4"/>
        <v>1900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  <c r="K16" s="26">
        <v>50</v>
      </c>
      <c r="L16" s="23" t="s">
        <v>20</v>
      </c>
      <c r="M16" s="24">
        <v>11</v>
      </c>
      <c r="N16" s="25">
        <f t="shared" si="4"/>
        <v>550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1</v>
      </c>
      <c r="N17" s="25">
        <f t="shared" si="4"/>
        <v>20</v>
      </c>
    </row>
    <row r="18" spans="1:14" ht="16.5">
      <c r="A18" s="26">
        <v>10</v>
      </c>
      <c r="B18" s="23" t="s">
        <v>20</v>
      </c>
      <c r="C18" s="24">
        <v>0</v>
      </c>
      <c r="D18" s="25">
        <f t="shared" si="3"/>
        <v>0</v>
      </c>
      <c r="K18" s="26">
        <v>10</v>
      </c>
      <c r="L18" s="23" t="s">
        <v>20</v>
      </c>
      <c r="M18" s="24">
        <v>2</v>
      </c>
      <c r="N18" s="25">
        <f t="shared" si="4"/>
        <v>20</v>
      </c>
    </row>
    <row r="19" spans="1:14" ht="16.5">
      <c r="A19" s="26">
        <v>5</v>
      </c>
      <c r="B19" s="23" t="s">
        <v>20</v>
      </c>
      <c r="C19" s="24">
        <v>11</v>
      </c>
      <c r="D19" s="25">
        <f t="shared" si="3"/>
        <v>55</v>
      </c>
      <c r="K19" s="26">
        <v>5</v>
      </c>
      <c r="L19" s="23" t="s">
        <v>20</v>
      </c>
      <c r="M19" s="24">
        <v>1</v>
      </c>
      <c r="N19" s="25">
        <f t="shared" si="4"/>
        <v>5</v>
      </c>
    </row>
    <row r="20" spans="1:14" ht="16.5">
      <c r="A20" s="27" t="s">
        <v>21</v>
      </c>
      <c r="B20" s="23" t="s">
        <v>20</v>
      </c>
      <c r="C20" s="24">
        <v>2</v>
      </c>
      <c r="D20" s="25">
        <f>+C20*1</f>
        <v>2</v>
      </c>
      <c r="K20" s="27" t="s">
        <v>21</v>
      </c>
      <c r="L20" s="23" t="s">
        <v>20</v>
      </c>
      <c r="M20" s="24">
        <v>0</v>
      </c>
      <c r="N20" s="25">
        <f>+M20*1</f>
        <v>0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507</v>
      </c>
      <c r="K22" s="29" t="s">
        <v>22</v>
      </c>
      <c r="L22" s="30"/>
      <c r="M22" s="31">
        <v>0</v>
      </c>
      <c r="N22" s="32">
        <f>SUM(N14:N21)</f>
        <v>2495</v>
      </c>
    </row>
    <row r="24" spans="1:14">
      <c r="A24" t="s">
        <v>23</v>
      </c>
      <c r="D24" s="33">
        <f>315+89+580+255+450+299+507</f>
        <v>2495</v>
      </c>
    </row>
  </sheetData>
  <mergeCells count="3">
    <mergeCell ref="A2:O2"/>
    <mergeCell ref="A13:D13"/>
    <mergeCell ref="K13:N1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47D4-F6F9-413F-9027-AF3B72A6BF7A}">
  <dimension ref="A1:O24"/>
  <sheetViews>
    <sheetView workbookViewId="0">
      <selection activeCell="G19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45724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26</v>
      </c>
      <c r="B7" s="17">
        <v>0</v>
      </c>
      <c r="C7" s="17">
        <f>20+79+6+40+50+120+65+52+25</f>
        <v>457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457</v>
      </c>
      <c r="L7" s="39"/>
      <c r="M7" s="17">
        <v>457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27</v>
      </c>
      <c r="B9" s="17">
        <v>840</v>
      </c>
      <c r="C9" s="17">
        <f>10+24+24</f>
        <v>58</v>
      </c>
      <c r="D9" s="17">
        <v>117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1015</v>
      </c>
      <c r="L9" s="39"/>
      <c r="M9" s="17">
        <v>1015</v>
      </c>
      <c r="N9" s="40">
        <f t="shared" si="0"/>
        <v>0</v>
      </c>
      <c r="O9" s="40">
        <f t="shared" si="1"/>
        <v>0</v>
      </c>
    </row>
    <row r="10" spans="1:15" ht="16.5">
      <c r="A10" t="s">
        <v>24</v>
      </c>
      <c r="B10" s="17">
        <v>250</v>
      </c>
      <c r="C10" s="17">
        <f>10+84+25+25+25+20+20+156+50+68+20+50+25+125+40+20+25+40+25+20+103+62+50+25+25+20+50+40+140+70</f>
        <v>1458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1708</v>
      </c>
      <c r="L10" s="39"/>
      <c r="M10" s="17">
        <v>1708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1090</v>
      </c>
      <c r="C11" s="42">
        <f t="shared" si="2"/>
        <v>1973</v>
      </c>
      <c r="D11" s="42">
        <f t="shared" si="2"/>
        <v>117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3180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45724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1</v>
      </c>
      <c r="D14" s="25">
        <f t="shared" ref="D14:D19" si="3">A14*C14</f>
        <v>500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4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4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1090</v>
      </c>
    </row>
    <row r="24" spans="1:4">
      <c r="A24" t="s">
        <v>23</v>
      </c>
      <c r="D24" s="33">
        <v>1090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682D-003F-4251-977F-B233A98A951A}">
  <dimension ref="A1:O24"/>
  <sheetViews>
    <sheetView workbookViewId="0">
      <selection activeCell="H16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45755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19</v>
      </c>
      <c r="B7" s="17">
        <v>145</v>
      </c>
      <c r="C7" s="17">
        <f>5+25+110+26+26+27+130+59+40+72+20+50+25+47+20+25+48+18</f>
        <v>773</v>
      </c>
      <c r="D7" s="17">
        <v>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968</v>
      </c>
      <c r="L7" s="39"/>
      <c r="M7" s="17">
        <v>968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25</v>
      </c>
      <c r="B9" s="17">
        <v>0</v>
      </c>
      <c r="C9" s="17">
        <f>38+78+150</f>
        <v>266</v>
      </c>
      <c r="D9" s="17">
        <v>75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341</v>
      </c>
      <c r="L9" s="39"/>
      <c r="M9" s="17">
        <v>341</v>
      </c>
      <c r="N9" s="40">
        <f t="shared" si="0"/>
        <v>0</v>
      </c>
      <c r="O9" s="40">
        <f t="shared" si="1"/>
        <v>0</v>
      </c>
    </row>
    <row r="10" spans="1:15" ht="16.5">
      <c r="A10" t="s">
        <v>18</v>
      </c>
      <c r="B10" s="17">
        <v>116</v>
      </c>
      <c r="C10" s="17">
        <f>50+20+100+64+20+20+20+27+20+26+20</f>
        <v>387</v>
      </c>
      <c r="D10" s="17">
        <v>100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603</v>
      </c>
      <c r="L10" s="39"/>
      <c r="M10" s="17">
        <v>603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261</v>
      </c>
      <c r="C11" s="42">
        <f t="shared" si="2"/>
        <v>1426</v>
      </c>
      <c r="D11" s="42">
        <f t="shared" si="2"/>
        <v>275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1962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45755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261</v>
      </c>
    </row>
    <row r="24" spans="1:4">
      <c r="A24" t="s">
        <v>23</v>
      </c>
      <c r="D24" s="33">
        <f>1090+261</f>
        <v>1351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93E5-6631-4CFA-926A-511032C44F66}">
  <dimension ref="A1:O24"/>
  <sheetViews>
    <sheetView workbookViewId="0">
      <selection activeCell="G21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45785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200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200</v>
      </c>
      <c r="L5" s="39"/>
      <c r="M5" s="17">
        <v>200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26</v>
      </c>
      <c r="B7" s="17">
        <v>232</v>
      </c>
      <c r="C7" s="17">
        <f>25+27+26+10+150+12+12+30+25+34+100+25+40+20+38+82+20+38+26+25+20+25+14+7+15+37.5+32+20+25+20+64+37.5+50+24+24</f>
        <v>1180</v>
      </c>
      <c r="D7" s="17">
        <v>375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1787</v>
      </c>
      <c r="L7" s="39"/>
      <c r="M7" s="17">
        <v>1857</v>
      </c>
      <c r="N7" s="40">
        <f t="shared" si="0"/>
        <v>0</v>
      </c>
      <c r="O7" s="40">
        <f t="shared" si="1"/>
        <v>70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27</v>
      </c>
      <c r="B9" s="17">
        <v>27</v>
      </c>
      <c r="C9" s="17">
        <f>52+20+50</f>
        <v>122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149</v>
      </c>
      <c r="L9" s="39"/>
      <c r="M9" s="17">
        <v>149</v>
      </c>
      <c r="N9" s="40">
        <f t="shared" si="0"/>
        <v>0</v>
      </c>
      <c r="O9" s="40">
        <f t="shared" si="1"/>
        <v>0</v>
      </c>
    </row>
    <row r="10" spans="1:15" ht="16.5">
      <c r="A10" t="s">
        <v>24</v>
      </c>
      <c r="B10" s="17">
        <v>557</v>
      </c>
      <c r="C10" s="17">
        <f>25+70+24+70+24+58+25+25+25+40+115+20+84+5+25+170+25+26</f>
        <v>856</v>
      </c>
      <c r="D10" s="17">
        <v>100</v>
      </c>
      <c r="E10" s="17">
        <v>0</v>
      </c>
      <c r="F10" s="17">
        <v>0</v>
      </c>
      <c r="G10" s="17">
        <v>0</v>
      </c>
      <c r="H10" s="17">
        <v>0</v>
      </c>
      <c r="I10" s="17">
        <f>47+23+42+24+52+110+44</f>
        <v>342</v>
      </c>
      <c r="J10" s="17">
        <v>0</v>
      </c>
      <c r="K10" s="38">
        <f>SUM(B10:J10)</f>
        <v>1855</v>
      </c>
      <c r="L10" s="39"/>
      <c r="M10" s="17">
        <v>1855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816</v>
      </c>
      <c r="C11" s="42">
        <f t="shared" si="2"/>
        <v>2158</v>
      </c>
      <c r="D11" s="42">
        <f t="shared" si="2"/>
        <v>675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342</v>
      </c>
      <c r="J11" s="42">
        <f t="shared" si="2"/>
        <v>0</v>
      </c>
      <c r="K11" s="42">
        <f t="shared" si="2"/>
        <v>3991</v>
      </c>
      <c r="L11" s="43"/>
      <c r="M11" s="42">
        <v>0</v>
      </c>
      <c r="N11" s="42">
        <f>SUM(N4:N10)</f>
        <v>0</v>
      </c>
      <c r="O11" s="42">
        <f>SUM(O4:O10)</f>
        <v>70</v>
      </c>
    </row>
    <row r="12" spans="1:15" ht="15.75" thickBot="1"/>
    <row r="13" spans="1:15" ht="17.25" thickBot="1">
      <c r="A13" s="53">
        <v>45785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1</v>
      </c>
      <c r="D14" s="25">
        <f t="shared" ref="D14:D19" si="3">A14*C14</f>
        <v>500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4" ht="16.5">
      <c r="A20" s="27" t="s">
        <v>21</v>
      </c>
      <c r="B20" s="23" t="s">
        <v>20</v>
      </c>
      <c r="C20" s="24">
        <v>6</v>
      </c>
      <c r="D20" s="25">
        <f>+C20*1</f>
        <v>6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816</v>
      </c>
    </row>
    <row r="24" spans="1:4">
      <c r="A24" t="s">
        <v>23</v>
      </c>
      <c r="D24" s="33">
        <f>1090+261+816</f>
        <v>2167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CB8A-BA13-4320-B20B-6FD93CB29E99}">
  <dimension ref="A1:O24"/>
  <sheetViews>
    <sheetView workbookViewId="0">
      <selection activeCell="A1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45816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272</v>
      </c>
      <c r="C7" s="17">
        <f>76+99+50+26+100+68+26+65+48+10+166+15+48+30</f>
        <v>827</v>
      </c>
      <c r="D7" s="17">
        <v>377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1476</v>
      </c>
      <c r="L7" s="39"/>
      <c r="M7" s="17">
        <v>1476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18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t="s">
        <v>27</v>
      </c>
      <c r="B9" s="17">
        <v>470</v>
      </c>
      <c r="C9" s="17">
        <f>40+108+20+176+158+40+62+168+14+60+60</f>
        <v>906</v>
      </c>
      <c r="D9" s="17">
        <v>25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1401</v>
      </c>
      <c r="L9" s="39"/>
      <c r="M9" s="17">
        <v>1401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742</v>
      </c>
      <c r="C11" s="42">
        <f t="shared" si="2"/>
        <v>1733</v>
      </c>
      <c r="D11" s="42">
        <f t="shared" si="2"/>
        <v>402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2877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45816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4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742</v>
      </c>
    </row>
    <row r="24" spans="1:4">
      <c r="A24" t="s">
        <v>23</v>
      </c>
      <c r="D24" s="33">
        <f>1090+261+816+742</f>
        <v>2909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CADB-D988-4C01-9E4E-C562E1DDE20D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45846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26</v>
      </c>
      <c r="B7" s="17">
        <v>0</v>
      </c>
      <c r="C7" s="17">
        <f>20+20+7+75+20+43+24</f>
        <v>209</v>
      </c>
      <c r="D7" s="17">
        <v>100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309</v>
      </c>
      <c r="L7" s="39"/>
      <c r="M7" s="17">
        <v>309</v>
      </c>
      <c r="N7" s="40">
        <f t="shared" si="0"/>
        <v>0</v>
      </c>
      <c r="O7" s="40">
        <f t="shared" si="1"/>
        <v>0</v>
      </c>
    </row>
    <row r="8" spans="1:15" ht="16.5">
      <c r="A8" t="s">
        <v>18</v>
      </c>
      <c r="B8" s="17">
        <v>76</v>
      </c>
      <c r="C8" s="17">
        <f>150+20+70+25+25+24+193+50+20+145+45+7+14+20+4+7+14+20</f>
        <v>853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24</v>
      </c>
      <c r="J8" s="17">
        <v>0</v>
      </c>
      <c r="K8" s="38">
        <f>SUM(B8:J8)</f>
        <v>953</v>
      </c>
      <c r="L8" s="39"/>
      <c r="M8" s="17">
        <v>953</v>
      </c>
      <c r="N8" s="40">
        <f t="shared" si="0"/>
        <v>0</v>
      </c>
      <c r="O8" s="40">
        <f t="shared" si="1"/>
        <v>0</v>
      </c>
    </row>
    <row r="9" spans="1:15" ht="16.5">
      <c r="A9" t="s">
        <v>24</v>
      </c>
      <c r="B9" s="17">
        <v>185</v>
      </c>
      <c r="C9" s="17">
        <f>107+50+26+49+25+25+25+20+20+125+25+25+50+25+20+150+2+77+50+20+20+20+20+131+24+100+74+20+20+45+63+24+20+12</f>
        <v>1509</v>
      </c>
      <c r="D9" s="17">
        <v>50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1744</v>
      </c>
      <c r="L9" s="39"/>
      <c r="M9" s="17">
        <v>1744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261</v>
      </c>
      <c r="C11" s="42">
        <f t="shared" si="2"/>
        <v>2571</v>
      </c>
      <c r="D11" s="42">
        <f t="shared" si="2"/>
        <v>150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3006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45846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4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4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261</v>
      </c>
    </row>
    <row r="24" spans="1:4">
      <c r="A24" t="s">
        <v>23</v>
      </c>
      <c r="D24" s="33">
        <f>1090+261+816+742+261</f>
        <v>3170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4CFE-B09C-4EFE-A674-2A648C1EB4AD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45877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42</v>
      </c>
      <c r="L5" s="39"/>
      <c r="M5" s="17">
        <v>42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215</v>
      </c>
      <c r="C7" s="17">
        <f>24+94+60+54+25+1+63+49+25+20+48+55+205+26+140+126+42+25+38+50+50+75+54+7+44+20+26+20+26+15+24</f>
        <v>1531</v>
      </c>
      <c r="D7" s="17">
        <v>384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2130</v>
      </c>
      <c r="L7" s="39"/>
      <c r="M7" s="17">
        <v>2130</v>
      </c>
      <c r="N7" s="40">
        <f t="shared" si="0"/>
        <v>0</v>
      </c>
      <c r="O7" s="40">
        <f t="shared" si="1"/>
        <v>0</v>
      </c>
    </row>
    <row r="8" spans="1:15" ht="16.5">
      <c r="A8" t="s">
        <v>25</v>
      </c>
      <c r="B8" s="17">
        <v>222</v>
      </c>
      <c r="C8" s="17">
        <f>50+54+25+75</f>
        <v>204</v>
      </c>
      <c r="D8" s="17">
        <v>200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626</v>
      </c>
      <c r="L8" s="39"/>
      <c r="M8" s="17">
        <v>626</v>
      </c>
      <c r="N8" s="40">
        <f t="shared" si="0"/>
        <v>0</v>
      </c>
      <c r="O8" s="40">
        <f t="shared" si="1"/>
        <v>0</v>
      </c>
    </row>
    <row r="9" spans="1:15" ht="16.5">
      <c r="A9" t="s">
        <v>18</v>
      </c>
      <c r="B9" s="17">
        <v>45</v>
      </c>
      <c r="C9" s="17">
        <f>21+26+20+38+24+20+20+74+20+75+24+40+20+38+115+24</f>
        <v>599</v>
      </c>
      <c r="D9" s="17">
        <v>134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778</v>
      </c>
      <c r="L9" s="39"/>
      <c r="M9" s="17">
        <v>778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482</v>
      </c>
      <c r="C11" s="42">
        <f t="shared" si="2"/>
        <v>2334</v>
      </c>
      <c r="D11" s="42">
        <f t="shared" si="2"/>
        <v>760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3576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45877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8</v>
      </c>
      <c r="D18" s="25">
        <f t="shared" si="3"/>
        <v>80</v>
      </c>
    </row>
    <row r="19" spans="1:4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4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482</v>
      </c>
    </row>
    <row r="24" spans="1:4">
      <c r="A24" t="s">
        <v>23</v>
      </c>
      <c r="D24" s="33">
        <f>1090+261+816+742+261+482</f>
        <v>3652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0C25-DD83-4A10-9996-B62250A8CF03}">
  <dimension ref="A1:O24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45908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25</v>
      </c>
      <c r="B7" s="17">
        <v>90</v>
      </c>
      <c r="C7" s="17">
        <f>15+66+101+75+156+100+127+76+219+110+70+25</f>
        <v>1140</v>
      </c>
      <c r="D7" s="17">
        <v>184</v>
      </c>
      <c r="E7" s="17">
        <v>0</v>
      </c>
      <c r="F7" s="17">
        <v>0</v>
      </c>
      <c r="G7" s="17">
        <v>0</v>
      </c>
      <c r="H7" s="17">
        <v>0</v>
      </c>
      <c r="I7" s="17">
        <v>66</v>
      </c>
      <c r="J7" s="17">
        <v>0</v>
      </c>
      <c r="K7" s="38">
        <f>SUM(B7:J7)</f>
        <v>1480</v>
      </c>
      <c r="L7" s="39"/>
      <c r="M7" s="17">
        <v>1480</v>
      </c>
      <c r="N7" s="40">
        <f t="shared" si="0"/>
        <v>0</v>
      </c>
      <c r="O7" s="40">
        <f t="shared" si="1"/>
        <v>0</v>
      </c>
    </row>
    <row r="8" spans="1:15" ht="16.5">
      <c r="A8" t="s">
        <v>24</v>
      </c>
      <c r="B8" s="17">
        <v>0</v>
      </c>
      <c r="C8" s="17">
        <f>75+20+50+7+20+50+26+25+20+26+58+27</f>
        <v>404</v>
      </c>
      <c r="D8" s="17">
        <v>200</v>
      </c>
      <c r="E8" s="17">
        <v>0</v>
      </c>
      <c r="F8" s="17">
        <v>0</v>
      </c>
      <c r="G8" s="17">
        <v>0</v>
      </c>
      <c r="H8" s="17">
        <v>0</v>
      </c>
      <c r="I8" s="17">
        <f>7+20+48+38</f>
        <v>113</v>
      </c>
      <c r="J8" s="17">
        <v>0</v>
      </c>
      <c r="K8" s="38">
        <f>SUM(B8:J8)</f>
        <v>717</v>
      </c>
      <c r="L8" s="39"/>
      <c r="M8" s="17">
        <v>717</v>
      </c>
      <c r="N8" s="40">
        <f t="shared" si="0"/>
        <v>0</v>
      </c>
      <c r="O8" s="40">
        <f t="shared" si="1"/>
        <v>0</v>
      </c>
    </row>
    <row r="9" spans="1:15" ht="16.5">
      <c r="A9" t="s">
        <v>18</v>
      </c>
      <c r="B9" s="17">
        <v>55</v>
      </c>
      <c r="C9" s="17">
        <f>7+45+95+20+50+75+24+214+25+20+20+54+104+14+41+150+25+20+20+44+63+20</f>
        <v>1150</v>
      </c>
      <c r="D9" s="17">
        <v>204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1409</v>
      </c>
      <c r="L9" s="39"/>
      <c r="M9" s="17">
        <v>1409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145</v>
      </c>
      <c r="C11" s="42">
        <f t="shared" si="2"/>
        <v>2694</v>
      </c>
      <c r="D11" s="42">
        <f t="shared" si="2"/>
        <v>638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179</v>
      </c>
      <c r="J11" s="42">
        <f t="shared" si="2"/>
        <v>0</v>
      </c>
      <c r="K11" s="42">
        <f t="shared" si="2"/>
        <v>3656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>
        <v>45908</v>
      </c>
      <c r="B13" s="54"/>
      <c r="C13" s="54"/>
      <c r="D13" s="54"/>
      <c r="K13" s="53" t="s">
        <v>57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2</v>
      </c>
      <c r="N14" s="25">
        <f t="shared" ref="N14:N19" si="4">K14*M14</f>
        <v>1000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K15" s="26">
        <v>100</v>
      </c>
      <c r="L15" s="23" t="s">
        <v>20</v>
      </c>
      <c r="M15" s="24">
        <v>16</v>
      </c>
      <c r="N15" s="25">
        <f t="shared" si="4"/>
        <v>1600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22</v>
      </c>
      <c r="N16" s="25">
        <f t="shared" si="4"/>
        <v>1100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1</v>
      </c>
      <c r="N17" s="25">
        <f t="shared" si="4"/>
        <v>20</v>
      </c>
    </row>
    <row r="18" spans="1:14" ht="16.5">
      <c r="A18" s="26">
        <v>10</v>
      </c>
      <c r="B18" s="23" t="s">
        <v>20</v>
      </c>
      <c r="C18" s="24">
        <v>3</v>
      </c>
      <c r="D18" s="25">
        <f t="shared" si="3"/>
        <v>30</v>
      </c>
      <c r="K18" s="26">
        <v>10</v>
      </c>
      <c r="L18" s="23" t="s">
        <v>20</v>
      </c>
      <c r="M18" s="24">
        <v>4</v>
      </c>
      <c r="N18" s="25">
        <f t="shared" si="4"/>
        <v>40</v>
      </c>
    </row>
    <row r="19" spans="1:14" ht="16.5">
      <c r="A19" s="26">
        <v>5</v>
      </c>
      <c r="B19" s="23" t="s">
        <v>20</v>
      </c>
      <c r="C19" s="24">
        <v>9</v>
      </c>
      <c r="D19" s="25">
        <f t="shared" si="3"/>
        <v>45</v>
      </c>
      <c r="K19" s="26">
        <v>5</v>
      </c>
      <c r="L19" s="23" t="s">
        <v>20</v>
      </c>
      <c r="M19" s="24">
        <v>5</v>
      </c>
      <c r="N19" s="25">
        <f t="shared" si="4"/>
        <v>25</v>
      </c>
    </row>
    <row r="20" spans="1:14" ht="16.5">
      <c r="A20" s="27" t="s">
        <v>21</v>
      </c>
      <c r="B20" s="23" t="s">
        <v>20</v>
      </c>
      <c r="C20" s="24">
        <v>0</v>
      </c>
      <c r="D20" s="25">
        <f>+C20*1</f>
        <v>0</v>
      </c>
      <c r="K20" s="27" t="s">
        <v>21</v>
      </c>
      <c r="L20" s="23" t="s">
        <v>20</v>
      </c>
      <c r="M20" s="24">
        <v>12</v>
      </c>
      <c r="N20" s="25">
        <f>+M20*1</f>
        <v>12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145</v>
      </c>
      <c r="K22" s="29" t="s">
        <v>22</v>
      </c>
      <c r="L22" s="30"/>
      <c r="M22" s="31">
        <v>0</v>
      </c>
      <c r="N22" s="32">
        <f>SUM(N14:N21)</f>
        <v>3797</v>
      </c>
    </row>
    <row r="24" spans="1:14">
      <c r="A24" t="s">
        <v>23</v>
      </c>
      <c r="D24" s="33">
        <f>1090+261+816+742+261+482+145</f>
        <v>3797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BFB0-AB09-4D6A-A913-276E1399E7EB}">
  <dimension ref="A1:O24"/>
  <sheetViews>
    <sheetView topLeftCell="A2" workbookViewId="0">
      <selection activeCell="A13" sqref="A13:D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45938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31</v>
      </c>
      <c r="B7" s="17">
        <v>57</v>
      </c>
      <c r="C7" s="17">
        <f>25+24+26+75+20+91+24+50+1260+68+50+75+128+20+31+95+84</f>
        <v>2146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2203</v>
      </c>
      <c r="L7" s="39"/>
      <c r="M7" s="17">
        <v>2203</v>
      </c>
      <c r="N7" s="40">
        <f t="shared" si="0"/>
        <v>0</v>
      </c>
      <c r="O7" s="40">
        <f t="shared" si="1"/>
        <v>0</v>
      </c>
    </row>
    <row r="8" spans="1:15" ht="16.5">
      <c r="A8" t="s">
        <v>27</v>
      </c>
      <c r="B8" s="17">
        <v>214</v>
      </c>
      <c r="C8" s="17">
        <f>42+42+25+25+152+20+83+45+62+57+50+25+126+26+38+38+50+12+45+24+20+25+45+58+130+20+20+38+20+55+24</f>
        <v>1442</v>
      </c>
      <c r="D8" s="17">
        <v>727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2383</v>
      </c>
      <c r="L8" s="39"/>
      <c r="M8" s="17">
        <v>2383</v>
      </c>
      <c r="N8" s="40">
        <f t="shared" si="0"/>
        <v>0</v>
      </c>
      <c r="O8" s="40">
        <f t="shared" si="1"/>
        <v>0</v>
      </c>
    </row>
    <row r="9" spans="1:15" ht="16.5" hidden="1">
      <c r="A9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271</v>
      </c>
      <c r="C11" s="42">
        <f t="shared" si="2"/>
        <v>3588</v>
      </c>
      <c r="D11" s="42">
        <f t="shared" si="2"/>
        <v>777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4636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45938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5" ht="16.5">
      <c r="A19" s="26">
        <v>5</v>
      </c>
      <c r="B19" s="23" t="s">
        <v>20</v>
      </c>
      <c r="C19" s="24">
        <v>22</v>
      </c>
      <c r="D19" s="25">
        <f t="shared" si="3"/>
        <v>110</v>
      </c>
    </row>
    <row r="20" spans="1:5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271</v>
      </c>
    </row>
    <row r="24" spans="1:5">
      <c r="A24" t="s">
        <v>23</v>
      </c>
      <c r="D24" s="33">
        <v>271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BEA1-ED4B-490E-B556-F71DE096E8EF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45969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134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134</v>
      </c>
      <c r="L5" s="39"/>
      <c r="M5" s="17">
        <v>134</v>
      </c>
      <c r="N5" s="40">
        <f t="shared" si="0"/>
        <v>0</v>
      </c>
      <c r="O5" s="40">
        <f t="shared" si="1"/>
        <v>0</v>
      </c>
    </row>
    <row r="6" spans="1:15" ht="16.5" hidden="1">
      <c r="A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t="s">
        <v>26</v>
      </c>
      <c r="B7" s="17">
        <v>174</v>
      </c>
      <c r="C7" s="17">
        <f>75+27+168+159+75+50+50+133+26+24+75+20+100+309+25+20+2</f>
        <v>1338</v>
      </c>
      <c r="D7" s="17">
        <v>344</v>
      </c>
      <c r="E7" s="17">
        <v>0</v>
      </c>
      <c r="F7" s="17">
        <v>0</v>
      </c>
      <c r="G7" s="17">
        <v>0</v>
      </c>
      <c r="H7" s="17">
        <v>0</v>
      </c>
      <c r="I7" s="17">
        <f>26+38+40</f>
        <v>104</v>
      </c>
      <c r="J7" s="17">
        <v>0</v>
      </c>
      <c r="K7" s="38">
        <f>SUM(B7:J7)</f>
        <v>1960</v>
      </c>
      <c r="L7" s="39"/>
      <c r="M7" s="17">
        <v>1960</v>
      </c>
      <c r="N7" s="40">
        <f t="shared" si="0"/>
        <v>0</v>
      </c>
      <c r="O7" s="40">
        <f t="shared" si="1"/>
        <v>0</v>
      </c>
    </row>
    <row r="8" spans="1:15" ht="16.5">
      <c r="A8" t="s">
        <v>18</v>
      </c>
      <c r="B8" s="17">
        <v>162</v>
      </c>
      <c r="C8" s="17">
        <f>25+128+7+99+152+24+20+20+10+10+25+125+30+100+4+26+20+20+20+20+40+50+24+126+120+20+75+50</f>
        <v>1390</v>
      </c>
      <c r="D8" s="17">
        <v>84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1636</v>
      </c>
      <c r="L8" s="39"/>
      <c r="M8" s="17">
        <v>1636</v>
      </c>
      <c r="N8" s="40">
        <f t="shared" si="0"/>
        <v>0</v>
      </c>
      <c r="O8" s="40">
        <f t="shared" si="1"/>
        <v>0</v>
      </c>
    </row>
    <row r="9" spans="1:15" ht="16.5" hidden="1">
      <c r="A9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336</v>
      </c>
      <c r="C11" s="42">
        <f t="shared" si="2"/>
        <v>2728</v>
      </c>
      <c r="D11" s="42">
        <f t="shared" si="2"/>
        <v>562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104</v>
      </c>
      <c r="J11" s="42">
        <f t="shared" si="2"/>
        <v>0</v>
      </c>
      <c r="K11" s="42">
        <f t="shared" si="2"/>
        <v>3730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45969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5" ht="16.5">
      <c r="A19" s="26">
        <v>5</v>
      </c>
      <c r="B19" s="23" t="s">
        <v>20</v>
      </c>
      <c r="C19" s="24">
        <v>13</v>
      </c>
      <c r="D19" s="25">
        <f t="shared" si="3"/>
        <v>65</v>
      </c>
    </row>
    <row r="20" spans="1:5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336</v>
      </c>
    </row>
    <row r="24" spans="1:5">
      <c r="A24" t="s">
        <v>23</v>
      </c>
      <c r="D24" s="33">
        <f>271+336</f>
        <v>607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1B91-B67B-48C9-A9E6-EE8716E1275A}">
  <dimension ref="A1:O24"/>
  <sheetViews>
    <sheetView workbookViewId="0">
      <selection activeCell="H26" sqref="H2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45999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75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75</v>
      </c>
      <c r="L5" s="39"/>
      <c r="M5" s="17">
        <v>75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31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v>0</v>
      </c>
      <c r="O6" s="40">
        <v>0</v>
      </c>
    </row>
    <row r="7" spans="1:15" ht="16.5">
      <c r="A7" s="16" t="s">
        <v>31</v>
      </c>
      <c r="B7" s="17">
        <v>161</v>
      </c>
      <c r="C7" s="17">
        <f>26+50+42+110+15+25+35+24+74+7+25+43+25+44+80+43+125+197</f>
        <v>990</v>
      </c>
      <c r="D7" s="17">
        <v>170</v>
      </c>
      <c r="E7" s="17">
        <v>0</v>
      </c>
      <c r="F7" s="17">
        <v>0</v>
      </c>
      <c r="G7" s="17">
        <v>0</v>
      </c>
      <c r="H7" s="17">
        <v>0</v>
      </c>
      <c r="I7" s="17">
        <f>23+23+24+24+38</f>
        <v>132</v>
      </c>
      <c r="J7" s="17">
        <v>0</v>
      </c>
      <c r="K7" s="38">
        <f>SUM(B7:J7)</f>
        <v>1453</v>
      </c>
      <c r="L7" s="39"/>
      <c r="M7" s="17">
        <v>1453</v>
      </c>
      <c r="N7" s="40">
        <f t="shared" si="0"/>
        <v>0</v>
      </c>
      <c r="O7" s="40">
        <f t="shared" si="1"/>
        <v>0</v>
      </c>
    </row>
    <row r="8" spans="1:15" ht="16.5">
      <c r="A8" s="16" t="s">
        <v>27</v>
      </c>
      <c r="B8" s="17">
        <v>104</v>
      </c>
      <c r="C8" s="17">
        <f>19+20+75+40+26+20+135+20+81+20+2+22</f>
        <v>480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584</v>
      </c>
      <c r="L8" s="39"/>
      <c r="M8" s="17">
        <v>613</v>
      </c>
      <c r="N8" s="40">
        <f t="shared" si="0"/>
        <v>0</v>
      </c>
      <c r="O8" s="40">
        <f t="shared" si="1"/>
        <v>29</v>
      </c>
    </row>
    <row r="9" spans="1:15" ht="16.5">
      <c r="A9" s="16" t="s">
        <v>25</v>
      </c>
      <c r="B9" s="17">
        <v>366</v>
      </c>
      <c r="C9" s="17">
        <f>24+24+50+26+286+26+38+25+25+20+20+24+63+103+40+10+181+131+138+25+1+26</f>
        <v>1306</v>
      </c>
      <c r="D9" s="17">
        <v>200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1872</v>
      </c>
      <c r="L9" s="39"/>
      <c r="M9" s="17">
        <v>1872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25</v>
      </c>
      <c r="B10" s="44">
        <v>0</v>
      </c>
      <c r="C10" s="44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631</v>
      </c>
      <c r="C11" s="42">
        <f t="shared" si="2"/>
        <v>2776</v>
      </c>
      <c r="D11" s="42">
        <f t="shared" si="2"/>
        <v>445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132</v>
      </c>
      <c r="J11" s="42">
        <f t="shared" si="2"/>
        <v>0</v>
      </c>
      <c r="K11" s="42">
        <f t="shared" si="2"/>
        <v>3984</v>
      </c>
      <c r="L11" s="43"/>
      <c r="M11" s="42">
        <v>0</v>
      </c>
      <c r="N11" s="42">
        <f>SUM(N4:N10)</f>
        <v>0</v>
      </c>
      <c r="O11" s="42">
        <f>SUM(O4:O10)</f>
        <v>29</v>
      </c>
    </row>
    <row r="12" spans="1:15" ht="15.75" thickBot="1"/>
    <row r="13" spans="1:15" ht="17.25" thickBot="1">
      <c r="A13" s="53">
        <v>45999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6</v>
      </c>
      <c r="D16" s="25">
        <f t="shared" si="3"/>
        <v>300</v>
      </c>
    </row>
    <row r="17" spans="1:4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4" ht="16.5">
      <c r="A18" s="26">
        <v>10</v>
      </c>
      <c r="B18" s="23" t="s">
        <v>20</v>
      </c>
      <c r="C18" s="24">
        <v>7</v>
      </c>
      <c r="D18" s="25">
        <f t="shared" si="3"/>
        <v>70</v>
      </c>
    </row>
    <row r="19" spans="1:4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4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4" ht="16.5">
      <c r="A21" s="27"/>
      <c r="B21" s="28"/>
      <c r="C21" s="24">
        <v>0</v>
      </c>
      <c r="D21" s="25">
        <f>+C21*0.025</f>
        <v>0</v>
      </c>
    </row>
    <row r="22" spans="1:4" ht="16.5">
      <c r="A22" s="29" t="s">
        <v>22</v>
      </c>
      <c r="B22" s="30"/>
      <c r="C22" s="31">
        <v>0</v>
      </c>
      <c r="D22" s="32">
        <f>SUM(D14:D21)</f>
        <v>631</v>
      </c>
    </row>
    <row r="24" spans="1:4">
      <c r="A24" t="s">
        <v>23</v>
      </c>
      <c r="D24" s="33">
        <f>271+336+631</f>
        <v>1238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B159-80BF-4E39-A14C-9DE47A08D60A}">
  <dimension ref="A1:O24"/>
  <sheetViews>
    <sheetView workbookViewId="0">
      <selection activeCell="J28" sqref="J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75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75</v>
      </c>
      <c r="L5" s="39"/>
      <c r="M5" s="17">
        <v>75</v>
      </c>
      <c r="N5" s="40">
        <f t="shared" si="0"/>
        <v>0</v>
      </c>
      <c r="O5" s="40">
        <f t="shared" si="1"/>
        <v>0</v>
      </c>
    </row>
    <row r="6" spans="1:15" ht="16.5">
      <c r="A6" s="16" t="s">
        <v>25</v>
      </c>
      <c r="B6" s="17">
        <v>261</v>
      </c>
      <c r="C6" s="17">
        <f>25+26+50+33+44+75+75+74+33+33+33+139+20+78+10+25+25+38+38</f>
        <v>874</v>
      </c>
      <c r="D6" s="17">
        <v>195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1330</v>
      </c>
      <c r="L6" s="39"/>
      <c r="M6" s="17">
        <v>1330</v>
      </c>
      <c r="N6" s="40">
        <f t="shared" ref="N6" si="2">IF(K6&gt;M6,K6-M6,0)</f>
        <v>0</v>
      </c>
      <c r="O6" s="40">
        <f t="shared" ref="O6" si="3">IF(M6&gt;K6,M6-K6,0)</f>
        <v>0</v>
      </c>
    </row>
    <row r="7" spans="1:15" ht="16.5">
      <c r="A7" s="16" t="s">
        <v>27</v>
      </c>
      <c r="B7" s="17">
        <v>195</v>
      </c>
      <c r="C7" s="17">
        <f>7+20+20+12+19+80+50+15+25</f>
        <v>248</v>
      </c>
      <c r="D7" s="17">
        <v>75</v>
      </c>
      <c r="E7" s="17">
        <v>0</v>
      </c>
      <c r="F7" s="17">
        <v>0</v>
      </c>
      <c r="G7" s="17">
        <v>0</v>
      </c>
      <c r="H7" s="17">
        <v>0</v>
      </c>
      <c r="I7" s="17">
        <f>40+42+24+24</f>
        <v>130</v>
      </c>
      <c r="J7" s="17">
        <v>0</v>
      </c>
      <c r="K7" s="38">
        <f>SUM(B7:J7)</f>
        <v>648</v>
      </c>
      <c r="L7" s="39"/>
      <c r="M7" s="17">
        <v>648</v>
      </c>
      <c r="N7" s="40">
        <f t="shared" si="0"/>
        <v>0</v>
      </c>
      <c r="O7" s="40">
        <f t="shared" si="1"/>
        <v>0</v>
      </c>
    </row>
    <row r="8" spans="1:15" ht="16.5">
      <c r="A8" s="16" t="s">
        <v>18</v>
      </c>
      <c r="B8" s="17">
        <v>120</v>
      </c>
      <c r="C8" s="17">
        <f>76+20+150+65+27+192+25+20</f>
        <v>575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695</v>
      </c>
      <c r="L8" s="39"/>
      <c r="M8" s="17">
        <v>695</v>
      </c>
      <c r="N8" s="40">
        <f t="shared" si="0"/>
        <v>0</v>
      </c>
      <c r="O8" s="40">
        <f t="shared" si="1"/>
        <v>0</v>
      </c>
    </row>
    <row r="9" spans="1:15" ht="16.5" hidden="1">
      <c r="A9" t="s">
        <v>18</v>
      </c>
      <c r="B9" s="44">
        <v>0</v>
      </c>
      <c r="C9" s="44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4">SUM(B4:B10)</f>
        <v>576</v>
      </c>
      <c r="C11" s="42">
        <f t="shared" si="4"/>
        <v>1697</v>
      </c>
      <c r="D11" s="42">
        <f t="shared" si="4"/>
        <v>345</v>
      </c>
      <c r="E11" s="42">
        <f t="shared" si="4"/>
        <v>0</v>
      </c>
      <c r="F11" s="42">
        <f t="shared" si="4"/>
        <v>0</v>
      </c>
      <c r="G11" s="42">
        <f t="shared" si="4"/>
        <v>0</v>
      </c>
      <c r="H11" s="42">
        <f t="shared" si="4"/>
        <v>0</v>
      </c>
      <c r="I11" s="42">
        <f t="shared" si="4"/>
        <v>130</v>
      </c>
      <c r="J11" s="42">
        <f t="shared" si="4"/>
        <v>0</v>
      </c>
      <c r="K11" s="42">
        <f t="shared" si="4"/>
        <v>2748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59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5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5"/>
        <v>300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5"/>
        <v>150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5"/>
        <v>0</v>
      </c>
    </row>
    <row r="18" spans="1:5" ht="16.5">
      <c r="A18" s="26">
        <v>10</v>
      </c>
      <c r="B18" s="23" t="s">
        <v>20</v>
      </c>
      <c r="C18" s="24">
        <v>5</v>
      </c>
      <c r="D18" s="25">
        <f t="shared" si="5"/>
        <v>50</v>
      </c>
    </row>
    <row r="19" spans="1:5" ht="16.5">
      <c r="A19" s="26">
        <v>5</v>
      </c>
      <c r="B19" s="23" t="s">
        <v>20</v>
      </c>
      <c r="C19" s="24">
        <v>6</v>
      </c>
      <c r="D19" s="25">
        <f t="shared" si="5"/>
        <v>30</v>
      </c>
    </row>
    <row r="20" spans="1:5" ht="16.5">
      <c r="A20" s="27" t="s">
        <v>21</v>
      </c>
      <c r="B20" s="23" t="s">
        <v>20</v>
      </c>
      <c r="C20" s="24">
        <v>46</v>
      </c>
      <c r="D20" s="25">
        <f>+C20*1</f>
        <v>46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576</v>
      </c>
    </row>
    <row r="24" spans="1:5">
      <c r="A24" t="s">
        <v>23</v>
      </c>
      <c r="D24" s="33">
        <f>271+336+631+576</f>
        <v>1814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0DC8-B386-4AA3-88D6-FCFB933D769C}">
  <dimension ref="A1:O24"/>
  <sheetViews>
    <sheetView workbookViewId="0">
      <selection activeCell="J22" sqref="J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61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1983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1983</v>
      </c>
      <c r="L5" s="39"/>
      <c r="M5" s="17">
        <v>1983</v>
      </c>
      <c r="N5" s="40">
        <f t="shared" si="0"/>
        <v>0</v>
      </c>
      <c r="O5" s="40">
        <f t="shared" si="1"/>
        <v>0</v>
      </c>
    </row>
    <row r="6" spans="1:15" ht="16.5">
      <c r="A6" s="16" t="s">
        <v>60</v>
      </c>
      <c r="B6" s="17">
        <v>0</v>
      </c>
      <c r="C6" s="17">
        <v>0</v>
      </c>
      <c r="D6" s="17">
        <v>150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150</v>
      </c>
      <c r="L6" s="39"/>
      <c r="M6" s="17">
        <v>150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309</v>
      </c>
      <c r="C7" s="17">
        <f>75+45+24+50+174+55+42+122+12+35+25+49+7+75+20+42+93+38+100+130+87+50+20+75+35</f>
        <v>1480</v>
      </c>
      <c r="D7" s="17">
        <v>418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2207</v>
      </c>
      <c r="L7" s="39"/>
      <c r="M7" s="17">
        <v>2207</v>
      </c>
      <c r="N7" s="40">
        <f t="shared" si="0"/>
        <v>0</v>
      </c>
      <c r="O7" s="40">
        <f t="shared" si="1"/>
        <v>0</v>
      </c>
    </row>
    <row r="8" spans="1:15" ht="16.5">
      <c r="A8" s="16" t="s">
        <v>27</v>
      </c>
      <c r="B8" s="17">
        <v>367</v>
      </c>
      <c r="C8" s="17">
        <f>25+75+128+33+31+50+50+25+25+75+24+25+37+90+35+25</f>
        <v>753</v>
      </c>
      <c r="D8" s="17">
        <v>668</v>
      </c>
      <c r="E8" s="17">
        <v>0</v>
      </c>
      <c r="F8" s="17">
        <v>0</v>
      </c>
      <c r="G8" s="17">
        <v>0</v>
      </c>
      <c r="H8" s="17">
        <v>0</v>
      </c>
      <c r="I8" s="17">
        <v>7</v>
      </c>
      <c r="J8" s="17">
        <v>0</v>
      </c>
      <c r="K8" s="38">
        <f>SUM(B8:J8)</f>
        <v>1795</v>
      </c>
      <c r="L8" s="39"/>
      <c r="M8" s="17">
        <v>1795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s="16" t="s">
        <v>18</v>
      </c>
      <c r="B10" s="17">
        <v>126</v>
      </c>
      <c r="C10" s="17">
        <f>90+64+14+20+125+75+26+20+81</f>
        <v>515</v>
      </c>
      <c r="D10" s="17">
        <v>443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1084</v>
      </c>
      <c r="L10" s="39"/>
      <c r="M10" s="17">
        <v>1106</v>
      </c>
      <c r="N10" s="40">
        <f t="shared" si="0"/>
        <v>0</v>
      </c>
      <c r="O10" s="40">
        <f t="shared" si="1"/>
        <v>22</v>
      </c>
    </row>
    <row r="11" spans="1:15" ht="16.5">
      <c r="A11" s="41"/>
      <c r="B11" s="42">
        <f t="shared" ref="B11:K11" si="2">SUM(B4:B10)</f>
        <v>802</v>
      </c>
      <c r="C11" s="42">
        <f t="shared" si="2"/>
        <v>2748</v>
      </c>
      <c r="D11" s="42">
        <f t="shared" si="2"/>
        <v>3662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7</v>
      </c>
      <c r="J11" s="42">
        <f t="shared" si="2"/>
        <v>0</v>
      </c>
      <c r="K11" s="42">
        <f t="shared" si="2"/>
        <v>7219</v>
      </c>
      <c r="L11" s="43"/>
      <c r="M11" s="42">
        <v>0</v>
      </c>
      <c r="N11" s="42">
        <f>SUM(N4:N10)</f>
        <v>0</v>
      </c>
      <c r="O11" s="42">
        <f>SUM(O4:O10)</f>
        <v>22</v>
      </c>
    </row>
    <row r="12" spans="1:15" ht="15.75" thickBot="1"/>
    <row r="13" spans="1:15" ht="17.25" thickBot="1">
      <c r="A13" s="53" t="s">
        <v>61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5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5" ht="16.5">
      <c r="A20" s="27" t="s">
        <v>21</v>
      </c>
      <c r="B20" s="23" t="s">
        <v>20</v>
      </c>
      <c r="C20" s="24">
        <v>27</v>
      </c>
      <c r="D20" s="25">
        <f>+C20*1</f>
        <v>27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802</v>
      </c>
    </row>
    <row r="24" spans="1:5">
      <c r="A24" t="s">
        <v>23</v>
      </c>
      <c r="D24" s="33">
        <f>271+336+631+576+802</f>
        <v>2616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EAAA-D93E-41B2-A4C3-606E0677EE3C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62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853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853</v>
      </c>
      <c r="L5" s="39"/>
      <c r="M5" s="17">
        <v>853</v>
      </c>
      <c r="N5" s="40">
        <f t="shared" si="0"/>
        <v>0</v>
      </c>
      <c r="O5" s="40">
        <f t="shared" si="1"/>
        <v>0</v>
      </c>
    </row>
    <row r="6" spans="1:15" ht="16.5">
      <c r="A6" s="16" t="s">
        <v>19</v>
      </c>
      <c r="B6" s="17">
        <v>328</v>
      </c>
      <c r="C6" s="17">
        <f>20+20+26+95+40+200+26+38+20+52+322+382+20+45+25+50+5+30+100+20+30+26+40+7+20+26+69+7+14+141+24+45+106+20</f>
        <v>2111</v>
      </c>
      <c r="D6" s="17">
        <v>300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2739</v>
      </c>
      <c r="L6" s="39"/>
      <c r="M6" s="17">
        <v>2739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264</v>
      </c>
      <c r="C7" s="17">
        <f>50+50+52+7+26+125+7+64+42+35+50+25+25+95+20+38</f>
        <v>711</v>
      </c>
      <c r="D7" s="17">
        <v>988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1963</v>
      </c>
      <c r="L7" s="39"/>
      <c r="M7" s="17">
        <v>1963</v>
      </c>
      <c r="N7" s="40">
        <f t="shared" si="0"/>
        <v>0</v>
      </c>
      <c r="O7" s="40">
        <f t="shared" si="1"/>
        <v>0</v>
      </c>
    </row>
    <row r="8" spans="1:15" ht="16.5">
      <c r="A8" s="16" t="s">
        <v>24</v>
      </c>
      <c r="B8" s="17">
        <v>159</v>
      </c>
      <c r="C8" s="17">
        <f>58+69+40+33+14+100+21+10+182+70+90</f>
        <v>687</v>
      </c>
      <c r="D8" s="17">
        <v>1295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2141</v>
      </c>
      <c r="L8" s="39"/>
      <c r="M8" s="17">
        <v>2141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s="16" t="s">
        <v>60</v>
      </c>
      <c r="B10" s="17">
        <v>0</v>
      </c>
      <c r="C10" s="17">
        <v>0</v>
      </c>
      <c r="D10" s="17">
        <v>275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275</v>
      </c>
      <c r="L10" s="39"/>
      <c r="M10" s="17">
        <v>275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751</v>
      </c>
      <c r="C11" s="42">
        <f t="shared" si="2"/>
        <v>3509</v>
      </c>
      <c r="D11" s="42">
        <f t="shared" si="2"/>
        <v>3711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7971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62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5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5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5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5" ht="16.5">
      <c r="A20" s="27" t="s">
        <v>21</v>
      </c>
      <c r="B20" s="23" t="s">
        <v>20</v>
      </c>
      <c r="C20" s="24">
        <v>21</v>
      </c>
      <c r="D20" s="25">
        <f>+C20*1</f>
        <v>21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751</v>
      </c>
    </row>
    <row r="24" spans="1:5">
      <c r="A24" t="s">
        <v>23</v>
      </c>
      <c r="D24" s="33">
        <f>271+336+631+576+802+751</f>
        <v>3367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F58B-9317-415F-B18E-572341E3E861}">
  <dimension ref="A1:O24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264</v>
      </c>
      <c r="C6" s="17">
        <f>24+50+27+50+125+50+27+20+20+50+55+53+26+75+20+26+7+24+24+124+30+113+20+7+7</f>
        <v>1054</v>
      </c>
      <c r="D6" s="17">
        <v>225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1543</v>
      </c>
      <c r="L6" s="39"/>
      <c r="M6" s="17">
        <v>1543</v>
      </c>
      <c r="N6" s="40">
        <f t="shared" si="0"/>
        <v>0</v>
      </c>
      <c r="O6" s="40">
        <f t="shared" si="1"/>
        <v>0</v>
      </c>
    </row>
    <row r="7" spans="1:15" ht="16.5">
      <c r="A7" s="16" t="s">
        <v>18</v>
      </c>
      <c r="B7" s="17">
        <v>365</v>
      </c>
      <c r="C7" s="17">
        <f>20+45+26+144+121+20+20+40+15+20+5+20+20+90+20</f>
        <v>626</v>
      </c>
      <c r="D7" s="17">
        <v>100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1091</v>
      </c>
      <c r="L7" s="39"/>
      <c r="M7" s="17">
        <v>1091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629</v>
      </c>
      <c r="C11" s="42">
        <f t="shared" si="2"/>
        <v>1680</v>
      </c>
      <c r="D11" s="42">
        <f t="shared" si="2"/>
        <v>325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2634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63</v>
      </c>
      <c r="B13" s="54"/>
      <c r="C13" s="54"/>
      <c r="D13" s="54"/>
      <c r="K13" s="53" t="s">
        <v>64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  <c r="K15" s="26">
        <v>100</v>
      </c>
      <c r="L15" s="23" t="s">
        <v>20</v>
      </c>
      <c r="M15" s="24">
        <v>30</v>
      </c>
      <c r="N15" s="25">
        <f t="shared" si="4"/>
        <v>3000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19</v>
      </c>
      <c r="N16" s="25">
        <f t="shared" si="4"/>
        <v>950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1</v>
      </c>
      <c r="D18" s="25">
        <f t="shared" si="3"/>
        <v>10</v>
      </c>
      <c r="K18" s="26">
        <v>10</v>
      </c>
      <c r="L18" s="23" t="s">
        <v>20</v>
      </c>
      <c r="M18" s="24">
        <v>2</v>
      </c>
      <c r="N18" s="25">
        <f t="shared" si="4"/>
        <v>20</v>
      </c>
    </row>
    <row r="19" spans="1:14" ht="16.5">
      <c r="A19" s="26">
        <v>5</v>
      </c>
      <c r="B19" s="23" t="s">
        <v>20</v>
      </c>
      <c r="C19" s="24">
        <v>4</v>
      </c>
      <c r="D19" s="25">
        <f t="shared" si="3"/>
        <v>20</v>
      </c>
      <c r="K19" s="26">
        <v>5</v>
      </c>
      <c r="L19" s="23" t="s">
        <v>20</v>
      </c>
      <c r="M19" s="24">
        <v>5</v>
      </c>
      <c r="N19" s="25">
        <f t="shared" si="4"/>
        <v>25</v>
      </c>
    </row>
    <row r="20" spans="1:14" ht="16.5">
      <c r="A20" s="27" t="s">
        <v>21</v>
      </c>
      <c r="B20" s="23" t="s">
        <v>20</v>
      </c>
      <c r="C20" s="24">
        <v>49</v>
      </c>
      <c r="D20" s="25">
        <f>+C20*1</f>
        <v>49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629</v>
      </c>
      <c r="K22" s="29" t="s">
        <v>22</v>
      </c>
      <c r="L22" s="30"/>
      <c r="M22" s="31">
        <v>0</v>
      </c>
      <c r="N22" s="32">
        <f>SUM(N14:N21)</f>
        <v>3996</v>
      </c>
    </row>
    <row r="24" spans="1:14">
      <c r="A24" t="s">
        <v>23</v>
      </c>
      <c r="D24" s="33">
        <f>271+336+631+576+802+751+629</f>
        <v>3996</v>
      </c>
      <c r="E24" t="s">
        <v>58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6441-2700-4788-AB79-2372C5DE9F7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30CB-F4FC-473A-867F-987002CF70EC}">
  <dimension ref="A1:O24"/>
  <sheetViews>
    <sheetView workbookViewId="0">
      <selection activeCell="M15" sqref="M1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110</v>
      </c>
      <c r="C6" s="17">
        <f>7+89+20+20+26+50+35+50</f>
        <v>297</v>
      </c>
      <c r="D6" s="17">
        <v>100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507</v>
      </c>
      <c r="L6" s="39"/>
      <c r="M6" s="17">
        <v>507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237</v>
      </c>
      <c r="C7" s="17">
        <f>24+20+237+20+226+144+80+101+75+20+50+25+32+25+25+38+25+24</f>
        <v>1191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1428</v>
      </c>
      <c r="L7" s="39"/>
      <c r="M7" s="17">
        <v>1428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347</v>
      </c>
      <c r="C11" s="42">
        <f t="shared" si="2"/>
        <v>1488</v>
      </c>
      <c r="D11" s="42">
        <f t="shared" si="2"/>
        <v>100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1935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65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5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5" ht="16.5">
      <c r="A20" s="27" t="s">
        <v>21</v>
      </c>
      <c r="B20" s="23" t="s">
        <v>20</v>
      </c>
      <c r="C20" s="24">
        <v>12</v>
      </c>
      <c r="D20" s="25">
        <f>+C20*1</f>
        <v>12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347</v>
      </c>
    </row>
    <row r="24" spans="1:5">
      <c r="A24" t="s">
        <v>23</v>
      </c>
      <c r="D24" s="33">
        <v>347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A9A2-1EF9-4E1B-BE48-2609124AA0C3}">
  <dimension ref="A1:O24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25</v>
      </c>
      <c r="B6" s="17">
        <v>185</v>
      </c>
      <c r="C6" s="17">
        <f>27+99+15+30+50+42+25+15+20+25+125+30</f>
        <v>503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688</v>
      </c>
      <c r="L6" s="39"/>
      <c r="M6" s="17">
        <v>686</v>
      </c>
      <c r="N6" s="40">
        <f t="shared" si="0"/>
        <v>2</v>
      </c>
      <c r="O6" s="40">
        <f t="shared" si="1"/>
        <v>0</v>
      </c>
    </row>
    <row r="7" spans="1:15" ht="16.5">
      <c r="A7" s="16" t="s">
        <v>18</v>
      </c>
      <c r="B7" s="17">
        <v>70</v>
      </c>
      <c r="C7" s="17">
        <f>20+45+65+27+27+20+75+20+50+24+27+45+20+65+50</f>
        <v>580</v>
      </c>
      <c r="D7" s="17">
        <v>75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725</v>
      </c>
      <c r="L7" s="39"/>
      <c r="M7" s="17">
        <v>725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255</v>
      </c>
      <c r="C11" s="42">
        <f t="shared" si="2"/>
        <v>1083</v>
      </c>
      <c r="D11" s="42">
        <f t="shared" si="2"/>
        <v>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1413</v>
      </c>
      <c r="L11" s="43"/>
      <c r="M11" s="42">
        <v>0</v>
      </c>
      <c r="N11" s="42">
        <f>SUM(N4:N10)</f>
        <v>2</v>
      </c>
      <c r="O11" s="42">
        <f>SUM(O4:O10)</f>
        <v>0</v>
      </c>
    </row>
    <row r="12" spans="1:15" ht="15.75" thickBot="1"/>
    <row r="13" spans="1:15" ht="17.25" thickBot="1">
      <c r="A13" s="53" t="s">
        <v>66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5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5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255</v>
      </c>
    </row>
    <row r="24" spans="1:5">
      <c r="A24" t="s">
        <v>23</v>
      </c>
      <c r="D24" s="33">
        <f>347+255</f>
        <v>602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14A6-C5DF-4F7F-8EDD-D59D3A7B4E9F}">
  <dimension ref="A1:O24"/>
  <sheetViews>
    <sheetView workbookViewId="0">
      <selection activeCell="J13" sqref="J13:N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s="16" t="s">
        <v>27</v>
      </c>
      <c r="B6" s="17">
        <v>90</v>
      </c>
      <c r="C6" s="17">
        <f>15+25+116+25+50+25+40+150+50+75</f>
        <v>571</v>
      </c>
      <c r="D6" s="17">
        <v>100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761</v>
      </c>
      <c r="L6" s="39"/>
      <c r="M6" s="17">
        <v>761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120</v>
      </c>
      <c r="C7" s="17">
        <f>288+25+138+1+25+26+40+27+15+58+20</f>
        <v>663</v>
      </c>
      <c r="D7" s="17">
        <v>175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958</v>
      </c>
      <c r="L7" s="39"/>
      <c r="M7" s="17">
        <v>958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210</v>
      </c>
      <c r="C11" s="42">
        <f t="shared" si="2"/>
        <v>1234</v>
      </c>
      <c r="D11" s="42">
        <f t="shared" si="2"/>
        <v>275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1719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67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5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5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210</v>
      </c>
    </row>
    <row r="24" spans="1:5">
      <c r="A24" t="s">
        <v>23</v>
      </c>
      <c r="D24" s="33">
        <f>347+255+210</f>
        <v>812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3096-68EE-4E8D-BB48-E9AA1EDECB03}">
  <dimension ref="A1:O24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26</v>
      </c>
      <c r="B6" s="17">
        <v>308</v>
      </c>
      <c r="C6" s="17">
        <f>30+75+130+50+86+20+85+45+48+20+84+84+37+7+125+84+30</f>
        <v>1040</v>
      </c>
      <c r="D6" s="17">
        <v>75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1423</v>
      </c>
      <c r="L6" s="39"/>
      <c r="M6" s="17">
        <v>1423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135</v>
      </c>
      <c r="C7" s="17">
        <f>40+160+40+20+144+20+284+30+25+75+40+62+24</f>
        <v>964</v>
      </c>
      <c r="D7" s="17">
        <v>84</v>
      </c>
      <c r="E7" s="17">
        <v>0</v>
      </c>
      <c r="F7" s="17">
        <v>0</v>
      </c>
      <c r="G7" s="17">
        <v>0</v>
      </c>
      <c r="H7" s="17">
        <v>0</v>
      </c>
      <c r="I7" s="17">
        <v>42</v>
      </c>
      <c r="J7" s="17">
        <v>0</v>
      </c>
      <c r="K7" s="38">
        <f>SUM(B7:J7)</f>
        <v>1225</v>
      </c>
      <c r="L7" s="39"/>
      <c r="M7" s="17">
        <v>1225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443</v>
      </c>
      <c r="C11" s="42">
        <f t="shared" si="2"/>
        <v>2004</v>
      </c>
      <c r="D11" s="42">
        <f t="shared" si="2"/>
        <v>159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42</v>
      </c>
      <c r="J11" s="42">
        <f t="shared" si="2"/>
        <v>0</v>
      </c>
      <c r="K11" s="42">
        <f t="shared" si="2"/>
        <v>2648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68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5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5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5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5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443</v>
      </c>
    </row>
    <row r="24" spans="1:5">
      <c r="A24" t="s">
        <v>23</v>
      </c>
      <c r="D24" s="33">
        <f>347+255+210+443</f>
        <v>1255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CF8A-BF34-479D-85B1-88BC6DA89A49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69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50</v>
      </c>
      <c r="L5" s="39"/>
      <c r="M5" s="17">
        <v>50</v>
      </c>
      <c r="N5" s="40">
        <f t="shared" si="0"/>
        <v>0</v>
      </c>
      <c r="O5" s="40">
        <f t="shared" si="1"/>
        <v>0</v>
      </c>
    </row>
    <row r="6" spans="1:15" ht="16.5">
      <c r="A6" s="16" t="s">
        <v>24</v>
      </c>
      <c r="B6" s="17">
        <v>120</v>
      </c>
      <c r="C6" s="17">
        <f>15+24+20+15+50+128+25</f>
        <v>277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397</v>
      </c>
      <c r="L6" s="39"/>
      <c r="M6" s="17">
        <v>397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261</v>
      </c>
      <c r="C7" s="17">
        <f>20+20+65+24+63+25+45+45+10+20+7+25+70+26+65</f>
        <v>530</v>
      </c>
      <c r="D7" s="17">
        <v>225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1016</v>
      </c>
      <c r="L7" s="39"/>
      <c r="M7" s="17">
        <v>999</v>
      </c>
      <c r="N7" s="40">
        <f t="shared" si="0"/>
        <v>17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381</v>
      </c>
      <c r="C11" s="42">
        <f t="shared" si="2"/>
        <v>807</v>
      </c>
      <c r="D11" s="42">
        <f t="shared" si="2"/>
        <v>275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1463</v>
      </c>
      <c r="L11" s="43"/>
      <c r="M11" s="42">
        <v>0</v>
      </c>
      <c r="N11" s="42">
        <f>SUM(N4:N10)</f>
        <v>17</v>
      </c>
      <c r="O11" s="42">
        <f>SUM(O4:O10)</f>
        <v>0</v>
      </c>
    </row>
    <row r="12" spans="1:15" ht="15.75" thickBot="1"/>
    <row r="13" spans="1:15" ht="17.25" thickBot="1">
      <c r="A13" s="53" t="s">
        <v>69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5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5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5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5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5" ht="16.5">
      <c r="A21" s="27"/>
      <c r="B21" s="28"/>
      <c r="C21" s="24">
        <v>0</v>
      </c>
      <c r="D21" s="25">
        <f>+C21*0.025</f>
        <v>0</v>
      </c>
    </row>
    <row r="22" spans="1:5" ht="16.5">
      <c r="A22" s="29" t="s">
        <v>22</v>
      </c>
      <c r="B22" s="30"/>
      <c r="C22" s="31">
        <v>0</v>
      </c>
      <c r="D22" s="32">
        <f>SUM(D14:D21)</f>
        <v>381</v>
      </c>
    </row>
    <row r="24" spans="1:5">
      <c r="A24" t="s">
        <v>23</v>
      </c>
      <c r="D24" s="33">
        <f>347+255+210+443+381</f>
        <v>1636</v>
      </c>
      <c r="E24" t="s">
        <v>58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57C7-FAD2-48AE-B2FC-924952957AB0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18</v>
      </c>
      <c r="B6" s="17">
        <v>142</v>
      </c>
      <c r="C6" s="17">
        <f>50+50+52+40+138+38+25+72+75+50+20+117</f>
        <v>727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38</v>
      </c>
      <c r="J6" s="17">
        <v>0</v>
      </c>
      <c r="K6" s="38">
        <f>SUM(B6:J6)</f>
        <v>907</v>
      </c>
      <c r="L6" s="39"/>
      <c r="M6" s="17">
        <v>907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267</v>
      </c>
      <c r="C7" s="17">
        <f>47+77+45+20+7+248+50+62+7</f>
        <v>563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830</v>
      </c>
      <c r="L7" s="39"/>
      <c r="M7" s="17">
        <v>830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409</v>
      </c>
      <c r="C11" s="42">
        <f t="shared" si="2"/>
        <v>1290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38</v>
      </c>
      <c r="J11" s="42">
        <f t="shared" si="2"/>
        <v>0</v>
      </c>
      <c r="K11" s="42">
        <f t="shared" si="2"/>
        <v>1737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70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9</v>
      </c>
      <c r="D20" s="25">
        <f>+C20*1</f>
        <v>9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409</v>
      </c>
    </row>
    <row r="24" spans="1:7">
      <c r="A24" t="s">
        <v>23</v>
      </c>
      <c r="D24" s="33">
        <f>347+255+210+443+381+409</f>
        <v>2045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7724-3370-4353-8A06-2EEA465EA1F2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19</v>
      </c>
      <c r="B6" s="17">
        <v>174</v>
      </c>
      <c r="C6" s="17">
        <f>2+80+1+45+137+136+80+7+24+72+47+20+27+37+20+21</f>
        <v>756</v>
      </c>
      <c r="D6" s="17">
        <v>84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1014</v>
      </c>
      <c r="L6" s="39"/>
      <c r="M6" s="17">
        <v>1014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159</v>
      </c>
      <c r="C7" s="17">
        <f>24+7+51+182+7+61+100+25</f>
        <v>457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48</v>
      </c>
      <c r="J7" s="17">
        <v>0</v>
      </c>
      <c r="K7" s="38">
        <f>SUM(B7:J7)</f>
        <v>664</v>
      </c>
      <c r="L7" s="39"/>
      <c r="M7" s="17">
        <v>664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s="16" t="s">
        <v>60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333</v>
      </c>
      <c r="C11" s="42">
        <f t="shared" si="2"/>
        <v>1213</v>
      </c>
      <c r="D11" s="42">
        <f t="shared" si="2"/>
        <v>84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48</v>
      </c>
      <c r="J11" s="42">
        <f t="shared" si="2"/>
        <v>0</v>
      </c>
      <c r="K11" s="42">
        <f t="shared" si="2"/>
        <v>1678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73</v>
      </c>
      <c r="B13" s="54"/>
      <c r="C13" s="54"/>
      <c r="D13" s="54"/>
      <c r="K13" s="53" t="s">
        <v>72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3</v>
      </c>
      <c r="N14" s="25">
        <f t="shared" ref="N14:N19" si="4">K14*M14</f>
        <v>1500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  <c r="K15" s="26">
        <v>100</v>
      </c>
      <c r="L15" s="23" t="s">
        <v>20</v>
      </c>
      <c r="M15" s="24">
        <v>8</v>
      </c>
      <c r="N15" s="25">
        <f t="shared" si="4"/>
        <v>800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  <c r="K16" s="26">
        <v>50</v>
      </c>
      <c r="L16" s="23" t="s">
        <v>20</v>
      </c>
      <c r="M16" s="24">
        <v>1</v>
      </c>
      <c r="N16" s="25">
        <f t="shared" si="4"/>
        <v>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0</v>
      </c>
      <c r="D18" s="25">
        <f t="shared" si="3"/>
        <v>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4</v>
      </c>
      <c r="D19" s="25">
        <f t="shared" si="3"/>
        <v>20</v>
      </c>
      <c r="K19" s="26">
        <v>5</v>
      </c>
      <c r="L19" s="23" t="s">
        <v>20</v>
      </c>
      <c r="M19" s="24">
        <v>5</v>
      </c>
      <c r="N19" s="25">
        <f t="shared" si="4"/>
        <v>25</v>
      </c>
    </row>
    <row r="20" spans="1:14" ht="16.5">
      <c r="A20" s="27" t="s">
        <v>21</v>
      </c>
      <c r="B20" s="23" t="s">
        <v>20</v>
      </c>
      <c r="C20" s="24">
        <v>13</v>
      </c>
      <c r="D20" s="25">
        <f>+C20*1</f>
        <v>13</v>
      </c>
      <c r="K20" s="27" t="s">
        <v>21</v>
      </c>
      <c r="L20" s="23" t="s">
        <v>20</v>
      </c>
      <c r="M20" s="24">
        <v>3</v>
      </c>
      <c r="N20" s="25">
        <f>+M20*1</f>
        <v>3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333</v>
      </c>
      <c r="K22" s="29" t="s">
        <v>22</v>
      </c>
      <c r="L22" s="30"/>
      <c r="M22" s="31">
        <v>0</v>
      </c>
      <c r="N22" s="32">
        <f>SUM(N14:N21)</f>
        <v>2378</v>
      </c>
    </row>
    <row r="24" spans="1:14">
      <c r="A24" t="s">
        <v>23</v>
      </c>
      <c r="D24" s="33">
        <f>347+255+210+443+381+409+333</f>
        <v>2378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3BB4-E5E6-414C-8411-455E905E7B31}">
  <dimension ref="A1:O28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-12</v>
      </c>
      <c r="N4" s="40">
        <f t="shared" ref="N4:N10" si="0">IF(K4&gt;M4,K4-M4,0)</f>
        <v>12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31</v>
      </c>
      <c r="B6" s="17">
        <v>25</v>
      </c>
      <c r="C6" s="17">
        <f>24+20+50</f>
        <v>94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119</v>
      </c>
      <c r="L6" s="39"/>
      <c r="M6" s="17">
        <v>120</v>
      </c>
      <c r="N6" s="40">
        <f t="shared" si="0"/>
        <v>0</v>
      </c>
      <c r="O6" s="40">
        <f t="shared" si="1"/>
        <v>1</v>
      </c>
    </row>
    <row r="7" spans="1:15" ht="16.5">
      <c r="A7" t="s">
        <v>27</v>
      </c>
      <c r="B7" s="17">
        <v>0</v>
      </c>
      <c r="C7" s="17">
        <v>110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110</v>
      </c>
      <c r="L7" s="39"/>
      <c r="M7" s="17">
        <v>110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>
      <c r="A10" t="s">
        <v>24</v>
      </c>
      <c r="B10" s="17">
        <v>146</v>
      </c>
      <c r="C10" s="17">
        <f>20+7+50+20+24+24+26+20+20+12+64+26+80+100+24+26+40+2+26</f>
        <v>611</v>
      </c>
      <c r="D10" s="17">
        <v>125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882</v>
      </c>
      <c r="L10" s="39"/>
      <c r="M10" s="17">
        <v>882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171</v>
      </c>
      <c r="C11" s="42">
        <f t="shared" si="2"/>
        <v>815</v>
      </c>
      <c r="D11" s="42">
        <f t="shared" si="2"/>
        <v>125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1111</v>
      </c>
      <c r="L11" s="43"/>
      <c r="M11" s="42">
        <v>0</v>
      </c>
      <c r="N11" s="42">
        <f>SUM(N4:N10)</f>
        <v>12</v>
      </c>
      <c r="O11" s="42">
        <f>SUM(O4:O10)</f>
        <v>1</v>
      </c>
    </row>
    <row r="12" spans="1:15" ht="15.75" thickBot="1"/>
    <row r="13" spans="1:15" ht="17.25" thickBot="1">
      <c r="A13" s="53" t="s">
        <v>74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171</v>
      </c>
    </row>
    <row r="24" spans="1:7">
      <c r="A24" t="s">
        <v>23</v>
      </c>
      <c r="D24" s="33">
        <v>171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F098-C87E-4EF7-A82C-975B3B7995FA}">
  <dimension ref="A1:O28"/>
  <sheetViews>
    <sheetView workbookViewId="0">
      <selection activeCell="J31" sqref="J31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31</v>
      </c>
      <c r="B6" s="17">
        <v>102</v>
      </c>
      <c r="C6" s="17">
        <v>0</v>
      </c>
      <c r="D6" s="17">
        <v>25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127</v>
      </c>
      <c r="L6" s="39"/>
      <c r="M6" s="17">
        <v>127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60</v>
      </c>
      <c r="C7" s="17">
        <f>26+20+24+20+50+65+40+26+20</f>
        <v>291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351</v>
      </c>
      <c r="L7" s="39"/>
      <c r="M7" s="17">
        <v>351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162</v>
      </c>
      <c r="C11" s="42">
        <f t="shared" si="2"/>
        <v>291</v>
      </c>
      <c r="D11" s="42">
        <f t="shared" si="2"/>
        <v>25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478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75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162</v>
      </c>
    </row>
    <row r="24" spans="1:7">
      <c r="A24" t="s">
        <v>23</v>
      </c>
      <c r="D24" s="33">
        <f>171+162</f>
        <v>333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CBA5-462B-42A2-941D-FD5D20315F6A}">
  <dimension ref="A1:O28"/>
  <sheetViews>
    <sheetView workbookViewId="0">
      <selection activeCell="K32" sqref="K3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27</v>
      </c>
      <c r="B6" s="17">
        <v>0</v>
      </c>
      <c r="C6" s="17">
        <f>70+116+12</f>
        <v>198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198</v>
      </c>
      <c r="L6" s="39"/>
      <c r="M6" s="17">
        <v>198</v>
      </c>
      <c r="N6" s="40">
        <f t="shared" si="0"/>
        <v>0</v>
      </c>
      <c r="O6" s="40">
        <f t="shared" si="1"/>
        <v>0</v>
      </c>
    </row>
    <row r="7" spans="1:15" ht="16.5">
      <c r="A7" t="s">
        <v>24</v>
      </c>
      <c r="B7" s="17">
        <v>24</v>
      </c>
      <c r="C7" s="17">
        <f>38+45+20+50+24+38+7</f>
        <v>222</v>
      </c>
      <c r="D7" s="17">
        <v>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296</v>
      </c>
      <c r="L7" s="39"/>
      <c r="M7" s="17">
        <v>296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24</v>
      </c>
      <c r="C11" s="42">
        <f t="shared" si="2"/>
        <v>420</v>
      </c>
      <c r="D11" s="42">
        <f t="shared" si="2"/>
        <v>50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494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76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24</v>
      </c>
    </row>
    <row r="24" spans="1:7">
      <c r="A24" t="s">
        <v>23</v>
      </c>
      <c r="D24" s="33">
        <f>171+162+24</f>
        <v>357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8BD7-F195-47AE-B715-7902B43CDF21}">
  <dimension ref="A1:O28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>
      <c r="A6" t="s">
        <v>31</v>
      </c>
      <c r="B6" s="17">
        <v>66</v>
      </c>
      <c r="C6" s="17">
        <f>20+24+25+75+24+20+38</f>
        <v>226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292</v>
      </c>
      <c r="L6" s="39"/>
      <c r="M6" s="17">
        <v>292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0</v>
      </c>
      <c r="C7" s="17">
        <f>62+25+25+25+25+20+10+10+20+115+46+20+20+50+20+26</f>
        <v>519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519</v>
      </c>
      <c r="L7" s="39"/>
      <c r="M7" s="17">
        <v>519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6.5" hidden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66</v>
      </c>
      <c r="C11" s="42">
        <f t="shared" si="2"/>
        <v>745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811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77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66</v>
      </c>
    </row>
    <row r="24" spans="1:7">
      <c r="A24" t="s">
        <v>23</v>
      </c>
      <c r="D24" s="33">
        <f>171+162+24+66</f>
        <v>423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B8FD-B419-4982-BD7A-A13CED3902AA}">
  <dimension ref="A1:O28"/>
  <sheetViews>
    <sheetView workbookViewId="0">
      <selection activeCell="I28" sqref="I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702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702</v>
      </c>
      <c r="L5" s="39"/>
      <c r="M5" s="17">
        <v>702</v>
      </c>
      <c r="N5" s="40">
        <f t="shared" si="0"/>
        <v>0</v>
      </c>
      <c r="O5" s="40">
        <f t="shared" si="1"/>
        <v>0</v>
      </c>
    </row>
    <row r="6" spans="1:15" ht="16.5">
      <c r="A6" t="s">
        <v>24</v>
      </c>
      <c r="B6" s="17">
        <v>135</v>
      </c>
      <c r="C6" s="17">
        <v>907</v>
      </c>
      <c r="D6" s="17">
        <v>740</v>
      </c>
      <c r="E6" s="17">
        <v>0</v>
      </c>
      <c r="F6" s="17">
        <v>0</v>
      </c>
      <c r="G6" s="17">
        <v>0</v>
      </c>
      <c r="H6" s="17">
        <v>0</v>
      </c>
      <c r="I6" s="17">
        <v>24</v>
      </c>
      <c r="J6" s="17">
        <v>0</v>
      </c>
      <c r="K6" s="38">
        <f>SUM(B6:J6)</f>
        <v>1806</v>
      </c>
      <c r="L6" s="39"/>
      <c r="M6" s="17">
        <v>1806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193</v>
      </c>
      <c r="C7" s="17">
        <f>42+192+62+52+26+70+40+26+24+20+128+20+7+80+12+20+20</f>
        <v>841</v>
      </c>
      <c r="D7" s="17">
        <v>636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1670</v>
      </c>
      <c r="L7" s="39"/>
      <c r="M7" s="17">
        <v>1672</v>
      </c>
      <c r="N7" s="40">
        <f t="shared" si="0"/>
        <v>0</v>
      </c>
      <c r="O7" s="40">
        <f t="shared" si="1"/>
        <v>2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5" customHeight="1">
      <c r="A10" t="s">
        <v>26</v>
      </c>
      <c r="B10" s="17">
        <v>165</v>
      </c>
      <c r="C10" s="17">
        <f>129+24+15+86+15+20+20+26+24+26+7+7+2+24</f>
        <v>425</v>
      </c>
      <c r="D10" s="17">
        <v>160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750</v>
      </c>
      <c r="L10" s="39"/>
      <c r="M10" s="17">
        <v>750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493</v>
      </c>
      <c r="C11" s="42">
        <f t="shared" si="2"/>
        <v>2173</v>
      </c>
      <c r="D11" s="42">
        <f t="shared" si="2"/>
        <v>2238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4928</v>
      </c>
      <c r="L11" s="43"/>
      <c r="M11" s="42">
        <v>0</v>
      </c>
      <c r="N11" s="42">
        <f>SUM(N4:N10)</f>
        <v>0</v>
      </c>
      <c r="O11" s="42">
        <f>SUM(O4:O10)</f>
        <v>2</v>
      </c>
    </row>
    <row r="12" spans="1:15" ht="15.75" thickBot="1"/>
    <row r="13" spans="1:15" ht="17.25" thickBot="1">
      <c r="A13" s="53" t="s">
        <v>78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7" ht="16.5">
      <c r="A20" s="27" t="s">
        <v>21</v>
      </c>
      <c r="B20" s="23" t="s">
        <v>20</v>
      </c>
      <c r="C20" s="24">
        <v>13</v>
      </c>
      <c r="D20" s="25">
        <f>+C20*1</f>
        <v>13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493</v>
      </c>
    </row>
    <row r="24" spans="1:7">
      <c r="A24" t="s">
        <v>23</v>
      </c>
      <c r="D24" s="33">
        <f>171+162+24+66+493</f>
        <v>916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F3FC-912C-47D7-BE59-EF05047B31D3}">
  <dimension ref="A1:O28"/>
  <sheetViews>
    <sheetView workbookViewId="0">
      <selection activeCell="A6" sqref="A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79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16</v>
      </c>
      <c r="N4" s="40">
        <f t="shared" ref="N4:N10" si="0">IF(K4&gt;M4,K4-M4,0)</f>
        <v>0</v>
      </c>
      <c r="O4" s="40">
        <f t="shared" ref="O4:O10" si="1">IF(M4&gt;K4,M4-K4,0)</f>
        <v>16</v>
      </c>
    </row>
    <row r="5" spans="1:15" ht="16.5">
      <c r="A5" s="10" t="s">
        <v>17</v>
      </c>
      <c r="B5" s="17">
        <v>0</v>
      </c>
      <c r="C5" s="17">
        <v>0</v>
      </c>
      <c r="D5" s="17">
        <v>256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256</v>
      </c>
      <c r="L5" s="39"/>
      <c r="M5" s="17">
        <v>256</v>
      </c>
      <c r="N5" s="40">
        <f t="shared" si="0"/>
        <v>0</v>
      </c>
      <c r="O5" s="40">
        <f t="shared" si="1"/>
        <v>0</v>
      </c>
    </row>
    <row r="6" spans="1:15" ht="16.5">
      <c r="A6" t="s">
        <v>18</v>
      </c>
      <c r="B6" s="17">
        <v>420</v>
      </c>
      <c r="C6" s="17">
        <f>20+27+252+96+31+7+20+64+32+32+168+27+7+26+54+49+105+84+20+20+27+32+32+24+24+50+40+104+111+40+64+33+32</f>
        <v>1754</v>
      </c>
      <c r="D6" s="17">
        <v>1206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3380</v>
      </c>
      <c r="L6" s="39"/>
      <c r="M6" s="17">
        <v>3380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0</v>
      </c>
      <c r="C7" s="17">
        <f>26+84+194+96+146+26+26+160+96+148+7+82+24+47+154+74+22</f>
        <v>1412</v>
      </c>
      <c r="D7" s="17">
        <v>42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1454</v>
      </c>
      <c r="L7" s="39"/>
      <c r="M7" s="17">
        <v>1478</v>
      </c>
      <c r="N7" s="40">
        <f t="shared" si="0"/>
        <v>0</v>
      </c>
      <c r="O7" s="40">
        <f t="shared" si="1"/>
        <v>24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5" customHeight="1">
      <c r="A10" t="s">
        <v>19</v>
      </c>
      <c r="B10" s="17">
        <v>164</v>
      </c>
      <c r="C10" s="17">
        <f>2+20+98+48+21+36+4+26+96+20+24+20+20</f>
        <v>435</v>
      </c>
      <c r="D10" s="17">
        <v>128</v>
      </c>
      <c r="E10" s="17">
        <v>0</v>
      </c>
      <c r="F10" s="17">
        <v>0</v>
      </c>
      <c r="G10" s="17">
        <v>0</v>
      </c>
      <c r="H10" s="17">
        <v>0</v>
      </c>
      <c r="I10" s="17">
        <v>24</v>
      </c>
      <c r="J10" s="17">
        <v>0</v>
      </c>
      <c r="K10" s="38">
        <f>SUM(B10:J10)</f>
        <v>751</v>
      </c>
      <c r="L10" s="39"/>
      <c r="M10" s="17">
        <v>751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584</v>
      </c>
      <c r="C11" s="42">
        <f t="shared" si="2"/>
        <v>3601</v>
      </c>
      <c r="D11" s="42">
        <f t="shared" si="2"/>
        <v>1632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5841</v>
      </c>
      <c r="L11" s="43"/>
      <c r="M11" s="42">
        <v>0</v>
      </c>
      <c r="N11" s="42">
        <f>SUM(N4:N10)</f>
        <v>0</v>
      </c>
      <c r="O11" s="42">
        <f>SUM(O4:O10)</f>
        <v>40</v>
      </c>
    </row>
    <row r="12" spans="1:15" ht="15.75" thickBot="1"/>
    <row r="13" spans="1:15" ht="17.25" thickBot="1">
      <c r="A13" s="53" t="s">
        <v>79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584</v>
      </c>
    </row>
    <row r="24" spans="1:7">
      <c r="A24" t="s">
        <v>23</v>
      </c>
      <c r="D24" s="33">
        <f>171+162+24+66+493+584</f>
        <v>1500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7C4E-FA14-4835-9E5D-128DBA975592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80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896</v>
      </c>
      <c r="L5" s="39"/>
      <c r="M5" s="17">
        <v>896</v>
      </c>
      <c r="N5" s="40">
        <f t="shared" si="0"/>
        <v>0</v>
      </c>
      <c r="O5" s="40">
        <f t="shared" si="1"/>
        <v>0</v>
      </c>
    </row>
    <row r="6" spans="1:15" ht="16.5">
      <c r="A6" s="16" t="s">
        <v>26</v>
      </c>
      <c r="B6" s="17">
        <v>539</v>
      </c>
      <c r="C6" s="17">
        <f>20+15+7+50+38+64+15+24+24+7+26</f>
        <v>290</v>
      </c>
      <c r="D6" s="17">
        <v>604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1433</v>
      </c>
      <c r="L6" s="39"/>
      <c r="M6" s="17">
        <v>1433</v>
      </c>
      <c r="N6" s="40">
        <f t="shared" si="0"/>
        <v>0</v>
      </c>
      <c r="O6" s="40">
        <f t="shared" si="1"/>
        <v>0</v>
      </c>
    </row>
    <row r="7" spans="1:15" ht="16.5">
      <c r="A7" s="16" t="s">
        <v>27</v>
      </c>
      <c r="B7" s="17">
        <v>170</v>
      </c>
      <c r="C7" s="17">
        <f>7+24+192+32+48+26+111+32+64</f>
        <v>536</v>
      </c>
      <c r="D7" s="17">
        <v>572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1278</v>
      </c>
      <c r="L7" s="39"/>
      <c r="M7" s="17">
        <v>1278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24</v>
      </c>
      <c r="B10" s="17">
        <v>338</v>
      </c>
      <c r="C10" s="17">
        <f>20+64+64+5+42+4+42+24+20+20+15+20+10+10+47+64+40+52+64+20+32+76+26+192+38+186+86+60+38+103+64+7+46+26+64+32</f>
        <v>1723</v>
      </c>
      <c r="D10" s="17">
        <v>1484</v>
      </c>
      <c r="E10" s="17">
        <v>0</v>
      </c>
      <c r="F10" s="17">
        <v>0</v>
      </c>
      <c r="G10" s="17">
        <v>0</v>
      </c>
      <c r="H10" s="17">
        <v>0</v>
      </c>
      <c r="I10" s="17">
        <v>26</v>
      </c>
      <c r="J10" s="17">
        <v>0</v>
      </c>
      <c r="K10" s="38">
        <f>SUM(B10:J10)</f>
        <v>3571</v>
      </c>
      <c r="L10" s="39"/>
      <c r="M10" s="17">
        <v>3571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1047</v>
      </c>
      <c r="C11" s="42">
        <f t="shared" si="2"/>
        <v>2549</v>
      </c>
      <c r="D11" s="42">
        <f t="shared" si="2"/>
        <v>3556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26</v>
      </c>
      <c r="J11" s="42">
        <f t="shared" si="2"/>
        <v>0</v>
      </c>
      <c r="K11" s="42">
        <f t="shared" si="2"/>
        <v>7178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80</v>
      </c>
      <c r="B13" s="54"/>
      <c r="C13" s="54"/>
      <c r="D13" s="54"/>
      <c r="K13" s="53" t="s">
        <v>81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  <c r="K15" s="26">
        <v>100</v>
      </c>
      <c r="L15" s="23" t="s">
        <v>20</v>
      </c>
      <c r="M15" s="24">
        <v>19</v>
      </c>
      <c r="N15" s="25">
        <f t="shared" si="4"/>
        <v>1900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  <c r="K16" s="26">
        <v>50</v>
      </c>
      <c r="L16" s="23" t="s">
        <v>20</v>
      </c>
      <c r="M16" s="24">
        <v>12</v>
      </c>
      <c r="N16" s="25">
        <f t="shared" si="4"/>
        <v>600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5</v>
      </c>
      <c r="D18" s="25">
        <f t="shared" si="3"/>
        <v>50</v>
      </c>
      <c r="K18" s="26">
        <v>10</v>
      </c>
      <c r="L18" s="23" t="s">
        <v>20</v>
      </c>
      <c r="M18" s="24">
        <v>1</v>
      </c>
      <c r="N18" s="25">
        <f t="shared" si="4"/>
        <v>10</v>
      </c>
    </row>
    <row r="19" spans="1:14" ht="16.5">
      <c r="A19" s="26">
        <v>5</v>
      </c>
      <c r="B19" s="23" t="s">
        <v>20</v>
      </c>
      <c r="C19" s="24">
        <v>3</v>
      </c>
      <c r="D19" s="25">
        <f t="shared" si="3"/>
        <v>15</v>
      </c>
      <c r="K19" s="26">
        <v>5</v>
      </c>
      <c r="L19" s="23" t="s">
        <v>20</v>
      </c>
      <c r="M19" s="24">
        <v>7</v>
      </c>
      <c r="N19" s="25">
        <f t="shared" si="4"/>
        <v>35</v>
      </c>
    </row>
    <row r="20" spans="1:14" ht="16.5">
      <c r="A20" s="27" t="s">
        <v>21</v>
      </c>
      <c r="B20" s="23" t="s">
        <v>20</v>
      </c>
      <c r="C20" s="24">
        <v>12</v>
      </c>
      <c r="D20" s="25">
        <f>+C20*1</f>
        <v>12</v>
      </c>
      <c r="K20" s="27" t="s">
        <v>21</v>
      </c>
      <c r="L20" s="23" t="s">
        <v>20</v>
      </c>
      <c r="M20" s="24">
        <v>2</v>
      </c>
      <c r="N20" s="25">
        <f>+M20*1</f>
        <v>2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1047</v>
      </c>
      <c r="K22" s="29" t="s">
        <v>22</v>
      </c>
      <c r="L22" s="30"/>
      <c r="M22" s="31">
        <v>0</v>
      </c>
      <c r="N22" s="32">
        <f>SUM(N14:N21)</f>
        <v>2547</v>
      </c>
    </row>
    <row r="24" spans="1:14">
      <c r="A24" t="s">
        <v>23</v>
      </c>
      <c r="D24" s="33">
        <f>171+162+24+66+493+584+1047</f>
        <v>2547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A0D3-C42D-483D-A40D-017FB4776F7A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82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552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552</v>
      </c>
      <c r="L5" s="39"/>
      <c r="M5" s="17">
        <v>552</v>
      </c>
      <c r="N5" s="40">
        <f t="shared" si="0"/>
        <v>0</v>
      </c>
      <c r="O5" s="40">
        <f t="shared" si="1"/>
        <v>0</v>
      </c>
    </row>
    <row r="6" spans="1:15" ht="16.5">
      <c r="A6" s="16" t="s">
        <v>27</v>
      </c>
      <c r="B6" s="17">
        <v>224</v>
      </c>
      <c r="C6" s="17">
        <f>7+40+40+26+82+308+84+58+62+24</f>
        <v>731</v>
      </c>
      <c r="D6" s="17">
        <v>542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1497</v>
      </c>
      <c r="L6" s="39"/>
      <c r="M6" s="17">
        <v>1497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126</v>
      </c>
      <c r="C7" s="17">
        <f>22+22+26+128+30+64+26+89</f>
        <v>407</v>
      </c>
      <c r="D7" s="17">
        <v>900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1433</v>
      </c>
      <c r="L7" s="39"/>
      <c r="M7" s="17">
        <v>1433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18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83</v>
      </c>
      <c r="B10" s="17">
        <v>0</v>
      </c>
      <c r="C10" s="17">
        <v>0</v>
      </c>
      <c r="D10" s="17">
        <v>924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924</v>
      </c>
      <c r="L10" s="39"/>
      <c r="M10" s="17">
        <v>924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350</v>
      </c>
      <c r="C11" s="42">
        <f t="shared" si="2"/>
        <v>1138</v>
      </c>
      <c r="D11" s="42">
        <f t="shared" si="2"/>
        <v>2918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4406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82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10</v>
      </c>
      <c r="D20" s="25">
        <f>+C20*1</f>
        <v>10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350</v>
      </c>
    </row>
    <row r="24" spans="1:7">
      <c r="A24" t="s">
        <v>23</v>
      </c>
      <c r="D24" s="33">
        <v>350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5F2E-F7B8-4E3E-9D69-8677FAC43184}">
  <dimension ref="A1:O28"/>
  <sheetViews>
    <sheetView workbookViewId="0">
      <selection activeCell="G24" sqref="G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45666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1716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1716</v>
      </c>
      <c r="L5" s="39"/>
      <c r="M5" s="17">
        <v>1716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419</v>
      </c>
      <c r="C7" s="17">
        <f>160+38+12+96+96+144+54+121+20+7+84+38+26+26+64+96</f>
        <v>1082</v>
      </c>
      <c r="D7" s="17">
        <v>424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1925</v>
      </c>
      <c r="L7" s="39"/>
      <c r="M7" s="17">
        <v>1925</v>
      </c>
      <c r="N7" s="40">
        <f t="shared" si="0"/>
        <v>0</v>
      </c>
      <c r="O7" s="40">
        <f t="shared" si="1"/>
        <v>0</v>
      </c>
    </row>
    <row r="8" spans="1:15" ht="16.5">
      <c r="A8" s="16" t="s">
        <v>24</v>
      </c>
      <c r="B8" s="17">
        <v>44</v>
      </c>
      <c r="C8" s="17">
        <v>91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135</v>
      </c>
      <c r="L8" s="39"/>
      <c r="M8" s="17">
        <v>135</v>
      </c>
      <c r="N8" s="40">
        <f t="shared" si="0"/>
        <v>0</v>
      </c>
      <c r="O8" s="40">
        <f t="shared" si="1"/>
        <v>0</v>
      </c>
    </row>
    <row r="9" spans="1:15" ht="16.5">
      <c r="A9" s="16" t="s">
        <v>26</v>
      </c>
      <c r="B9" s="17">
        <v>44</v>
      </c>
      <c r="C9" s="17">
        <f>20+21+31+64+20+20+7+98+48+20+96+38+48+20+24+48+66</f>
        <v>689</v>
      </c>
      <c r="D9" s="17">
        <v>1560</v>
      </c>
      <c r="E9" s="17">
        <v>0</v>
      </c>
      <c r="F9" s="17">
        <v>0</v>
      </c>
      <c r="G9" s="17">
        <v>0</v>
      </c>
      <c r="H9" s="17">
        <v>0</v>
      </c>
      <c r="I9" s="17">
        <v>50</v>
      </c>
      <c r="J9" s="17">
        <v>0</v>
      </c>
      <c r="K9" s="38">
        <f>SUM(B9:J9)</f>
        <v>2343</v>
      </c>
      <c r="L9" s="39"/>
      <c r="M9" s="17">
        <v>2343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83</v>
      </c>
      <c r="B10" s="17">
        <v>0</v>
      </c>
      <c r="C10" s="17">
        <v>0</v>
      </c>
      <c r="D10" s="17">
        <v>446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446</v>
      </c>
      <c r="L10" s="39"/>
      <c r="M10" s="17">
        <v>446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507</v>
      </c>
      <c r="C11" s="42">
        <f t="shared" si="2"/>
        <v>1862</v>
      </c>
      <c r="D11" s="42">
        <f t="shared" si="2"/>
        <v>4146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50</v>
      </c>
      <c r="J11" s="42">
        <f t="shared" si="2"/>
        <v>0</v>
      </c>
      <c r="K11" s="42">
        <f t="shared" si="2"/>
        <v>6565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45666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7</v>
      </c>
      <c r="D18" s="25">
        <f t="shared" si="3"/>
        <v>70</v>
      </c>
    </row>
    <row r="19" spans="1:7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7" ht="16.5">
      <c r="A20" s="27" t="s">
        <v>21</v>
      </c>
      <c r="B20" s="23" t="s">
        <v>20</v>
      </c>
      <c r="C20" s="24">
        <v>22</v>
      </c>
      <c r="D20" s="25">
        <f>+C20*1</f>
        <v>22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507</v>
      </c>
    </row>
    <row r="24" spans="1:7">
      <c r="A24" t="s">
        <v>23</v>
      </c>
      <c r="D24" s="33">
        <f>350+507</f>
        <v>857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EAF9-174A-4991-B686-0636A101BA07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45697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64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64</v>
      </c>
      <c r="L5" s="39"/>
      <c r="M5" s="17">
        <v>64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27</v>
      </c>
      <c r="B7" s="17">
        <v>0</v>
      </c>
      <c r="C7" s="17">
        <f>132+192+128+32+14+46</f>
        <v>544</v>
      </c>
      <c r="D7" s="17">
        <v>550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1094</v>
      </c>
      <c r="L7" s="39"/>
      <c r="M7" s="17">
        <v>1095</v>
      </c>
      <c r="N7" s="40">
        <f t="shared" si="0"/>
        <v>0</v>
      </c>
      <c r="O7" s="40">
        <f t="shared" si="1"/>
        <v>1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24</v>
      </c>
      <c r="B9" s="17">
        <v>458</v>
      </c>
      <c r="C9" s="17">
        <f>20+20+20+24+96+24+32+160+150+114+7+160+46+76+52+20+46+64+59+26+128+96</f>
        <v>1440</v>
      </c>
      <c r="D9" s="17">
        <v>1686</v>
      </c>
      <c r="E9" s="17">
        <v>0</v>
      </c>
      <c r="F9" s="17">
        <v>0</v>
      </c>
      <c r="G9" s="17">
        <v>0</v>
      </c>
      <c r="H9" s="17">
        <v>0</v>
      </c>
      <c r="I9" s="17">
        <v>24</v>
      </c>
      <c r="J9" s="17">
        <v>0</v>
      </c>
      <c r="K9" s="38">
        <f>SUM(B9:J9)</f>
        <v>3608</v>
      </c>
      <c r="L9" s="39"/>
      <c r="M9" s="17">
        <v>3608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84</v>
      </c>
      <c r="B10" s="17">
        <v>0</v>
      </c>
      <c r="C10" s="17">
        <f>64+25</f>
        <v>89</v>
      </c>
      <c r="D10" s="17">
        <v>372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461</v>
      </c>
      <c r="L10" s="39"/>
      <c r="M10" s="17">
        <v>460</v>
      </c>
      <c r="N10" s="40">
        <f t="shared" si="0"/>
        <v>1</v>
      </c>
      <c r="O10" s="40">
        <f t="shared" si="1"/>
        <v>0</v>
      </c>
    </row>
    <row r="11" spans="1:15" ht="16.5">
      <c r="A11" s="41"/>
      <c r="B11" s="42">
        <f t="shared" ref="B11:K11" si="2">SUM(B4:B10)</f>
        <v>458</v>
      </c>
      <c r="C11" s="42">
        <f t="shared" si="2"/>
        <v>2073</v>
      </c>
      <c r="D11" s="42">
        <f t="shared" si="2"/>
        <v>2672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5227</v>
      </c>
      <c r="L11" s="43"/>
      <c r="M11" s="42">
        <v>0</v>
      </c>
      <c r="N11" s="42">
        <f>SUM(N4:N10)</f>
        <v>1</v>
      </c>
      <c r="O11" s="42">
        <f>SUM(O4:O10)</f>
        <v>1</v>
      </c>
    </row>
    <row r="12" spans="1:15" ht="15.75" thickBot="1"/>
    <row r="13" spans="1:15" ht="17.25" thickBot="1">
      <c r="A13" s="53">
        <v>45697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458</v>
      </c>
    </row>
    <row r="24" spans="1:7">
      <c r="A24" t="s">
        <v>23</v>
      </c>
      <c r="D24" s="33">
        <f>350+507+458</f>
        <v>1315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3630-BF87-4E96-ADB7-6465E613E9DC}">
  <dimension ref="A1:O28"/>
  <sheetViews>
    <sheetView workbookViewId="0">
      <selection activeCell="G28" sqref="G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45725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856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856</v>
      </c>
      <c r="L5" s="39"/>
      <c r="M5" s="17">
        <v>856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t="s">
        <v>31</v>
      </c>
      <c r="B7" s="17">
        <v>441</v>
      </c>
      <c r="C7" s="17">
        <f>152+67+7+7+26+51+1+64+48+80+20+77+40+26+84+25+20+26+54+24+96</f>
        <v>995</v>
      </c>
      <c r="D7" s="17">
        <v>1106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2542</v>
      </c>
      <c r="L7" s="39"/>
      <c r="M7" s="17">
        <v>2542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25</v>
      </c>
      <c r="B9" s="17">
        <v>230</v>
      </c>
      <c r="C9" s="17">
        <f>26+26+30+20+14+7</f>
        <v>123</v>
      </c>
      <c r="D9" s="17">
        <v>960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1313</v>
      </c>
      <c r="L9" s="39"/>
      <c r="M9" s="17">
        <v>1313</v>
      </c>
      <c r="N9" s="40">
        <f t="shared" si="0"/>
        <v>0</v>
      </c>
      <c r="O9" s="40">
        <f t="shared" si="1"/>
        <v>0</v>
      </c>
    </row>
    <row r="10" spans="1:15" ht="15" hidden="1" customHeight="1">
      <c r="A10" s="16" t="s">
        <v>84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671</v>
      </c>
      <c r="C11" s="42">
        <f t="shared" si="2"/>
        <v>1118</v>
      </c>
      <c r="D11" s="42">
        <f t="shared" si="2"/>
        <v>2922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4711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45725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6</v>
      </c>
      <c r="D15" s="25">
        <f t="shared" si="3"/>
        <v>600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671</v>
      </c>
    </row>
    <row r="24" spans="1:7">
      <c r="A24" t="s">
        <v>23</v>
      </c>
      <c r="D24" s="33">
        <f>350+507+458+671</f>
        <v>1986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A2BB-5B20-4D8E-9DE0-146D40CFB3E4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45756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1892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1892</v>
      </c>
      <c r="L5" s="39"/>
      <c r="M5" s="17">
        <v>1892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31</v>
      </c>
      <c r="B7" s="17">
        <v>381</v>
      </c>
      <c r="C7" s="17">
        <f>27+26+20+88+33+26+192+64+26+32+128+25+20+27+78+53+53+45+24+24+60+48+40+221+25+7</f>
        <v>1412</v>
      </c>
      <c r="D7" s="17">
        <v>902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2695</v>
      </c>
      <c r="L7" s="39"/>
      <c r="M7" s="17">
        <v>2695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19</v>
      </c>
      <c r="B9" s="17">
        <v>580</v>
      </c>
      <c r="C9" s="17">
        <f>54+64+78+24+26+22+14+160+7+14+168+7+66+20+48+55+32+24+30+81+52</f>
        <v>1046</v>
      </c>
      <c r="D9" s="17">
        <v>948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2574</v>
      </c>
      <c r="L9" s="39"/>
      <c r="M9" s="17">
        <v>2574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84</v>
      </c>
      <c r="B10" s="17">
        <v>0</v>
      </c>
      <c r="C10" s="17">
        <f>15+25+7</f>
        <v>47</v>
      </c>
      <c r="D10" s="17">
        <v>794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841</v>
      </c>
      <c r="L10" s="39"/>
      <c r="M10" s="17">
        <v>841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961</v>
      </c>
      <c r="C11" s="42">
        <f t="shared" si="2"/>
        <v>2505</v>
      </c>
      <c r="D11" s="42">
        <f t="shared" si="2"/>
        <v>4536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8002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45756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961</v>
      </c>
    </row>
    <row r="24" spans="1:7">
      <c r="A24" t="s">
        <v>23</v>
      </c>
      <c r="D24" s="33">
        <f>350+507+458+671+961</f>
        <v>2947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8C86-8B9D-49DB-BDE1-73694CFE2CFC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45786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1104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1104</v>
      </c>
      <c r="L5" s="39"/>
      <c r="M5" s="17">
        <v>1104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559</v>
      </c>
      <c r="C7" s="17">
        <f>32+20+48+64+32+32+92+62+29+20+20+7+96+14+26+78+32+64+20+7+84+27+26+20+7+7+71+71+7+20+26+49+24</f>
        <v>1234</v>
      </c>
      <c r="D7" s="17">
        <v>2748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4541</v>
      </c>
      <c r="L7" s="39"/>
      <c r="M7" s="17">
        <v>4541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27</v>
      </c>
      <c r="B9" s="17">
        <v>475</v>
      </c>
      <c r="C9" s="17">
        <f>7+26+126+103+24+20+41+20+24+96+7+62+96+26+20+48+20+7+20+40+20</f>
        <v>853</v>
      </c>
      <c r="D9" s="17">
        <v>928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2256</v>
      </c>
      <c r="L9" s="39"/>
      <c r="M9" s="17">
        <v>2256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25</v>
      </c>
      <c r="B10" s="17">
        <v>350</v>
      </c>
      <c r="C10" s="17">
        <f>54+64+40+67+67+73+24+20+20+42+26+40+26</f>
        <v>563</v>
      </c>
      <c r="D10" s="17">
        <v>2338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3251</v>
      </c>
      <c r="L10" s="39"/>
      <c r="M10" s="17">
        <v>3250</v>
      </c>
      <c r="N10" s="40">
        <f t="shared" si="0"/>
        <v>1</v>
      </c>
      <c r="O10" s="40">
        <f t="shared" si="1"/>
        <v>0</v>
      </c>
    </row>
    <row r="11" spans="1:15" ht="16.5">
      <c r="A11" s="41"/>
      <c r="B11" s="42">
        <f t="shared" ref="B11:K11" si="2">SUM(B4:B10)</f>
        <v>1384</v>
      </c>
      <c r="C11" s="42">
        <f t="shared" si="2"/>
        <v>2650</v>
      </c>
      <c r="D11" s="42">
        <f t="shared" si="2"/>
        <v>7118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11152</v>
      </c>
      <c r="L11" s="43"/>
      <c r="M11" s="42">
        <v>0</v>
      </c>
      <c r="N11" s="42">
        <f>SUM(N4:N10)</f>
        <v>1</v>
      </c>
      <c r="O11" s="42">
        <f>SUM(O4:O10)</f>
        <v>0</v>
      </c>
    </row>
    <row r="12" spans="1:15" ht="15.75" thickBot="1"/>
    <row r="13" spans="1:15" ht="17.25" thickBot="1">
      <c r="A13" s="53">
        <v>45786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9</v>
      </c>
      <c r="D15" s="25">
        <f t="shared" si="3"/>
        <v>900</v>
      </c>
    </row>
    <row r="16" spans="1:15" ht="16.5">
      <c r="A16" s="26">
        <v>50</v>
      </c>
      <c r="B16" s="23" t="s">
        <v>20</v>
      </c>
      <c r="C16" s="24">
        <v>9</v>
      </c>
      <c r="D16" s="25">
        <f t="shared" si="3"/>
        <v>450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>
        <v>0</v>
      </c>
      <c r="D21" s="25">
        <f>+C21*0.025</f>
        <v>0</v>
      </c>
    </row>
    <row r="22" spans="1:7" ht="16.5">
      <c r="A22" s="29" t="s">
        <v>22</v>
      </c>
      <c r="B22" s="30"/>
      <c r="C22" s="31">
        <v>0</v>
      </c>
      <c r="D22" s="32">
        <f>SUM(D14:D21)</f>
        <v>1384</v>
      </c>
    </row>
    <row r="24" spans="1:7">
      <c r="A24" t="s">
        <v>23</v>
      </c>
      <c r="D24" s="33">
        <f>350+507+458+671+961+1384</f>
        <v>4331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7DE1-3BD7-4122-BFE8-B0ED37655901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45817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676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676</v>
      </c>
      <c r="L5" s="39"/>
      <c r="M5" s="17">
        <v>676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19</v>
      </c>
      <c r="B7" s="17">
        <v>231</v>
      </c>
      <c r="C7" s="17">
        <f>26+14+64+32+24+114+64+96+26+41</f>
        <v>501</v>
      </c>
      <c r="D7" s="17">
        <v>712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1444</v>
      </c>
      <c r="L7" s="39"/>
      <c r="M7" s="17">
        <v>1444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26</v>
      </c>
      <c r="B9" s="17">
        <v>105</v>
      </c>
      <c r="C9" s="17">
        <f>20+40+24+24</f>
        <v>108</v>
      </c>
      <c r="D9" s="17">
        <v>128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341</v>
      </c>
      <c r="L9" s="39"/>
      <c r="M9" s="17">
        <v>341</v>
      </c>
      <c r="N9" s="40">
        <f t="shared" si="0"/>
        <v>0</v>
      </c>
      <c r="O9" s="40">
        <f t="shared" si="1"/>
        <v>0</v>
      </c>
    </row>
    <row r="10" spans="1:15" ht="15" customHeight="1">
      <c r="A10" s="16" t="s">
        <v>24</v>
      </c>
      <c r="B10" s="17">
        <v>181</v>
      </c>
      <c r="C10" s="17">
        <f>48+286+26+60+33+26+38+20+26+160+52+70+24+2+97+130+40+20+20+27+25+25+1+49+26+26</f>
        <v>1357</v>
      </c>
      <c r="D10" s="17">
        <v>1066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2604</v>
      </c>
      <c r="L10" s="39"/>
      <c r="M10" s="17">
        <v>2604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517</v>
      </c>
      <c r="C11" s="42">
        <f t="shared" si="2"/>
        <v>1966</v>
      </c>
      <c r="D11" s="42">
        <f t="shared" si="2"/>
        <v>2582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5065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>
        <v>45817</v>
      </c>
      <c r="B13" s="54"/>
      <c r="C13" s="54"/>
      <c r="D13" s="54"/>
      <c r="K13" s="53" t="s">
        <v>85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K14" s="22">
        <v>500</v>
      </c>
      <c r="L14" s="23" t="s">
        <v>20</v>
      </c>
      <c r="M14" s="24">
        <v>0</v>
      </c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  <c r="K15" s="26">
        <v>100</v>
      </c>
      <c r="L15" s="23" t="s">
        <v>20</v>
      </c>
      <c r="M15" s="24">
        <v>37</v>
      </c>
      <c r="N15" s="25">
        <f t="shared" si="4"/>
        <v>3700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22</v>
      </c>
      <c r="N16" s="25">
        <f t="shared" si="4"/>
        <v>1100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2</v>
      </c>
      <c r="D18" s="25">
        <f t="shared" si="3"/>
        <v>20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4</v>
      </c>
      <c r="D19" s="25">
        <f t="shared" si="3"/>
        <v>20</v>
      </c>
      <c r="K19" s="26">
        <v>5</v>
      </c>
      <c r="L19" s="23" t="s">
        <v>20</v>
      </c>
      <c r="M19" s="24">
        <v>9</v>
      </c>
      <c r="N19" s="25">
        <f t="shared" si="4"/>
        <v>45</v>
      </c>
    </row>
    <row r="20" spans="1:14" ht="16.5">
      <c r="A20" s="27" t="s">
        <v>21</v>
      </c>
      <c r="B20" s="23" t="s">
        <v>20</v>
      </c>
      <c r="C20" s="24">
        <v>7</v>
      </c>
      <c r="D20" s="25">
        <f>+C20*1</f>
        <v>7</v>
      </c>
      <c r="K20" s="27" t="s">
        <v>21</v>
      </c>
      <c r="L20" s="23" t="s">
        <v>20</v>
      </c>
      <c r="M20" s="24">
        <v>3</v>
      </c>
      <c r="N20" s="25">
        <f>+M20*1</f>
        <v>3</v>
      </c>
    </row>
    <row r="21" spans="1:14" ht="16.5">
      <c r="A21" s="27"/>
      <c r="B21" s="28"/>
      <c r="C21" s="24">
        <v>0</v>
      </c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>
        <v>0</v>
      </c>
      <c r="D22" s="32">
        <f>SUM(D14:D21)</f>
        <v>517</v>
      </c>
      <c r="K22" s="29" t="s">
        <v>22</v>
      </c>
      <c r="L22" s="30"/>
      <c r="M22" s="31">
        <v>0</v>
      </c>
      <c r="N22" s="32">
        <f>SUM(N14:N21)</f>
        <v>4848</v>
      </c>
    </row>
    <row r="24" spans="1:14">
      <c r="A24" t="s">
        <v>23</v>
      </c>
      <c r="D24" s="33">
        <f>350+507+458+671+961+1384+517</f>
        <v>4848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6680-9F17-4C8B-AB3D-E9D3A9FD5992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45847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340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340</v>
      </c>
      <c r="L5" s="39"/>
      <c r="M5" s="17">
        <v>340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64</v>
      </c>
      <c r="C7" s="17">
        <f>64+12+24+20+128+24+25+20+20+45+64+20+40+68+24+96</f>
        <v>694</v>
      </c>
      <c r="D7" s="17">
        <v>638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1396</v>
      </c>
      <c r="L7" s="39"/>
      <c r="M7" s="17">
        <v>1396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27</v>
      </c>
      <c r="B9" s="17">
        <v>294</v>
      </c>
      <c r="C9" s="17">
        <f>10+160+27+20+70</f>
        <v>287</v>
      </c>
      <c r="D9" s="17">
        <v>244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825</v>
      </c>
      <c r="L9" s="39"/>
      <c r="M9" s="17">
        <v>825</v>
      </c>
      <c r="N9" s="40">
        <f t="shared" si="0"/>
        <v>0</v>
      </c>
      <c r="O9" s="40">
        <f t="shared" si="1"/>
        <v>0</v>
      </c>
    </row>
    <row r="10" spans="1:15" ht="16.5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29.5</v>
      </c>
      <c r="H10" s="17">
        <v>0</v>
      </c>
      <c r="I10" s="17">
        <v>0</v>
      </c>
      <c r="J10" s="17">
        <v>0</v>
      </c>
      <c r="K10" s="38">
        <f>SUM(B10:J10)</f>
        <v>29.5</v>
      </c>
      <c r="L10" s="39"/>
      <c r="M10" s="17">
        <v>29.5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358</v>
      </c>
      <c r="C11" s="42">
        <f t="shared" si="2"/>
        <v>981</v>
      </c>
      <c r="D11" s="42">
        <f t="shared" si="2"/>
        <v>1222</v>
      </c>
      <c r="E11" s="42">
        <f t="shared" si="2"/>
        <v>0</v>
      </c>
      <c r="F11" s="42">
        <f t="shared" si="2"/>
        <v>0</v>
      </c>
      <c r="G11" s="42">
        <f t="shared" si="2"/>
        <v>29.5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2590.5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45847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8</v>
      </c>
      <c r="D20" s="25">
        <f>+C20*1</f>
        <v>8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358</v>
      </c>
    </row>
    <row r="24" spans="1:7">
      <c r="A24" t="s">
        <v>23</v>
      </c>
      <c r="D24" s="33">
        <v>358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B471-734B-4794-A1CE-4A2590D93B63}">
  <dimension ref="A1:O28"/>
  <sheetViews>
    <sheetView workbookViewId="0">
      <selection activeCell="D27" sqref="D2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45878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404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404</v>
      </c>
      <c r="L5" s="39"/>
      <c r="M5" s="17">
        <v>404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t="s">
        <v>18</v>
      </c>
      <c r="B7" s="17">
        <v>25</v>
      </c>
      <c r="C7" s="17">
        <f>25+84+14+40+160+32+190+24+48+32+24+24+119+13+20</f>
        <v>849</v>
      </c>
      <c r="D7" s="17">
        <v>924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1798</v>
      </c>
      <c r="L7" s="39"/>
      <c r="M7" s="17">
        <v>1798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25</v>
      </c>
      <c r="B9" s="17">
        <v>240</v>
      </c>
      <c r="C9" s="17">
        <f>20+104+24+24+25+25+96+20+20</f>
        <v>358</v>
      </c>
      <c r="D9" s="17">
        <v>160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758</v>
      </c>
      <c r="L9" s="39"/>
      <c r="M9" s="17">
        <v>758</v>
      </c>
      <c r="N9" s="40">
        <f t="shared" si="0"/>
        <v>0</v>
      </c>
      <c r="O9" s="40">
        <f t="shared" si="1"/>
        <v>0</v>
      </c>
    </row>
    <row r="10" spans="1:15" ht="16.5" hidden="1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265</v>
      </c>
      <c r="C11" s="42">
        <f t="shared" si="2"/>
        <v>1207</v>
      </c>
      <c r="D11" s="42">
        <f t="shared" si="2"/>
        <v>1488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2960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45878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5</v>
      </c>
      <c r="D19" s="25">
        <f t="shared" si="3"/>
        <v>25</v>
      </c>
    </row>
    <row r="20" spans="1:7" ht="16.5">
      <c r="A20" s="27" t="s">
        <v>21</v>
      </c>
      <c r="B20" s="23" t="s">
        <v>20</v>
      </c>
      <c r="C20" s="24">
        <v>10</v>
      </c>
      <c r="D20" s="25">
        <f>+C20*1</f>
        <v>10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265</v>
      </c>
    </row>
    <row r="24" spans="1:7">
      <c r="A24" t="s">
        <v>23</v>
      </c>
      <c r="D24" s="33">
        <f>358+265</f>
        <v>623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9095-F23F-41A3-8672-8CB2FFCFCFC8}">
  <dimension ref="A1:O28"/>
  <sheetViews>
    <sheetView workbookViewId="0">
      <selection activeCell="B32" sqref="B3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45909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544</v>
      </c>
      <c r="C7" s="17">
        <f>26+64+32+160+38+96+49+49+26+252+64+20</f>
        <v>876</v>
      </c>
      <c r="D7" s="17">
        <v>1050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2470</v>
      </c>
      <c r="L7" s="39"/>
      <c r="M7" s="17">
        <v>2470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27</v>
      </c>
      <c r="B9" s="17">
        <v>96</v>
      </c>
      <c r="C9" s="17">
        <f>63+77+155+7+64</f>
        <v>366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462</v>
      </c>
      <c r="L9" s="39"/>
      <c r="M9" s="17">
        <v>462</v>
      </c>
      <c r="N9" s="40">
        <f t="shared" si="0"/>
        <v>0</v>
      </c>
      <c r="O9" s="40">
        <f t="shared" si="1"/>
        <v>0</v>
      </c>
    </row>
    <row r="10" spans="1:15" ht="16.5" hidden="1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640</v>
      </c>
      <c r="C11" s="42">
        <f t="shared" si="2"/>
        <v>1242</v>
      </c>
      <c r="D11" s="42">
        <f t="shared" si="2"/>
        <v>1050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2932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45909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10</v>
      </c>
      <c r="D20" s="25">
        <f>+C20*1</f>
        <v>10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640</v>
      </c>
    </row>
    <row r="24" spans="1:7">
      <c r="A24" t="s">
        <v>23</v>
      </c>
      <c r="D24" s="33">
        <f>358+265+640</f>
        <v>1263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AC3D-3DCF-4CBD-9B40-435F75E9D51F}">
  <dimension ref="A1:O28"/>
  <sheetViews>
    <sheetView workbookViewId="0">
      <selection activeCell="H34" sqref="H3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45939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32</v>
      </c>
      <c r="L5" s="39"/>
      <c r="M5" s="17">
        <v>32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31</v>
      </c>
      <c r="B7" s="17">
        <v>64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26</v>
      </c>
      <c r="J7" s="17">
        <v>0</v>
      </c>
      <c r="K7" s="38">
        <f>SUM(B7:J7)</f>
        <v>90</v>
      </c>
      <c r="L7" s="39"/>
      <c r="M7" s="17">
        <v>90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19</v>
      </c>
      <c r="B9" s="17">
        <v>64</v>
      </c>
      <c r="C9" s="17">
        <f>32+32+20+26+95+65+127+20+84+26+20+26+170+96+70</f>
        <v>909</v>
      </c>
      <c r="D9" s="17">
        <v>660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1633</v>
      </c>
      <c r="L9" s="39"/>
      <c r="M9" s="17">
        <v>1633</v>
      </c>
      <c r="N9" s="40">
        <f t="shared" si="0"/>
        <v>0</v>
      </c>
      <c r="O9" s="40">
        <f t="shared" si="1"/>
        <v>0</v>
      </c>
    </row>
    <row r="10" spans="1:15" ht="16.5" hidden="1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128</v>
      </c>
      <c r="C11" s="42">
        <f t="shared" si="2"/>
        <v>909</v>
      </c>
      <c r="D11" s="42">
        <f t="shared" si="2"/>
        <v>692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26</v>
      </c>
      <c r="J11" s="42">
        <f t="shared" si="2"/>
        <v>0</v>
      </c>
      <c r="K11" s="42">
        <f t="shared" si="2"/>
        <v>1755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45939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7" ht="16.5">
      <c r="A20" s="27" t="s">
        <v>21</v>
      </c>
      <c r="B20" s="23" t="s">
        <v>20</v>
      </c>
      <c r="C20" s="24">
        <v>13</v>
      </c>
      <c r="D20" s="25">
        <f>+C20*1</f>
        <v>13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128</v>
      </c>
    </row>
    <row r="24" spans="1:7">
      <c r="A24" t="s">
        <v>23</v>
      </c>
      <c r="D24" s="33">
        <f>358+265+640+128</f>
        <v>1391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468F-D72A-4A80-84FA-382A29DDFE08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45970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562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562</v>
      </c>
      <c r="L5" s="39"/>
      <c r="M5" s="17">
        <v>562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25</v>
      </c>
      <c r="B7" s="17">
        <v>32</v>
      </c>
      <c r="C7" s="17">
        <f>24+20+171+42+21+20+70+14+95+12+21</f>
        <v>510</v>
      </c>
      <c r="D7" s="17">
        <v>576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1118</v>
      </c>
      <c r="L7" s="39"/>
      <c r="M7" s="17">
        <v>1117</v>
      </c>
      <c r="N7" s="40">
        <f t="shared" si="0"/>
        <v>1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26</v>
      </c>
      <c r="B9" s="17">
        <v>644</v>
      </c>
      <c r="C9" s="17">
        <f>84+14+2+26+53+53+20+84+38+71+128+160+22+65+84+7+72+26+20+20+127+2+20</f>
        <v>1198</v>
      </c>
      <c r="D9" s="17">
        <v>276</v>
      </c>
      <c r="E9" s="17">
        <v>0</v>
      </c>
      <c r="F9" s="17">
        <v>0</v>
      </c>
      <c r="G9" s="17">
        <v>128</v>
      </c>
      <c r="H9" s="17">
        <v>0</v>
      </c>
      <c r="I9" s="17">
        <v>0</v>
      </c>
      <c r="J9" s="17">
        <v>0</v>
      </c>
      <c r="K9" s="38">
        <f>SUM(B9:J9)</f>
        <v>2246</v>
      </c>
      <c r="L9" s="39"/>
      <c r="M9" s="17">
        <v>2246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18</v>
      </c>
      <c r="B10" s="17">
        <v>689</v>
      </c>
      <c r="C10" s="17">
        <f>32+127+96+20+20+24+7+63+153+15+64+28+179+90+26+26+12+32</f>
        <v>1014</v>
      </c>
      <c r="D10" s="17">
        <v>1010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2713</v>
      </c>
      <c r="L10" s="39"/>
      <c r="M10" s="17">
        <v>2713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1365</v>
      </c>
      <c r="C11" s="42">
        <f t="shared" si="2"/>
        <v>2722</v>
      </c>
      <c r="D11" s="42">
        <f t="shared" si="2"/>
        <v>2424</v>
      </c>
      <c r="E11" s="42">
        <f t="shared" si="2"/>
        <v>0</v>
      </c>
      <c r="F11" s="42">
        <f t="shared" si="2"/>
        <v>0</v>
      </c>
      <c r="G11" s="42">
        <f t="shared" si="2"/>
        <v>128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6639</v>
      </c>
      <c r="L11" s="43"/>
      <c r="M11" s="42">
        <v>0</v>
      </c>
      <c r="N11" s="42">
        <f>SUM(N4:N10)</f>
        <v>1</v>
      </c>
      <c r="O11" s="42">
        <f>SUM(O4:O10)</f>
        <v>0</v>
      </c>
    </row>
    <row r="12" spans="1:15" ht="15.75" thickBot="1"/>
    <row r="13" spans="1:15" ht="17.25" thickBot="1">
      <c r="A13" s="53">
        <v>45970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11</v>
      </c>
      <c r="D15" s="25">
        <f t="shared" si="3"/>
        <v>1100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7</v>
      </c>
      <c r="D18" s="25">
        <f t="shared" si="3"/>
        <v>70</v>
      </c>
    </row>
    <row r="19" spans="1:7" ht="16.5">
      <c r="A19" s="26">
        <v>5</v>
      </c>
      <c r="B19" s="23" t="s">
        <v>20</v>
      </c>
      <c r="C19" s="24">
        <v>7</v>
      </c>
      <c r="D19" s="25">
        <f t="shared" si="3"/>
        <v>35</v>
      </c>
    </row>
    <row r="20" spans="1:7" ht="16.5">
      <c r="A20" s="27" t="s">
        <v>21</v>
      </c>
      <c r="B20" s="23" t="s">
        <v>20</v>
      </c>
      <c r="C20" s="24">
        <v>10</v>
      </c>
      <c r="D20" s="25">
        <f>+C20*1</f>
        <v>10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1365</v>
      </c>
    </row>
    <row r="24" spans="1:7">
      <c r="A24" t="s">
        <v>23</v>
      </c>
      <c r="D24" s="33">
        <f>358+265+640+128+1365</f>
        <v>2756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7A81-8CB9-4393-B558-66EEF6D623DC}">
  <dimension ref="A1:O28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>
        <v>46000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516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516</v>
      </c>
      <c r="L5" s="39"/>
      <c r="M5" s="17">
        <v>516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24</v>
      </c>
      <c r="B7" s="17">
        <v>663</v>
      </c>
      <c r="C7" s="17">
        <f>20+64+148+50+2+1+7+1+40+32+32+128+40+105+20+63+63+55+17+44+6+20+32+84+310+63</f>
        <v>1447</v>
      </c>
      <c r="D7" s="17">
        <v>522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2632</v>
      </c>
      <c r="L7" s="39"/>
      <c r="M7" s="17">
        <v>2632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19</v>
      </c>
      <c r="B9" s="17">
        <v>399</v>
      </c>
      <c r="C9" s="17">
        <f>10+27+133+126+51+160+33+20+22+70+20+59+222+32+122+51</f>
        <v>1158</v>
      </c>
      <c r="D9" s="17">
        <v>796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2353</v>
      </c>
      <c r="L9" s="39"/>
      <c r="M9" s="17">
        <v>2353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27</v>
      </c>
      <c r="B10" s="17">
        <v>439</v>
      </c>
      <c r="C10" s="17">
        <f>14+38+136+88+179+104+142+40+27+20+20+26+70+28</f>
        <v>932</v>
      </c>
      <c r="D10" s="17">
        <v>192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1563</v>
      </c>
      <c r="L10" s="39"/>
      <c r="M10" s="17">
        <v>1563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1501</v>
      </c>
      <c r="C11" s="42">
        <f t="shared" si="2"/>
        <v>3537</v>
      </c>
      <c r="D11" s="42">
        <f t="shared" si="2"/>
        <v>2026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7064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>
        <v>46000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11</v>
      </c>
      <c r="D15" s="25">
        <f t="shared" si="3"/>
        <v>1100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7</v>
      </c>
      <c r="D18" s="25">
        <f t="shared" si="3"/>
        <v>70</v>
      </c>
    </row>
    <row r="19" spans="1:7" ht="16.5">
      <c r="A19" s="26">
        <v>5</v>
      </c>
      <c r="B19" s="23" t="s">
        <v>20</v>
      </c>
      <c r="C19" s="24">
        <v>14</v>
      </c>
      <c r="D19" s="25">
        <f t="shared" si="3"/>
        <v>70</v>
      </c>
    </row>
    <row r="20" spans="1:7" ht="16.5">
      <c r="A20" s="27" t="s">
        <v>21</v>
      </c>
      <c r="B20" s="23" t="s">
        <v>20</v>
      </c>
      <c r="C20" s="24">
        <v>11</v>
      </c>
      <c r="D20" s="25">
        <f>+C20*1</f>
        <v>11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1501</v>
      </c>
    </row>
    <row r="24" spans="1:7">
      <c r="A24" t="s">
        <v>23</v>
      </c>
      <c r="D24" s="33">
        <f>358+265+640+128+1365+1501</f>
        <v>4257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FECE-8D94-4190-A4E0-BC75BF327355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87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96</v>
      </c>
      <c r="L5" s="39"/>
      <c r="M5" s="17">
        <v>96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26</v>
      </c>
      <c r="B7" s="17">
        <v>272</v>
      </c>
      <c r="C7" s="17">
        <f>40+84+20+7+53+40+32+96+47+96+31.5+31.5+32+32+20+27+32</f>
        <v>721</v>
      </c>
      <c r="D7" s="17">
        <v>320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1313</v>
      </c>
      <c r="L7" s="39"/>
      <c r="M7" s="17">
        <v>1313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18</v>
      </c>
      <c r="B9" s="17">
        <v>493</v>
      </c>
      <c r="C9" s="17">
        <f>96+15+15+20+62+32+20+2+26+6+20+14+20</f>
        <v>348</v>
      </c>
      <c r="D9" s="17">
        <v>192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1033</v>
      </c>
      <c r="L9" s="39"/>
      <c r="M9" s="17">
        <v>1033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31</v>
      </c>
      <c r="B10" s="17">
        <v>0</v>
      </c>
      <c r="C10" s="17">
        <f>40+20+38</f>
        <v>98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98</v>
      </c>
      <c r="L10" s="39"/>
      <c r="M10" s="17">
        <v>98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765</v>
      </c>
      <c r="C11" s="42">
        <f t="shared" si="2"/>
        <v>1167</v>
      </c>
      <c r="D11" s="42">
        <f t="shared" si="2"/>
        <v>608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2540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87</v>
      </c>
      <c r="B13" s="54"/>
      <c r="C13" s="54"/>
      <c r="D13" s="54"/>
      <c r="K13" s="53" t="s">
        <v>88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/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  <c r="K15" s="26">
        <v>100</v>
      </c>
      <c r="L15" s="23" t="s">
        <v>20</v>
      </c>
      <c r="M15" s="24">
        <v>39</v>
      </c>
      <c r="N15" s="25">
        <f t="shared" si="4"/>
        <v>3900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21</v>
      </c>
      <c r="N16" s="25">
        <f t="shared" si="4"/>
        <v>1050</v>
      </c>
    </row>
    <row r="17" spans="1:14" ht="16.5">
      <c r="A17" s="26">
        <v>20</v>
      </c>
      <c r="B17" s="23" t="s">
        <v>20</v>
      </c>
      <c r="C17" s="24">
        <v>2</v>
      </c>
      <c r="D17" s="25">
        <f t="shared" si="3"/>
        <v>40</v>
      </c>
      <c r="K17" s="26">
        <v>20</v>
      </c>
      <c r="L17" s="23" t="s">
        <v>20</v>
      </c>
      <c r="M17" s="24">
        <v>3</v>
      </c>
      <c r="N17" s="25">
        <f t="shared" si="4"/>
        <v>60</v>
      </c>
    </row>
    <row r="18" spans="1:14" ht="16.5">
      <c r="A18" s="26">
        <v>10</v>
      </c>
      <c r="B18" s="23" t="s">
        <v>20</v>
      </c>
      <c r="C18" s="24">
        <v>7</v>
      </c>
      <c r="D18" s="25">
        <f t="shared" si="3"/>
        <v>70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20</v>
      </c>
      <c r="D19" s="25">
        <f t="shared" si="3"/>
        <v>100</v>
      </c>
      <c r="K19" s="26">
        <v>5</v>
      </c>
      <c r="L19" s="23" t="s">
        <v>20</v>
      </c>
      <c r="M19" s="24">
        <v>2</v>
      </c>
      <c r="N19" s="25">
        <f t="shared" si="4"/>
        <v>10</v>
      </c>
    </row>
    <row r="20" spans="1:14" ht="16.5">
      <c r="A20" s="27" t="s">
        <v>21</v>
      </c>
      <c r="B20" s="23" t="s">
        <v>20</v>
      </c>
      <c r="C20" s="24">
        <v>5</v>
      </c>
      <c r="D20" s="25">
        <f>+C20*1</f>
        <v>5</v>
      </c>
      <c r="K20" s="27" t="s">
        <v>21</v>
      </c>
      <c r="L20" s="23" t="s">
        <v>20</v>
      </c>
      <c r="M20" s="24">
        <v>2</v>
      </c>
      <c r="N20" s="25">
        <f>+M20*1</f>
        <v>2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765</v>
      </c>
      <c r="K22" s="29" t="s">
        <v>22</v>
      </c>
      <c r="L22" s="30"/>
      <c r="M22" s="31"/>
      <c r="N22" s="32">
        <f>SUM(N14:N21)</f>
        <v>5022</v>
      </c>
    </row>
    <row r="24" spans="1:14">
      <c r="A24" t="s">
        <v>23</v>
      </c>
      <c r="D24" s="33">
        <f>358+265+640+128+1365+1501+765</f>
        <v>5022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5377-B75A-4767-A128-A9F28B859C88}">
  <dimension ref="A1:O28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89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19</v>
      </c>
      <c r="B7" s="17">
        <v>11</v>
      </c>
      <c r="C7" s="17">
        <f>15+20+44+96+88+20+26</f>
        <v>309</v>
      </c>
      <c r="D7" s="17">
        <v>288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608</v>
      </c>
      <c r="L7" s="39"/>
      <c r="M7" s="17">
        <v>608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>
      <c r="A9" s="16" t="s">
        <v>25</v>
      </c>
      <c r="B9" s="17">
        <v>140</v>
      </c>
      <c r="C9" s="17">
        <v>52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38</v>
      </c>
      <c r="J9" s="17">
        <v>0</v>
      </c>
      <c r="K9" s="38">
        <f>SUM(B9:J9)</f>
        <v>230</v>
      </c>
      <c r="L9" s="39"/>
      <c r="M9" s="17">
        <v>230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31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151</v>
      </c>
      <c r="C11" s="42">
        <f t="shared" si="2"/>
        <v>361</v>
      </c>
      <c r="D11" s="42">
        <f t="shared" si="2"/>
        <v>288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38</v>
      </c>
      <c r="J11" s="42">
        <f t="shared" si="2"/>
        <v>0</v>
      </c>
      <c r="K11" s="42">
        <f t="shared" si="2"/>
        <v>838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89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151</v>
      </c>
    </row>
    <row r="24" spans="1:7">
      <c r="A24" t="s">
        <v>23</v>
      </c>
      <c r="D24" s="33">
        <v>151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A353-B82C-4BEF-9B2E-A615C1A10C60}">
  <dimension ref="A1:O28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>
      <c r="A7" s="16" t="s">
        <v>19</v>
      </c>
      <c r="B7" s="17">
        <v>462</v>
      </c>
      <c r="C7" s="17">
        <v>349</v>
      </c>
      <c r="D7" s="17">
        <v>128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939</v>
      </c>
      <c r="L7" s="39"/>
      <c r="M7" s="17">
        <v>939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31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462</v>
      </c>
      <c r="C11" s="42">
        <f t="shared" si="2"/>
        <v>349</v>
      </c>
      <c r="D11" s="42">
        <f t="shared" si="2"/>
        <v>128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939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90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462</v>
      </c>
    </row>
    <row r="24" spans="1:7">
      <c r="A24" t="s">
        <v>23</v>
      </c>
      <c r="D24" s="33">
        <f>151+462</f>
        <v>613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3611-3D6A-4D1D-8048-4FDF49C9C0DA}">
  <dimension ref="A1:O28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91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414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414</v>
      </c>
      <c r="L5" s="39"/>
      <c r="M5" s="17">
        <v>414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t="s">
        <v>26</v>
      </c>
      <c r="B7" s="17">
        <v>70</v>
      </c>
      <c r="C7" s="17">
        <f>25+20+79+24+64+24+29+52+70</f>
        <v>387</v>
      </c>
      <c r="D7" s="17">
        <v>520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977</v>
      </c>
      <c r="L7" s="39"/>
      <c r="M7" s="17">
        <v>977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8.75" customHeight="1">
      <c r="A10" s="16" t="s">
        <v>27</v>
      </c>
      <c r="B10" s="17">
        <v>88</v>
      </c>
      <c r="C10" s="17">
        <f>26+127+127+26+32+33+27+25+8</f>
        <v>431</v>
      </c>
      <c r="D10" s="17">
        <v>320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839</v>
      </c>
      <c r="L10" s="39"/>
      <c r="M10" s="17">
        <v>839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158</v>
      </c>
      <c r="C11" s="42">
        <f t="shared" si="2"/>
        <v>818</v>
      </c>
      <c r="D11" s="42">
        <f t="shared" si="2"/>
        <v>1254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2230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91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11</v>
      </c>
      <c r="D19" s="25">
        <f t="shared" si="3"/>
        <v>55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158</v>
      </c>
    </row>
    <row r="24" spans="1:7">
      <c r="A24" t="s">
        <v>23</v>
      </c>
      <c r="D24" s="33">
        <f>151+462+158</f>
        <v>771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C215-DE68-4394-A8F8-969C54B8AA93}">
  <dimension ref="A1:O28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92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96</v>
      </c>
      <c r="L5" s="39"/>
      <c r="M5" s="17">
        <v>96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18</v>
      </c>
      <c r="B7" s="17">
        <v>116</v>
      </c>
      <c r="C7" s="17">
        <f>95+65+52+96+20+63+26+96+24+84+24+40</f>
        <v>685</v>
      </c>
      <c r="D7" s="17">
        <v>352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1153</v>
      </c>
      <c r="L7" s="39"/>
      <c r="M7" s="17">
        <v>1153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6.5" hidden="1">
      <c r="A9" s="16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8.75" customHeight="1">
      <c r="A10" s="16" t="s">
        <v>31</v>
      </c>
      <c r="B10" s="17">
        <v>0</v>
      </c>
      <c r="C10" s="17">
        <v>224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224</v>
      </c>
      <c r="L10" s="39"/>
      <c r="M10" s="17">
        <v>224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116</v>
      </c>
      <c r="C11" s="42">
        <f t="shared" si="2"/>
        <v>909</v>
      </c>
      <c r="D11" s="42">
        <f t="shared" si="2"/>
        <v>448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1473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92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19</v>
      </c>
      <c r="D19" s="25">
        <f t="shared" si="3"/>
        <v>95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116</v>
      </c>
    </row>
    <row r="24" spans="1:7">
      <c r="A24" t="s">
        <v>23</v>
      </c>
      <c r="D24" s="33">
        <f>151+462+158+116</f>
        <v>887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DC72-8755-44C4-8F6F-40029D2D1363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58</v>
      </c>
      <c r="N4" s="40">
        <f t="shared" ref="N4:N10" si="0">IF(K4&gt;M4,K4-M4,0)</f>
        <v>0</v>
      </c>
      <c r="O4" s="40">
        <f t="shared" ref="O4:O10" si="1">IF(M4&gt;K4,M4-K4,0)</f>
        <v>58</v>
      </c>
    </row>
    <row r="5" spans="1:15" ht="16.5">
      <c r="A5" s="10" t="s">
        <v>17</v>
      </c>
      <c r="B5" s="17">
        <v>0</v>
      </c>
      <c r="C5" s="17">
        <v>0</v>
      </c>
      <c r="D5" s="17">
        <v>128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128</v>
      </c>
      <c r="L5" s="39"/>
      <c r="M5" s="17">
        <v>128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19</v>
      </c>
      <c r="B7" s="17">
        <v>143</v>
      </c>
      <c r="C7" s="17">
        <f>127+78+96+58+32+84+184+127+32+139+20+10</f>
        <v>987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1130</v>
      </c>
      <c r="L7" s="39"/>
      <c r="M7" s="17">
        <v>1130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24</v>
      </c>
      <c r="B9" s="17">
        <v>391</v>
      </c>
      <c r="C9" s="17">
        <f>138+84+20+12+104+12+40+26+12+55+64+96+22+32+44+32+4+32+102</f>
        <v>931</v>
      </c>
      <c r="D9" s="17">
        <v>160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1482</v>
      </c>
      <c r="L9" s="39"/>
      <c r="M9" s="17">
        <v>1482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25</v>
      </c>
      <c r="B10" s="17">
        <v>39</v>
      </c>
      <c r="C10" s="17">
        <f>26+20+61+47+84+224+52+7+20+40+14+88+91+90+70+63</f>
        <v>997</v>
      </c>
      <c r="D10" s="17">
        <v>128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1164</v>
      </c>
      <c r="L10" s="39"/>
      <c r="M10" s="17">
        <v>1164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573</v>
      </c>
      <c r="C11" s="42">
        <f t="shared" si="2"/>
        <v>2915</v>
      </c>
      <c r="D11" s="42">
        <f t="shared" si="2"/>
        <v>416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3904</v>
      </c>
      <c r="L11" s="43"/>
      <c r="M11" s="42">
        <v>0</v>
      </c>
      <c r="N11" s="42">
        <f>SUM(N4:N10)</f>
        <v>0</v>
      </c>
      <c r="O11" s="42">
        <f>SUM(O4:O10)</f>
        <v>58</v>
      </c>
    </row>
    <row r="12" spans="1:15" ht="15.75" thickBot="1"/>
    <row r="13" spans="1:15" ht="17.25" thickBot="1">
      <c r="A13" s="53" t="s">
        <v>93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7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7" ht="16.5">
      <c r="A20" s="27" t="s">
        <v>21</v>
      </c>
      <c r="B20" s="23" t="s">
        <v>20</v>
      </c>
      <c r="C20" s="24">
        <v>13</v>
      </c>
      <c r="D20" s="25">
        <f>+C20*1</f>
        <v>13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573</v>
      </c>
    </row>
    <row r="24" spans="1:7">
      <c r="A24" t="s">
        <v>23</v>
      </c>
      <c r="D24" s="33">
        <f>151+462+158+116+573</f>
        <v>1460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F0BD-A739-45BA-8F08-9E8029F9CAE0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94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224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224</v>
      </c>
      <c r="L5" s="39"/>
      <c r="M5" s="17">
        <v>224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31</v>
      </c>
      <c r="B7" s="17">
        <v>107</v>
      </c>
      <c r="C7" s="17">
        <f>64+49+14+26+16+16+32+52+20+147+99+32+25+24</f>
        <v>616</v>
      </c>
      <c r="D7" s="17">
        <v>424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1147</v>
      </c>
      <c r="L7" s="39"/>
      <c r="M7" s="17">
        <v>1147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24</v>
      </c>
      <c r="B9" s="17">
        <v>423</v>
      </c>
      <c r="C9" s="17">
        <f>27+7+20+64+20+57+128+14+30+32+32+20+12+104+101+101+26+20+318+20+58+180</f>
        <v>1391</v>
      </c>
      <c r="D9" s="17">
        <v>96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1910</v>
      </c>
      <c r="L9" s="39"/>
      <c r="M9" s="17">
        <v>1910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18</v>
      </c>
      <c r="B10" s="17">
        <v>474</v>
      </c>
      <c r="C10" s="17">
        <f>32+32+72+144+40+32+32+64+25+63+7+78+96+38+50+51+96+27</f>
        <v>979</v>
      </c>
      <c r="D10" s="17">
        <v>180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1633</v>
      </c>
      <c r="L10" s="39"/>
      <c r="M10" s="17">
        <v>1633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1004</v>
      </c>
      <c r="C11" s="42">
        <f t="shared" si="2"/>
        <v>2986</v>
      </c>
      <c r="D11" s="42">
        <f t="shared" si="2"/>
        <v>924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4914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94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3</v>
      </c>
      <c r="D17" s="25">
        <f t="shared" si="3"/>
        <v>60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7" ht="16.5">
      <c r="A20" s="27" t="s">
        <v>21</v>
      </c>
      <c r="B20" s="23" t="s">
        <v>20</v>
      </c>
      <c r="C20" s="24">
        <v>9</v>
      </c>
      <c r="D20" s="25">
        <f>+C20*1</f>
        <v>9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1004</v>
      </c>
    </row>
    <row r="24" spans="1:7">
      <c r="A24" t="s">
        <v>23</v>
      </c>
      <c r="D24" s="33">
        <f>151+462+158+116+573+1004</f>
        <v>2464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CA19-A98C-4E55-A495-5BB270255056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95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45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19</v>
      </c>
      <c r="B7" s="17">
        <v>155</v>
      </c>
      <c r="C7" s="17">
        <f>10+104+104+112+25+207+20+32+7+32+20+22+26+63</f>
        <v>784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939</v>
      </c>
      <c r="L7" s="39"/>
      <c r="M7" s="17">
        <v>939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26</v>
      </c>
      <c r="B9" s="17">
        <v>0</v>
      </c>
      <c r="C9" s="17">
        <f>32+5+10+12+96+30</f>
        <v>185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185</v>
      </c>
      <c r="L9" s="39"/>
      <c r="M9" s="17">
        <v>185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27</v>
      </c>
      <c r="B10" s="17">
        <v>0</v>
      </c>
      <c r="C10" s="17">
        <f>20+12+59+24+15+20+42</f>
        <v>192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192</v>
      </c>
      <c r="L10" s="39"/>
      <c r="M10" s="17">
        <v>192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155</v>
      </c>
      <c r="C11" s="42">
        <f t="shared" si="2"/>
        <v>1161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1316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95</v>
      </c>
      <c r="B13" s="54"/>
      <c r="C13" s="54"/>
      <c r="D13" s="54"/>
      <c r="K13" s="53" t="s">
        <v>96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>
        <v>2</v>
      </c>
      <c r="N14" s="25">
        <f t="shared" ref="N14:N19" si="4">K14*M14</f>
        <v>1000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  <c r="K15" s="26">
        <v>100</v>
      </c>
      <c r="L15" s="23" t="s">
        <v>20</v>
      </c>
      <c r="M15" s="24">
        <v>9</v>
      </c>
      <c r="N15" s="25">
        <f t="shared" si="4"/>
        <v>900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K16" s="26">
        <v>50</v>
      </c>
      <c r="L16" s="23" t="s">
        <v>20</v>
      </c>
      <c r="M16" s="24">
        <v>13</v>
      </c>
      <c r="N16" s="25">
        <f t="shared" si="4"/>
        <v>650</v>
      </c>
    </row>
    <row r="17" spans="1:14" ht="16.5">
      <c r="A17" s="26">
        <v>20</v>
      </c>
      <c r="B17" s="23" t="s">
        <v>20</v>
      </c>
      <c r="C17" s="24">
        <v>1</v>
      </c>
      <c r="D17" s="25">
        <f t="shared" si="3"/>
        <v>20</v>
      </c>
      <c r="K17" s="26">
        <v>20</v>
      </c>
      <c r="L17" s="23" t="s">
        <v>20</v>
      </c>
      <c r="M17" s="24">
        <v>3</v>
      </c>
      <c r="N17" s="25">
        <f t="shared" si="4"/>
        <v>60</v>
      </c>
    </row>
    <row r="18" spans="1:14" ht="16.5">
      <c r="A18" s="26">
        <v>10</v>
      </c>
      <c r="B18" s="23" t="s">
        <v>20</v>
      </c>
      <c r="C18" s="24">
        <v>3</v>
      </c>
      <c r="D18" s="25">
        <f t="shared" si="3"/>
        <v>30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1</v>
      </c>
      <c r="D19" s="25">
        <f t="shared" si="3"/>
        <v>5</v>
      </c>
      <c r="K19" s="26">
        <v>5</v>
      </c>
      <c r="L19" s="23" t="s">
        <v>20</v>
      </c>
      <c r="M19" s="24">
        <v>1</v>
      </c>
      <c r="N19" s="25">
        <f t="shared" si="4"/>
        <v>5</v>
      </c>
    </row>
    <row r="20" spans="1:14" ht="16.5">
      <c r="A20" s="27" t="s">
        <v>21</v>
      </c>
      <c r="B20" s="23" t="s">
        <v>20</v>
      </c>
      <c r="C20" s="24">
        <v>0</v>
      </c>
      <c r="D20" s="25">
        <f>+C20*1</f>
        <v>0</v>
      </c>
      <c r="K20" s="27" t="s">
        <v>21</v>
      </c>
      <c r="L20" s="23" t="s">
        <v>20</v>
      </c>
      <c r="M20" s="24">
        <v>4</v>
      </c>
      <c r="N20" s="25">
        <f>+M20*1</f>
        <v>4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155</v>
      </c>
      <c r="K22" s="29" t="s">
        <v>22</v>
      </c>
      <c r="L22" s="30"/>
      <c r="M22" s="31"/>
      <c r="N22" s="32">
        <f>SUM(N14:N21)</f>
        <v>2619</v>
      </c>
    </row>
    <row r="24" spans="1:14">
      <c r="A24" t="s">
        <v>23</v>
      </c>
      <c r="D24" s="33">
        <f>151+462+158+116+573+1004+155</f>
        <v>2619</v>
      </c>
      <c r="E24" t="s">
        <v>58</v>
      </c>
    </row>
    <row r="28" spans="1:14">
      <c r="G28" t="s">
        <v>71</v>
      </c>
    </row>
  </sheetData>
  <mergeCells count="3">
    <mergeCell ref="A2:O2"/>
    <mergeCell ref="A13:D13"/>
    <mergeCell ref="K13:N13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B4CF-0A2A-4282-8735-D87AE192945D}">
  <dimension ref="A1:O28"/>
  <sheetViews>
    <sheetView workbookViewId="0">
      <selection activeCell="K29" sqref="K29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97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19</v>
      </c>
      <c r="B7" s="17">
        <v>266</v>
      </c>
      <c r="C7" s="17">
        <f>59+26+148+104+40+25+32+90+111+60+127+32</f>
        <v>854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1120</v>
      </c>
      <c r="L7" s="39"/>
      <c r="M7" s="17">
        <v>1120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24</v>
      </c>
      <c r="B9" s="17">
        <v>0</v>
      </c>
      <c r="C9" s="17">
        <f>15+20+40+55+15+20</f>
        <v>165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165</v>
      </c>
      <c r="L9" s="39"/>
      <c r="M9" s="17">
        <v>165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18.27</v>
      </c>
      <c r="H10" s="17">
        <v>0</v>
      </c>
      <c r="I10" s="17">
        <v>0</v>
      </c>
      <c r="J10" s="17">
        <v>0</v>
      </c>
      <c r="K10" s="38">
        <f>SUM(B10:J10)</f>
        <v>18.27</v>
      </c>
      <c r="L10" s="39"/>
      <c r="M10" s="17">
        <v>18.27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266</v>
      </c>
      <c r="C11" s="42">
        <f t="shared" si="2"/>
        <v>1019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18.27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1303.27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97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266</v>
      </c>
    </row>
    <row r="24" spans="1:7">
      <c r="A24" t="s">
        <v>23</v>
      </c>
      <c r="D24" s="33">
        <v>266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3279-DBF6-401C-8BDE-9A4A44D8D42C}">
  <dimension ref="A1:O28"/>
  <sheetViews>
    <sheetView workbookViewId="0">
      <selection activeCell="G29" sqref="G29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customWidth="1"/>
    <col min="14" max="14" width="12" customWidth="1"/>
  </cols>
  <sheetData>
    <row r="1" spans="1:15" ht="16.5">
      <c r="A1" s="1" t="s">
        <v>98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8" customHeight="1">
      <c r="A7" s="16" t="s">
        <v>31</v>
      </c>
      <c r="B7" s="17">
        <v>0</v>
      </c>
      <c r="C7" s="17">
        <v>574</v>
      </c>
      <c r="D7" s="17">
        <v>64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638</v>
      </c>
      <c r="L7" s="39"/>
      <c r="M7" s="17">
        <v>638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18</v>
      </c>
      <c r="B9" s="17">
        <v>154</v>
      </c>
      <c r="C9" s="17">
        <f>41+59+31+191+64+54+27+160+42+7+24+12</f>
        <v>712</v>
      </c>
      <c r="D9" s="17">
        <v>360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1226</v>
      </c>
      <c r="L9" s="39"/>
      <c r="M9" s="17">
        <v>1226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83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154</v>
      </c>
      <c r="C11" s="42">
        <f t="shared" si="2"/>
        <v>1286</v>
      </c>
      <c r="D11" s="42">
        <f t="shared" si="2"/>
        <v>424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1864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98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154</v>
      </c>
    </row>
    <row r="24" spans="1:7">
      <c r="A24" t="s">
        <v>23</v>
      </c>
      <c r="D24" s="33">
        <f>266+154</f>
        <v>420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36D8-F233-4487-BDBD-ACFDBC1FBE53}">
  <dimension ref="A1:O28"/>
  <sheetViews>
    <sheetView workbookViewId="0">
      <selection activeCell="K15" sqref="K15:P2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99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s="16" t="s">
        <v>26</v>
      </c>
      <c r="B7" s="17">
        <v>104</v>
      </c>
      <c r="C7" s="17">
        <f>20+64+20+40+26+40+12+14+20+64+20+26+24+12+15+96+160+32</f>
        <v>705</v>
      </c>
      <c r="D7" s="17">
        <v>288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1097</v>
      </c>
      <c r="L7" s="39"/>
      <c r="M7" s="17">
        <v>1097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27</v>
      </c>
      <c r="B9" s="17">
        <v>121</v>
      </c>
      <c r="C9" s="17">
        <f>69+40+20+32+25+32+27+20+32</f>
        <v>297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418</v>
      </c>
      <c r="L9" s="39"/>
      <c r="M9" s="17">
        <v>418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25</v>
      </c>
      <c r="B10" s="17">
        <v>0</v>
      </c>
      <c r="C10" s="17">
        <v>96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96</v>
      </c>
      <c r="L10" s="39"/>
      <c r="M10" s="17">
        <v>96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225</v>
      </c>
      <c r="C11" s="42">
        <f t="shared" si="2"/>
        <v>1098</v>
      </c>
      <c r="D11" s="42">
        <f t="shared" si="2"/>
        <v>288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1611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99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/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5</v>
      </c>
      <c r="D20" s="25">
        <f>+C20*1</f>
        <v>5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225</v>
      </c>
    </row>
    <row r="24" spans="1:7">
      <c r="A24" t="s">
        <v>23</v>
      </c>
      <c r="D24" s="33">
        <f>266+154+225</f>
        <v>645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AE4A-76F1-4E84-957B-36CDD8894E2F}">
  <dimension ref="A1:O28"/>
  <sheetViews>
    <sheetView workbookViewId="0">
      <selection activeCell="M27" sqref="M27:M2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100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11</v>
      </c>
      <c r="C7" s="17">
        <f>68+15+78+44+44+167+20+20+64+20+7+24+75</f>
        <v>646</v>
      </c>
      <c r="D7" s="17">
        <v>360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1017</v>
      </c>
      <c r="L7" s="39"/>
      <c r="M7" s="17">
        <v>1017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20</v>
      </c>
      <c r="C9" s="17">
        <v>24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44</v>
      </c>
      <c r="L9" s="39"/>
      <c r="M9" s="17">
        <v>44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31</v>
      </c>
      <c r="C11" s="42">
        <f t="shared" si="2"/>
        <v>670</v>
      </c>
      <c r="D11" s="42">
        <f t="shared" si="2"/>
        <v>360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1061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100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31</v>
      </c>
    </row>
    <row r="24" spans="1:7">
      <c r="A24" t="s">
        <v>23</v>
      </c>
      <c r="D24" s="33">
        <f>266+154+225+31</f>
        <v>676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2B93-1471-4D5D-9982-0B359766059B}">
  <dimension ref="A1:O28"/>
  <sheetViews>
    <sheetView workbookViewId="0">
      <selection activeCell="K13" sqref="K13:O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101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96</v>
      </c>
      <c r="L5" s="39"/>
      <c r="M5" s="17">
        <v>96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0</v>
      </c>
      <c r="C7" s="17">
        <f>20+24+240+79+24+20</f>
        <v>407</v>
      </c>
      <c r="D7" s="17">
        <v>64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471</v>
      </c>
      <c r="L7" s="39"/>
      <c r="M7" s="17">
        <v>471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24</v>
      </c>
      <c r="B9" s="17">
        <v>128</v>
      </c>
      <c r="C9" s="17">
        <f>7+24+32+58+58+50+64+95+252+72</f>
        <v>712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62</v>
      </c>
      <c r="J9" s="17">
        <v>0</v>
      </c>
      <c r="K9" s="38">
        <f>SUM(B9:J9)</f>
        <v>902</v>
      </c>
      <c r="L9" s="39"/>
      <c r="M9" s="17">
        <v>902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128</v>
      </c>
      <c r="C11" s="42">
        <f t="shared" si="2"/>
        <v>1119</v>
      </c>
      <c r="D11" s="42">
        <f t="shared" si="2"/>
        <v>160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62</v>
      </c>
      <c r="J11" s="42">
        <f t="shared" si="2"/>
        <v>0</v>
      </c>
      <c r="K11" s="42">
        <f t="shared" si="2"/>
        <v>1469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53" t="s">
        <v>101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128</v>
      </c>
    </row>
    <row r="24" spans="1:7">
      <c r="A24" t="s">
        <v>23</v>
      </c>
      <c r="D24" s="33">
        <f>266+154+225+31+128</f>
        <v>804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0D16-0529-4EBB-8F27-37801F1D8928}">
  <dimension ref="A1:O28"/>
  <sheetViews>
    <sheetView workbookViewId="0">
      <selection activeCell="K25" sqref="K2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102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90</v>
      </c>
      <c r="N4" s="40">
        <f t="shared" ref="N4:N10" si="0">IF(K4&gt;M4,K4-M4,0)</f>
        <v>0</v>
      </c>
      <c r="O4" s="40">
        <f t="shared" ref="O4:O10" si="1">IF(M4&gt;K4,M4-K4,0)</f>
        <v>90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0</v>
      </c>
      <c r="C7" s="17">
        <f>24+20+22+63+22+7+22+44+32+56+44+60+165+32+128</f>
        <v>741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741</v>
      </c>
      <c r="L7" s="39"/>
      <c r="M7" s="17">
        <v>741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18</v>
      </c>
      <c r="B9" s="17">
        <v>50</v>
      </c>
      <c r="C9" s="17">
        <f>26+27+22+2+64+40+54+26+32+136+95+20+24+20</f>
        <v>588</v>
      </c>
      <c r="D9" s="17">
        <v>138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776</v>
      </c>
      <c r="L9" s="39"/>
      <c r="M9" s="17">
        <v>776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50</v>
      </c>
      <c r="C11" s="42">
        <f t="shared" si="2"/>
        <v>1329</v>
      </c>
      <c r="D11" s="42">
        <f t="shared" si="2"/>
        <v>138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1517</v>
      </c>
      <c r="L11" s="43"/>
      <c r="M11" s="42">
        <v>0</v>
      </c>
      <c r="N11" s="42">
        <f>SUM(N4:N10)</f>
        <v>0</v>
      </c>
      <c r="O11" s="42">
        <f>SUM(O4:O10)</f>
        <v>90</v>
      </c>
    </row>
    <row r="12" spans="1:15" ht="15.75" thickBot="1"/>
    <row r="13" spans="1:15" ht="17.25" thickBot="1">
      <c r="A13" s="53" t="s">
        <v>102</v>
      </c>
      <c r="B13" s="54"/>
      <c r="C13" s="54"/>
      <c r="D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50</v>
      </c>
    </row>
    <row r="24" spans="1:7">
      <c r="A24" t="s">
        <v>23</v>
      </c>
      <c r="D24" s="33">
        <f>266+154+225+31+128+50</f>
        <v>854</v>
      </c>
      <c r="E24" t="s">
        <v>58</v>
      </c>
    </row>
    <row r="28" spans="1:7">
      <c r="G28" t="s">
        <v>71</v>
      </c>
    </row>
  </sheetData>
  <mergeCells count="2">
    <mergeCell ref="A2:O2"/>
    <mergeCell ref="A13:D1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6775-CFA2-4D86-8FB5-D28481FDAAC7}">
  <dimension ref="A1:O28"/>
  <sheetViews>
    <sheetView workbookViewId="0">
      <selection activeCell="L13" sqref="L13:O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103</v>
      </c>
      <c r="B1" s="2"/>
      <c r="H1" s="3"/>
      <c r="N1" s="4" t="s">
        <v>0</v>
      </c>
    </row>
    <row r="2" spans="1:15" ht="16.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84</v>
      </c>
      <c r="L5" s="39"/>
      <c r="M5" s="17">
        <v>84</v>
      </c>
      <c r="N5" s="40">
        <f t="shared" si="0"/>
        <v>0</v>
      </c>
      <c r="O5" s="40">
        <f t="shared" si="1"/>
        <v>0</v>
      </c>
    </row>
    <row r="6" spans="1:15" ht="16.5" hidden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40</v>
      </c>
      <c r="C7" s="17">
        <f>64+20+10+113+226+127+15+26</f>
        <v>601</v>
      </c>
      <c r="D7" s="17">
        <v>42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683</v>
      </c>
      <c r="L7" s="39"/>
      <c r="M7" s="17">
        <v>683</v>
      </c>
      <c r="N7" s="40">
        <f t="shared" si="0"/>
        <v>0</v>
      </c>
      <c r="O7" s="40">
        <f t="shared" si="1"/>
        <v>0</v>
      </c>
    </row>
    <row r="8" spans="1:15" ht="16.5" hidden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26</v>
      </c>
      <c r="B9" s="17">
        <v>0</v>
      </c>
      <c r="C9" s="17">
        <f>24+27</f>
        <v>51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51</v>
      </c>
      <c r="L9" s="39"/>
      <c r="M9" s="17">
        <v>51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40</v>
      </c>
      <c r="C11" s="42">
        <f t="shared" si="2"/>
        <v>652</v>
      </c>
      <c r="D11" s="42">
        <f t="shared" si="2"/>
        <v>126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818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53" t="s">
        <v>103</v>
      </c>
      <c r="B13" s="54"/>
      <c r="C13" s="54"/>
      <c r="D13" s="54"/>
      <c r="L13" s="53" t="s">
        <v>104</v>
      </c>
      <c r="M13" s="54"/>
      <c r="N13" s="54"/>
      <c r="O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L14" s="22">
        <v>500</v>
      </c>
      <c r="M14" s="23" t="s">
        <v>20</v>
      </c>
      <c r="N14" s="24"/>
      <c r="O14" s="25">
        <f t="shared" ref="O14:O19" si="4">L14*N14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L15" s="26">
        <v>100</v>
      </c>
      <c r="M15" s="23" t="s">
        <v>20</v>
      </c>
      <c r="N15" s="24">
        <v>8</v>
      </c>
      <c r="O15" s="25">
        <f t="shared" si="4"/>
        <v>800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L16" s="26">
        <v>50</v>
      </c>
      <c r="M16" s="23" t="s">
        <v>20</v>
      </c>
      <c r="N16" s="24"/>
      <c r="O16" s="25">
        <f t="shared" si="4"/>
        <v>0</v>
      </c>
    </row>
    <row r="17" spans="1:15" ht="16.5">
      <c r="A17" s="26">
        <v>20</v>
      </c>
      <c r="B17" s="23" t="s">
        <v>20</v>
      </c>
      <c r="C17" s="24">
        <v>1</v>
      </c>
      <c r="D17" s="25">
        <f t="shared" si="3"/>
        <v>20</v>
      </c>
      <c r="L17" s="26">
        <v>20</v>
      </c>
      <c r="M17" s="23" t="s">
        <v>20</v>
      </c>
      <c r="N17" s="24">
        <v>4</v>
      </c>
      <c r="O17" s="25">
        <f t="shared" si="4"/>
        <v>80</v>
      </c>
    </row>
    <row r="18" spans="1:15" ht="16.5">
      <c r="A18" s="26">
        <v>10</v>
      </c>
      <c r="B18" s="23" t="s">
        <v>20</v>
      </c>
      <c r="C18" s="24">
        <v>0</v>
      </c>
      <c r="D18" s="25">
        <f t="shared" si="3"/>
        <v>0</v>
      </c>
      <c r="L18" s="26">
        <v>10</v>
      </c>
      <c r="M18" s="23" t="s">
        <v>20</v>
      </c>
      <c r="N18" s="24">
        <v>1</v>
      </c>
      <c r="O18" s="25">
        <f t="shared" si="4"/>
        <v>10</v>
      </c>
    </row>
    <row r="19" spans="1:15" ht="16.5">
      <c r="A19" s="26">
        <v>5</v>
      </c>
      <c r="B19" s="23" t="s">
        <v>20</v>
      </c>
      <c r="C19" s="24">
        <v>4</v>
      </c>
      <c r="D19" s="25">
        <f t="shared" si="3"/>
        <v>20</v>
      </c>
      <c r="L19" s="26">
        <v>5</v>
      </c>
      <c r="M19" s="23" t="s">
        <v>20</v>
      </c>
      <c r="N19" s="24">
        <v>0</v>
      </c>
      <c r="O19" s="25">
        <f t="shared" si="4"/>
        <v>0</v>
      </c>
    </row>
    <row r="20" spans="1:15" ht="16.5">
      <c r="A20" s="27" t="s">
        <v>21</v>
      </c>
      <c r="B20" s="23" t="s">
        <v>20</v>
      </c>
      <c r="C20" s="24">
        <v>0</v>
      </c>
      <c r="D20" s="25">
        <f>+C20*1</f>
        <v>0</v>
      </c>
      <c r="L20" s="27" t="s">
        <v>21</v>
      </c>
      <c r="M20" s="23" t="s">
        <v>20</v>
      </c>
      <c r="N20" s="24">
        <v>4</v>
      </c>
      <c r="O20" s="25">
        <f>+N20*1</f>
        <v>4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40</v>
      </c>
      <c r="L22" s="29" t="s">
        <v>22</v>
      </c>
      <c r="M22" s="30"/>
      <c r="N22" s="31"/>
      <c r="O22" s="32">
        <f>SUM(O14:O21)</f>
        <v>894</v>
      </c>
    </row>
    <row r="24" spans="1:15">
      <c r="A24" t="s">
        <v>23</v>
      </c>
      <c r="D24" s="33">
        <f>266+154+225+31+128+50+40</f>
        <v>894</v>
      </c>
      <c r="E24" t="s">
        <v>58</v>
      </c>
    </row>
    <row r="28" spans="1:15">
      <c r="G28" t="s">
        <v>71</v>
      </c>
    </row>
  </sheetData>
  <mergeCells count="3">
    <mergeCell ref="A2:O2"/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4721-ECA7-4D9D-A4D5-9CB330FB15E3}">
  <dimension ref="A1:O28"/>
  <sheetViews>
    <sheetView workbookViewId="0">
      <selection activeCell="J20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105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84</v>
      </c>
      <c r="B7" s="17">
        <v>0</v>
      </c>
      <c r="C7" s="17">
        <f>63+64+70</f>
        <v>197</v>
      </c>
      <c r="D7" s="17">
        <v>84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281</v>
      </c>
      <c r="L7" s="39"/>
      <c r="M7" s="17">
        <v>281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0</v>
      </c>
      <c r="C9" s="17">
        <f>20+26+20+26+63+96+20+25</f>
        <v>296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296</v>
      </c>
      <c r="L9" s="39"/>
      <c r="M9" s="17">
        <v>296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493</v>
      </c>
      <c r="D11" s="42">
        <f t="shared" si="2"/>
        <v>84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577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6" t="s">
        <v>105</v>
      </c>
      <c r="B13" s="47"/>
      <c r="C13" s="47"/>
      <c r="D13" s="47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21FB-26D4-42C9-B0CC-2CAFB597CB98}">
  <dimension ref="A1:O28"/>
  <sheetViews>
    <sheetView workbookViewId="0">
      <selection activeCell="G19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31</v>
      </c>
      <c r="B7" s="17">
        <v>0</v>
      </c>
      <c r="C7" s="17">
        <f>20+24+26+7</f>
        <v>77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77</v>
      </c>
      <c r="L7" s="39"/>
      <c r="M7" s="17">
        <v>77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19</v>
      </c>
      <c r="B9" s="17">
        <f>20+25</f>
        <v>45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45</v>
      </c>
      <c r="L9" s="39"/>
      <c r="M9" s="17">
        <v>45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45</v>
      </c>
      <c r="C11" s="42">
        <f t="shared" si="2"/>
        <v>77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122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6" t="s">
        <v>106</v>
      </c>
      <c r="B13" s="47"/>
      <c r="C13" s="47"/>
      <c r="D13" s="47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48D2-EE20-49E9-8ED3-F6B7EB4708E7}">
  <dimension ref="A1:O28"/>
  <sheetViews>
    <sheetView workbookViewId="0">
      <selection activeCell="G18" sqref="G1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107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0</v>
      </c>
      <c r="C7" s="17">
        <v>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</v>
      </c>
      <c r="L7" s="39"/>
      <c r="M7" s="17">
        <v>7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0</v>
      </c>
      <c r="C9" s="17">
        <f>52+52+24+24+24</f>
        <v>176</v>
      </c>
      <c r="D9" s="17">
        <v>32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208</v>
      </c>
      <c r="L9" s="39"/>
      <c r="M9" s="17">
        <v>208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183</v>
      </c>
      <c r="D11" s="42">
        <f t="shared" si="2"/>
        <v>32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215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107</v>
      </c>
      <c r="B13" s="50"/>
      <c r="C13" s="50"/>
      <c r="D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F2B5-E01D-4EBA-AF34-741021B3EB32}">
  <dimension ref="A1:O28"/>
  <sheetViews>
    <sheetView workbookViewId="0">
      <selection activeCell="A13" sqref="A13:D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45667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26</v>
      </c>
      <c r="B7" s="17">
        <v>0</v>
      </c>
      <c r="C7" s="17">
        <f>64+26+44+24+26</f>
        <v>184</v>
      </c>
      <c r="D7" s="17">
        <v>96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280</v>
      </c>
      <c r="L7" s="39"/>
      <c r="M7" s="17">
        <v>280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0</v>
      </c>
      <c r="C9" s="17">
        <f>20+20+20+24+20+20+15+58+24+111+20+12+88+70.4+25</f>
        <v>547.4</v>
      </c>
      <c r="D9" s="17">
        <v>0</v>
      </c>
      <c r="E9" s="17">
        <v>0</v>
      </c>
      <c r="F9" s="17">
        <v>17.600000000000001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565</v>
      </c>
      <c r="L9" s="39"/>
      <c r="M9" s="17">
        <v>565</v>
      </c>
      <c r="N9" s="40">
        <f t="shared" si="0"/>
        <v>0</v>
      </c>
      <c r="O9" s="40">
        <f t="shared" si="1"/>
        <v>0</v>
      </c>
    </row>
    <row r="10" spans="1:15" ht="17.25" hidden="1" customHeight="1">
      <c r="A10" s="16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731.4</v>
      </c>
      <c r="D11" s="42">
        <f t="shared" si="2"/>
        <v>96</v>
      </c>
      <c r="E11" s="42">
        <f t="shared" si="2"/>
        <v>0</v>
      </c>
      <c r="F11" s="42">
        <f t="shared" si="2"/>
        <v>17.600000000000001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845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45667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A09D-E9CA-4DAB-8C9C-973CB5772D40}">
  <dimension ref="A1:O28"/>
  <sheetViews>
    <sheetView workbookViewId="0">
      <selection activeCell="G24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45698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31</v>
      </c>
      <c r="B7" s="17">
        <v>0</v>
      </c>
      <c r="C7" s="17">
        <f>27+20+183+25+32+77+26+32</f>
        <v>422</v>
      </c>
      <c r="D7" s="17">
        <v>288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710</v>
      </c>
      <c r="L7" s="39"/>
      <c r="M7" s="17">
        <v>710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84</v>
      </c>
      <c r="C9" s="17">
        <f>20+20+20+40+31+26+104+96+95+20+40+20</f>
        <v>532</v>
      </c>
      <c r="D9" s="17">
        <v>192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808</v>
      </c>
      <c r="L9" s="39"/>
      <c r="M9" s="17">
        <v>808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24</v>
      </c>
      <c r="B10" s="17">
        <v>40</v>
      </c>
      <c r="C10" s="17">
        <f>40+20+52+48+40+24+84+15+72+98</f>
        <v>493</v>
      </c>
      <c r="D10" s="17">
        <v>266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799</v>
      </c>
      <c r="L10" s="39"/>
      <c r="M10" s="17">
        <v>799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124</v>
      </c>
      <c r="C11" s="42">
        <f t="shared" si="2"/>
        <v>1447</v>
      </c>
      <c r="D11" s="42">
        <f t="shared" si="2"/>
        <v>746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2317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45698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16</v>
      </c>
      <c r="D19" s="25">
        <f t="shared" si="3"/>
        <v>80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124</v>
      </c>
    </row>
    <row r="24" spans="1:7">
      <c r="A24" t="s">
        <v>23</v>
      </c>
      <c r="D24" s="33">
        <v>124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262E-D90D-4B43-A585-8033D4E331D3}">
  <dimension ref="A1:O28"/>
  <sheetViews>
    <sheetView workbookViewId="0">
      <selection activeCell="A10" sqref="A1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45726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80</v>
      </c>
      <c r="N4" s="40">
        <f t="shared" ref="N4:N10" si="0">IF(K4&gt;M4,K4-M4,0)</f>
        <v>0</v>
      </c>
      <c r="O4" s="40">
        <f t="shared" ref="O4:O10" si="1">IF(M4&gt;K4,M4-K4,0)</f>
        <v>80</v>
      </c>
    </row>
    <row r="5" spans="1:15" ht="16.5">
      <c r="A5" s="10" t="s">
        <v>17</v>
      </c>
      <c r="B5" s="17">
        <v>0</v>
      </c>
      <c r="C5" s="17">
        <v>0</v>
      </c>
      <c r="D5" s="17">
        <v>426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426</v>
      </c>
      <c r="L5" s="39"/>
      <c r="M5" s="17">
        <v>426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630</v>
      </c>
      <c r="C7" s="17">
        <f>64+192+160+42+122+141+54+52+20+7+40+42+102+24+27+32+64+54+160+44+57+44+88+33+27+22+100+44+27+19+26</f>
        <v>1930</v>
      </c>
      <c r="D7" s="17">
        <v>1284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3844</v>
      </c>
      <c r="L7" s="39"/>
      <c r="M7" s="17">
        <v>3844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128</v>
      </c>
      <c r="C9" s="17">
        <f>64+176+12+96+86</f>
        <v>434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562</v>
      </c>
      <c r="L9" s="39"/>
      <c r="M9" s="17">
        <v>584</v>
      </c>
      <c r="N9" s="40">
        <f t="shared" si="0"/>
        <v>0</v>
      </c>
      <c r="O9" s="40">
        <f t="shared" si="1"/>
        <v>22</v>
      </c>
    </row>
    <row r="10" spans="1:15" ht="17.25" customHeight="1">
      <c r="A10" t="s">
        <v>26</v>
      </c>
      <c r="B10" s="17">
        <v>166</v>
      </c>
      <c r="C10" s="17">
        <f>24+26+20+31+32+20+32+24+84+20+64+256+224+80+22+26+115+40+40+24+12+24+26</f>
        <v>1266</v>
      </c>
      <c r="D10" s="17">
        <v>720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2152</v>
      </c>
      <c r="L10" s="39"/>
      <c r="M10" s="17">
        <v>2152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924</v>
      </c>
      <c r="C11" s="42">
        <f t="shared" si="2"/>
        <v>3630</v>
      </c>
      <c r="D11" s="42">
        <f t="shared" si="2"/>
        <v>2430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6984</v>
      </c>
      <c r="L11" s="43"/>
      <c r="M11" s="42">
        <v>0</v>
      </c>
      <c r="N11" s="42">
        <f>SUM(N4:N10)</f>
        <v>0</v>
      </c>
      <c r="O11" s="42">
        <f>SUM(O4:O10)</f>
        <v>102</v>
      </c>
    </row>
    <row r="12" spans="1:15" ht="15.75" thickBot="1"/>
    <row r="13" spans="1:15" ht="17.25" thickBot="1">
      <c r="A13" s="49">
        <v>45726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6</v>
      </c>
      <c r="D16" s="25">
        <f t="shared" si="3"/>
        <v>300</v>
      </c>
    </row>
    <row r="17" spans="1:7" ht="16.5">
      <c r="A17" s="26">
        <v>20</v>
      </c>
      <c r="B17" s="23" t="s">
        <v>20</v>
      </c>
      <c r="C17" s="24">
        <v>4</v>
      </c>
      <c r="D17" s="25">
        <f t="shared" si="3"/>
        <v>80</v>
      </c>
    </row>
    <row r="18" spans="1:7" ht="16.5">
      <c r="A18" s="26">
        <v>10</v>
      </c>
      <c r="B18" s="23" t="s">
        <v>20</v>
      </c>
      <c r="C18" s="24">
        <v>8</v>
      </c>
      <c r="D18" s="25">
        <f t="shared" si="3"/>
        <v>80</v>
      </c>
    </row>
    <row r="19" spans="1:7" ht="16.5">
      <c r="A19" s="26">
        <v>5</v>
      </c>
      <c r="B19" s="23" t="s">
        <v>20</v>
      </c>
      <c r="C19" s="24">
        <v>11</v>
      </c>
      <c r="D19" s="25">
        <f t="shared" si="3"/>
        <v>55</v>
      </c>
    </row>
    <row r="20" spans="1:7" ht="16.5">
      <c r="A20" s="27" t="s">
        <v>21</v>
      </c>
      <c r="B20" s="23" t="s">
        <v>20</v>
      </c>
      <c r="C20" s="24">
        <v>9</v>
      </c>
      <c r="D20" s="25">
        <f>+C20*1</f>
        <v>9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924</v>
      </c>
    </row>
    <row r="24" spans="1:7">
      <c r="A24" t="s">
        <v>23</v>
      </c>
      <c r="D24" s="33">
        <f>124+924</f>
        <v>1048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FF43-5C0B-4FB8-85D3-1FD55FA986DC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45757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38</v>
      </c>
      <c r="N4" s="40">
        <f t="shared" ref="N4:N10" si="0">IF(K4&gt;M4,K4-M4,0)</f>
        <v>0</v>
      </c>
      <c r="O4" s="40">
        <f t="shared" ref="O4:O10" si="1">IF(M4&gt;K4,M4-K4,0)</f>
        <v>38</v>
      </c>
    </row>
    <row r="5" spans="1:15" ht="16.5">
      <c r="A5" s="10" t="s">
        <v>17</v>
      </c>
      <c r="B5" s="17">
        <v>0</v>
      </c>
      <c r="C5" s="17">
        <v>0</v>
      </c>
      <c r="D5" s="17">
        <v>148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148</v>
      </c>
      <c r="L5" s="39"/>
      <c r="M5" s="17">
        <v>148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31</v>
      </c>
      <c r="B7" s="17">
        <v>100</v>
      </c>
      <c r="C7" s="17">
        <f>44+26+20+38+26+60+20+14+20+60</f>
        <v>328</v>
      </c>
      <c r="D7" s="17">
        <v>96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524</v>
      </c>
      <c r="L7" s="39"/>
      <c r="M7" s="17">
        <v>524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33</v>
      </c>
      <c r="C9" s="17">
        <f>3+27+7+24+38+20+26+84+64+25+58+50+95</f>
        <v>521</v>
      </c>
      <c r="D9" s="17">
        <v>372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926</v>
      </c>
      <c r="L9" s="39"/>
      <c r="M9" s="17">
        <v>926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24</v>
      </c>
      <c r="B10" s="17">
        <v>0</v>
      </c>
      <c r="C10" s="17">
        <f>40+20+20+24+24+32+83</f>
        <v>243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243</v>
      </c>
      <c r="L10" s="39"/>
      <c r="M10" s="17">
        <v>243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133</v>
      </c>
      <c r="C11" s="42">
        <f t="shared" si="2"/>
        <v>1092</v>
      </c>
      <c r="D11" s="42">
        <f t="shared" si="2"/>
        <v>616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1841</v>
      </c>
      <c r="L11" s="43"/>
      <c r="M11" s="42">
        <v>0</v>
      </c>
      <c r="N11" s="42">
        <f>SUM(N4:N10)</f>
        <v>0</v>
      </c>
      <c r="O11" s="42">
        <f>SUM(O4:O10)</f>
        <v>38</v>
      </c>
    </row>
    <row r="12" spans="1:15" ht="15.75" thickBot="1">
      <c r="A12" s="34" t="s">
        <v>29</v>
      </c>
    </row>
    <row r="13" spans="1:15" ht="17.25" thickBot="1">
      <c r="A13" s="49">
        <v>45757</v>
      </c>
      <c r="B13" s="50"/>
      <c r="C13" s="50"/>
      <c r="D13" s="51"/>
      <c r="H13" t="s">
        <v>58</v>
      </c>
      <c r="K13" s="53" t="s">
        <v>108</v>
      </c>
      <c r="L13" s="54"/>
      <c r="M13" s="54"/>
      <c r="N13" s="54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/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  <c r="K15" s="26">
        <v>100</v>
      </c>
      <c r="L15" s="23" t="s">
        <v>20</v>
      </c>
      <c r="M15" s="24">
        <v>10</v>
      </c>
      <c r="N15" s="25">
        <f t="shared" si="4"/>
        <v>1000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K16" s="26">
        <v>50</v>
      </c>
      <c r="L16" s="23" t="s">
        <v>20</v>
      </c>
      <c r="M16" s="24">
        <v>2</v>
      </c>
      <c r="N16" s="25">
        <f t="shared" si="4"/>
        <v>100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2</v>
      </c>
      <c r="N17" s="25">
        <f t="shared" si="4"/>
        <v>40</v>
      </c>
    </row>
    <row r="18" spans="1:14" ht="16.5">
      <c r="A18" s="26">
        <v>10</v>
      </c>
      <c r="B18" s="23" t="s">
        <v>20</v>
      </c>
      <c r="C18" s="24">
        <v>0</v>
      </c>
      <c r="D18" s="25">
        <f t="shared" si="3"/>
        <v>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5</v>
      </c>
      <c r="D19" s="25">
        <f t="shared" si="3"/>
        <v>25</v>
      </c>
      <c r="K19" s="26">
        <v>5</v>
      </c>
      <c r="L19" s="23" t="s">
        <v>20</v>
      </c>
      <c r="M19" s="24">
        <v>8</v>
      </c>
      <c r="N19" s="25">
        <f t="shared" si="4"/>
        <v>40</v>
      </c>
    </row>
    <row r="20" spans="1:14" ht="16.5">
      <c r="A20" s="27" t="s">
        <v>21</v>
      </c>
      <c r="B20" s="23" t="s">
        <v>20</v>
      </c>
      <c r="C20" s="24">
        <v>8</v>
      </c>
      <c r="D20" s="25">
        <f>+C20*1</f>
        <v>8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133</v>
      </c>
      <c r="K22" s="29" t="s">
        <v>22</v>
      </c>
      <c r="L22" s="30"/>
      <c r="M22" s="31"/>
      <c r="N22" s="32">
        <f>SUM(N14:N21)</f>
        <v>1181</v>
      </c>
    </row>
    <row r="24" spans="1:14">
      <c r="A24" t="s">
        <v>23</v>
      </c>
      <c r="D24" s="33">
        <f>124+924+133</f>
        <v>1181</v>
      </c>
      <c r="E24" t="s">
        <v>58</v>
      </c>
    </row>
    <row r="28" spans="1:14">
      <c r="G28" t="s">
        <v>71</v>
      </c>
    </row>
  </sheetData>
  <mergeCells count="2"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B0AB-C9CF-4B52-B8EF-A29A517EFCF7}">
  <dimension ref="A1:O28"/>
  <sheetViews>
    <sheetView workbookViewId="0">
      <selection activeCell="A13" sqref="A13:D1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45787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0</v>
      </c>
      <c r="C7" s="17">
        <f>64+148+24+64+20+26+64+24+20+44</f>
        <v>498</v>
      </c>
      <c r="D7" s="17">
        <v>170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668</v>
      </c>
      <c r="L7" s="39"/>
      <c r="M7" s="17">
        <v>668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24</v>
      </c>
      <c r="B9" s="17">
        <v>100</v>
      </c>
      <c r="C9" s="17">
        <f>70+27+4+160+40</f>
        <v>301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401</v>
      </c>
      <c r="L9" s="39"/>
      <c r="M9" s="17">
        <v>401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100</v>
      </c>
      <c r="C11" s="42">
        <f t="shared" si="2"/>
        <v>799</v>
      </c>
      <c r="D11" s="42">
        <f t="shared" si="2"/>
        <v>170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1069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45787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100</v>
      </c>
    </row>
    <row r="24" spans="1:7">
      <c r="A24" t="s">
        <v>23</v>
      </c>
      <c r="D24" s="33">
        <v>100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B6DB-86E9-4C10-AD10-8152E94DEF88}">
  <dimension ref="A1:O28"/>
  <sheetViews>
    <sheetView workbookViewId="0">
      <selection activeCell="K30" sqref="K30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45818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s="16" t="s">
        <v>27</v>
      </c>
      <c r="B7" s="17">
        <v>0</v>
      </c>
      <c r="C7" s="17">
        <f>32+96+64+46+26+64+30+20+52+12</f>
        <v>442</v>
      </c>
      <c r="D7" s="17">
        <v>180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622</v>
      </c>
      <c r="L7" s="39"/>
      <c r="M7" s="17">
        <v>622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s="16" t="s">
        <v>26</v>
      </c>
      <c r="B9" s="17">
        <v>0</v>
      </c>
      <c r="C9" s="17">
        <f>156+24+55+20</f>
        <v>255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255</v>
      </c>
      <c r="L9" s="39"/>
      <c r="M9" s="17">
        <v>255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697</v>
      </c>
      <c r="D11" s="42">
        <f t="shared" si="2"/>
        <v>180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877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45818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/>
      <c r="D17" s="25">
        <f t="shared" si="3"/>
        <v>0</v>
      </c>
    </row>
    <row r="18" spans="1:7" ht="16.5">
      <c r="A18" s="26">
        <v>10</v>
      </c>
      <c r="B18" s="23" t="s">
        <v>20</v>
      </c>
      <c r="C18" s="24"/>
      <c r="D18" s="25">
        <f t="shared" si="3"/>
        <v>0</v>
      </c>
    </row>
    <row r="19" spans="1:7" ht="16.5">
      <c r="A19" s="26">
        <v>5</v>
      </c>
      <c r="B19" s="23" t="s">
        <v>20</v>
      </c>
      <c r="C19" s="24"/>
      <c r="D19" s="25">
        <f t="shared" si="3"/>
        <v>0</v>
      </c>
    </row>
    <row r="20" spans="1:7" ht="16.5">
      <c r="A20" s="27" t="s">
        <v>21</v>
      </c>
      <c r="B20" s="23" t="s">
        <v>20</v>
      </c>
      <c r="C20" s="24"/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100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9FDF-61A7-43D8-9A1F-EFAC9B14A612}">
  <dimension ref="A1:O28"/>
  <sheetViews>
    <sheetView workbookViewId="0">
      <selection activeCell="J29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45848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74</v>
      </c>
      <c r="C7" s="17">
        <f>32+20+84+38+53+26+128+48+29+24+52</f>
        <v>534</v>
      </c>
      <c r="D7" s="17">
        <v>336</v>
      </c>
      <c r="E7" s="17">
        <v>0</v>
      </c>
      <c r="F7" s="17">
        <v>0</v>
      </c>
      <c r="G7" s="17">
        <v>0</v>
      </c>
      <c r="H7" s="17">
        <v>0</v>
      </c>
      <c r="I7" s="17">
        <v>24</v>
      </c>
      <c r="J7" s="17">
        <v>0</v>
      </c>
      <c r="K7" s="38">
        <f>SUM(B7:J7)</f>
        <v>968</v>
      </c>
      <c r="L7" s="39"/>
      <c r="M7" s="17">
        <v>968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24</v>
      </c>
      <c r="B9" s="17">
        <v>0</v>
      </c>
      <c r="C9" s="17">
        <f>10+10</f>
        <v>20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20</v>
      </c>
      <c r="L9" s="39"/>
      <c r="M9" s="17">
        <v>20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74</v>
      </c>
      <c r="C11" s="42">
        <f t="shared" si="2"/>
        <v>554</v>
      </c>
      <c r="D11" s="42">
        <f t="shared" si="2"/>
        <v>336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988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45848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/>
      <c r="D15" s="25">
        <f t="shared" si="3"/>
        <v>0</v>
      </c>
    </row>
    <row r="16" spans="1:15" ht="16.5">
      <c r="A16" s="26">
        <v>50</v>
      </c>
      <c r="B16" s="23" t="s">
        <v>20</v>
      </c>
      <c r="C16" s="24"/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3</v>
      </c>
      <c r="D17" s="25">
        <f t="shared" si="3"/>
        <v>60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/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74</v>
      </c>
    </row>
    <row r="24" spans="1:7">
      <c r="A24" t="s">
        <v>23</v>
      </c>
      <c r="D24" s="33">
        <f>100+74</f>
        <v>174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EC79-09C9-473B-9DBE-4440416170A8}">
  <dimension ref="A1:O28"/>
  <sheetViews>
    <sheetView workbookViewId="0">
      <selection activeCell="K24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45879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254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254</v>
      </c>
      <c r="L5" s="39"/>
      <c r="M5" s="17">
        <v>254</v>
      </c>
      <c r="N5" s="40">
        <f t="shared" si="0"/>
        <v>0</v>
      </c>
      <c r="O5" s="40">
        <f t="shared" si="1"/>
        <v>0</v>
      </c>
    </row>
    <row r="6" spans="1:15" ht="16.5" hidden="1" customHeight="1">
      <c r="A6" s="16" t="s">
        <v>27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0</v>
      </c>
      <c r="L6" s="39"/>
      <c r="M6" s="17">
        <v>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462</v>
      </c>
      <c r="C7" s="17">
        <f>72+27+45.5+26+60+20+20+20+84+26+45.5</f>
        <v>446</v>
      </c>
      <c r="D7" s="17">
        <v>464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1372</v>
      </c>
      <c r="L7" s="39"/>
      <c r="M7" s="17">
        <v>1372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0</v>
      </c>
      <c r="C9" s="17">
        <v>20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20</v>
      </c>
      <c r="L9" s="39"/>
      <c r="M9" s="17">
        <v>20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462</v>
      </c>
      <c r="C11" s="42">
        <f t="shared" si="2"/>
        <v>720</v>
      </c>
      <c r="D11" s="42">
        <f t="shared" si="2"/>
        <v>464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1646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45879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462</v>
      </c>
    </row>
    <row r="24" spans="1:7">
      <c r="A24" t="s">
        <v>23</v>
      </c>
      <c r="D24" s="33">
        <f>100+74+462</f>
        <v>636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8B30-B353-4A1E-80B2-70181ED63D07}">
  <dimension ref="A1:O28"/>
  <sheetViews>
    <sheetView workbookViewId="0">
      <selection activeCell="H16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45910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84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96</v>
      </c>
      <c r="H6" s="17">
        <v>0</v>
      </c>
      <c r="I6" s="17">
        <v>0</v>
      </c>
      <c r="J6" s="17">
        <v>0</v>
      </c>
      <c r="K6" s="38">
        <f>SUM(B6:J6)</f>
        <v>96</v>
      </c>
      <c r="L6" s="39"/>
      <c r="M6" s="17">
        <v>96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31</v>
      </c>
      <c r="B7" s="17">
        <v>52</v>
      </c>
      <c r="C7" s="17">
        <f>84+119+20+40+20+25+12+119+138+20+32+40+42+38</f>
        <v>749</v>
      </c>
      <c r="D7" s="17">
        <v>160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961</v>
      </c>
      <c r="L7" s="39"/>
      <c r="M7" s="17">
        <v>961</v>
      </c>
      <c r="N7" s="40">
        <f t="shared" si="0"/>
        <v>0</v>
      </c>
      <c r="O7" s="40">
        <f t="shared" si="1"/>
        <v>0</v>
      </c>
    </row>
    <row r="8" spans="1:15" ht="16.5" customHeight="1">
      <c r="A8" t="s">
        <v>26</v>
      </c>
      <c r="B8" s="17">
        <v>319</v>
      </c>
      <c r="C8" s="17">
        <f>32+26+59+39+38+39+20+232+5+20+6+20+10+20+32+32+64+24+52+20+20</f>
        <v>810</v>
      </c>
      <c r="D8" s="17">
        <v>210</v>
      </c>
      <c r="E8" s="17">
        <v>0</v>
      </c>
      <c r="F8" s="17">
        <v>0</v>
      </c>
      <c r="G8" s="17">
        <v>0</v>
      </c>
      <c r="H8" s="17">
        <v>0</v>
      </c>
      <c r="I8" s="17">
        <v>48</v>
      </c>
      <c r="J8" s="17">
        <v>0</v>
      </c>
      <c r="K8" s="38">
        <f>SUM(B8:J8)</f>
        <v>1387</v>
      </c>
      <c r="L8" s="39"/>
      <c r="M8" s="17">
        <v>1387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24</v>
      </c>
      <c r="B9" s="17">
        <v>103</v>
      </c>
      <c r="C9" s="17">
        <f>30+10+96+32+10+30+160+20+20+26+192</f>
        <v>626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729</v>
      </c>
      <c r="L9" s="39"/>
      <c r="M9" s="17">
        <v>729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474</v>
      </c>
      <c r="C11" s="42">
        <f t="shared" si="2"/>
        <v>2185</v>
      </c>
      <c r="D11" s="42">
        <f t="shared" si="2"/>
        <v>370</v>
      </c>
      <c r="E11" s="42">
        <f t="shared" si="2"/>
        <v>0</v>
      </c>
      <c r="F11" s="42">
        <f t="shared" si="2"/>
        <v>0</v>
      </c>
      <c r="G11" s="42">
        <f t="shared" si="2"/>
        <v>96</v>
      </c>
      <c r="H11" s="42">
        <f t="shared" si="2"/>
        <v>0</v>
      </c>
      <c r="I11" s="42">
        <f t="shared" si="2"/>
        <v>48</v>
      </c>
      <c r="J11" s="42">
        <f t="shared" si="2"/>
        <v>0</v>
      </c>
      <c r="K11" s="42">
        <f t="shared" si="2"/>
        <v>3173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45910</v>
      </c>
      <c r="B13" s="50"/>
      <c r="C13" s="50"/>
      <c r="D13" s="51"/>
      <c r="H13" t="s">
        <v>58</v>
      </c>
      <c r="L13" s="49" t="s">
        <v>109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L14" s="22">
        <v>500</v>
      </c>
      <c r="M14" s="23" t="s">
        <v>20</v>
      </c>
      <c r="N14" s="24"/>
      <c r="O14" s="25">
        <f t="shared" ref="O14:O19" si="4">L14*N14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  <c r="L15" s="26">
        <v>100</v>
      </c>
      <c r="M15" s="23" t="s">
        <v>20</v>
      </c>
      <c r="N15" s="24">
        <v>7</v>
      </c>
      <c r="O15" s="25">
        <f t="shared" si="4"/>
        <v>700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L16" s="26">
        <v>50</v>
      </c>
      <c r="M16" s="23" t="s">
        <v>20</v>
      </c>
      <c r="N16" s="24">
        <v>6</v>
      </c>
      <c r="O16" s="25">
        <f t="shared" si="4"/>
        <v>300</v>
      </c>
    </row>
    <row r="17" spans="1:15" ht="16.5">
      <c r="A17" s="26">
        <v>20</v>
      </c>
      <c r="B17" s="23" t="s">
        <v>20</v>
      </c>
      <c r="C17" s="24">
        <v>0</v>
      </c>
      <c r="D17" s="25">
        <f t="shared" si="3"/>
        <v>0</v>
      </c>
      <c r="L17" s="26">
        <v>20</v>
      </c>
      <c r="M17" s="23" t="s">
        <v>20</v>
      </c>
      <c r="N17" s="24">
        <v>3</v>
      </c>
      <c r="O17" s="25">
        <f t="shared" si="4"/>
        <v>60</v>
      </c>
    </row>
    <row r="18" spans="1:15" ht="16.5">
      <c r="A18" s="26">
        <v>10</v>
      </c>
      <c r="B18" s="23" t="s">
        <v>20</v>
      </c>
      <c r="C18" s="24">
        <v>16</v>
      </c>
      <c r="D18" s="25">
        <f t="shared" si="3"/>
        <v>160</v>
      </c>
      <c r="L18" s="26">
        <v>10</v>
      </c>
      <c r="M18" s="23" t="s">
        <v>20</v>
      </c>
      <c r="N18" s="24">
        <v>1</v>
      </c>
      <c r="O18" s="25">
        <f t="shared" si="4"/>
        <v>10</v>
      </c>
    </row>
    <row r="19" spans="1:15" ht="16.5">
      <c r="A19" s="26">
        <v>5</v>
      </c>
      <c r="B19" s="23" t="s">
        <v>20</v>
      </c>
      <c r="C19" s="24">
        <v>11</v>
      </c>
      <c r="D19" s="25">
        <f t="shared" si="3"/>
        <v>55</v>
      </c>
      <c r="L19" s="26">
        <v>5</v>
      </c>
      <c r="M19" s="23" t="s">
        <v>20</v>
      </c>
      <c r="N19" s="24">
        <v>5</v>
      </c>
      <c r="O19" s="25">
        <f t="shared" si="4"/>
        <v>25</v>
      </c>
    </row>
    <row r="20" spans="1:15" ht="16.5">
      <c r="A20" s="27" t="s">
        <v>21</v>
      </c>
      <c r="B20" s="23" t="s">
        <v>20</v>
      </c>
      <c r="C20" s="24">
        <v>9</v>
      </c>
      <c r="D20" s="25">
        <f>+C20*1</f>
        <v>9</v>
      </c>
      <c r="L20" s="27" t="s">
        <v>21</v>
      </c>
      <c r="M20" s="23" t="s">
        <v>20</v>
      </c>
      <c r="N20" s="24">
        <v>15</v>
      </c>
      <c r="O20" s="25">
        <f>+N20*1</f>
        <v>15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474</v>
      </c>
      <c r="L22" s="29" t="s">
        <v>22</v>
      </c>
      <c r="M22" s="30"/>
      <c r="N22" s="31"/>
      <c r="O22" s="32">
        <f>SUM(O14:O21)</f>
        <v>1110</v>
      </c>
    </row>
    <row r="24" spans="1:15">
      <c r="A24" t="s">
        <v>23</v>
      </c>
      <c r="D24" s="33">
        <f>100+74+462+474</f>
        <v>1110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6AA5-F09E-4ADD-AAF8-57D5FBF92081}">
  <dimension ref="A1:O28"/>
  <sheetViews>
    <sheetView workbookViewId="0">
      <selection activeCell="D22" sqref="D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45940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25</v>
      </c>
      <c r="B6" s="17">
        <v>10</v>
      </c>
      <c r="C6" s="17">
        <f>296+22</f>
        <v>318</v>
      </c>
      <c r="D6" s="17">
        <v>128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456</v>
      </c>
      <c r="L6" s="39"/>
      <c r="M6" s="17">
        <v>455</v>
      </c>
      <c r="N6" s="40">
        <f t="shared" si="0"/>
        <v>1</v>
      </c>
      <c r="O6" s="40">
        <f t="shared" si="1"/>
        <v>0</v>
      </c>
    </row>
    <row r="7" spans="1:15" ht="16.5" customHeight="1">
      <c r="A7" t="s">
        <v>27</v>
      </c>
      <c r="B7" s="17">
        <v>394</v>
      </c>
      <c r="C7" s="17">
        <f>25+25+24+24+24+24+24+191+179+64+81+26+26+7+38+63+80+15+64+20+10+147+5+210+64+64+32+42+47+20+64+114+7+96+26+96+52+22+24+32+215+64+29</f>
        <v>2506</v>
      </c>
      <c r="D7" s="17">
        <v>540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3440</v>
      </c>
      <c r="L7" s="39"/>
      <c r="M7" s="17">
        <v>3440</v>
      </c>
      <c r="N7" s="40">
        <f t="shared" si="0"/>
        <v>0</v>
      </c>
      <c r="O7" s="40">
        <f t="shared" si="1"/>
        <v>0</v>
      </c>
    </row>
    <row r="8" spans="1:15" ht="16.5" customHeight="1">
      <c r="A8" t="s">
        <v>24</v>
      </c>
      <c r="B8" s="17">
        <v>47</v>
      </c>
      <c r="C8" s="17">
        <f>20+26+7+64+31+133+121+64+32+10+112+7+58+32+65+24+61+25+84+64+128+70+107+107+88+64</f>
        <v>1604</v>
      </c>
      <c r="D8" s="17">
        <v>254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1905</v>
      </c>
      <c r="L8" s="39"/>
      <c r="M8" s="17">
        <v>1905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451</v>
      </c>
      <c r="C11" s="42">
        <f t="shared" si="2"/>
        <v>4428</v>
      </c>
      <c r="D11" s="42">
        <f t="shared" si="2"/>
        <v>922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5801</v>
      </c>
      <c r="L11" s="43"/>
      <c r="M11" s="42">
        <v>0</v>
      </c>
      <c r="N11" s="42">
        <f>SUM(N4:N10)</f>
        <v>1</v>
      </c>
      <c r="O11" s="42">
        <f>SUM(O4:O10)</f>
        <v>0</v>
      </c>
    </row>
    <row r="12" spans="1:15" ht="15.75" thickBot="1"/>
    <row r="13" spans="1:15" ht="17.25" thickBot="1">
      <c r="A13" s="49">
        <v>45940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5</v>
      </c>
      <c r="D16" s="25">
        <f t="shared" si="3"/>
        <v>250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15</v>
      </c>
      <c r="D19" s="25">
        <f t="shared" si="3"/>
        <v>75</v>
      </c>
    </row>
    <row r="20" spans="1:7" ht="16.5">
      <c r="A20" s="27" t="s">
        <v>21</v>
      </c>
      <c r="B20" s="23" t="s">
        <v>20</v>
      </c>
      <c r="C20" s="24">
        <v>6</v>
      </c>
      <c r="D20" s="25">
        <f>+C20*1</f>
        <v>6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451</v>
      </c>
    </row>
    <row r="24" spans="1:7">
      <c r="A24" t="s">
        <v>23</v>
      </c>
      <c r="D24" s="33">
        <f>100+74+462+474+541</f>
        <v>1651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7CB4E-7895-48B5-85A8-6BCCC23AA21A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45971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331</v>
      </c>
      <c r="C6" s="17">
        <f>38+62+8+20+124+20+25+24+24+68+68+12+26+20+94+96+38</f>
        <v>767</v>
      </c>
      <c r="D6" s="17">
        <v>64</v>
      </c>
      <c r="E6" s="17">
        <v>0</v>
      </c>
      <c r="F6" s="17">
        <v>0</v>
      </c>
      <c r="G6" s="17">
        <v>0</v>
      </c>
      <c r="H6" s="17">
        <v>0</v>
      </c>
      <c r="I6" s="17">
        <v>24</v>
      </c>
      <c r="J6" s="17">
        <v>0</v>
      </c>
      <c r="K6" s="38">
        <f>SUM(B6:J6)</f>
        <v>1186</v>
      </c>
      <c r="L6" s="39"/>
      <c r="M6" s="17">
        <v>1186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26</v>
      </c>
      <c r="B7" s="17">
        <v>19</v>
      </c>
      <c r="C7" s="17">
        <f>25+160+40+25+12+10+50+84+10+130+24+26+15+40+55+15+64+50+55+20+195+96+10+64+20+25+88+24+40+26+71+64</f>
        <v>1633</v>
      </c>
      <c r="D7" s="17">
        <v>604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2256</v>
      </c>
      <c r="L7" s="39"/>
      <c r="M7" s="17">
        <v>2256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350</v>
      </c>
      <c r="C11" s="42">
        <f t="shared" si="2"/>
        <v>2400</v>
      </c>
      <c r="D11" s="42">
        <f t="shared" si="2"/>
        <v>668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3442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>
        <v>45971</v>
      </c>
      <c r="B13" s="50"/>
      <c r="C13" s="50"/>
      <c r="D13" s="51"/>
      <c r="H13" t="s">
        <v>58</v>
      </c>
      <c r="L13" s="49" t="s">
        <v>110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L14" s="22">
        <v>500</v>
      </c>
      <c r="M14" s="23" t="s">
        <v>20</v>
      </c>
      <c r="N14" s="24">
        <v>1</v>
      </c>
      <c r="O14" s="25">
        <f t="shared" ref="O14:O19" si="4">L14*N14</f>
        <v>500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  <c r="L15" s="26">
        <v>100</v>
      </c>
      <c r="M15" s="23" t="s">
        <v>20</v>
      </c>
      <c r="N15" s="24">
        <v>7</v>
      </c>
      <c r="O15" s="25">
        <f t="shared" si="4"/>
        <v>700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L16" s="26">
        <v>50</v>
      </c>
      <c r="M16" s="23" t="s">
        <v>20</v>
      </c>
      <c r="N16" s="24">
        <v>15</v>
      </c>
      <c r="O16" s="25">
        <f t="shared" si="4"/>
        <v>750</v>
      </c>
    </row>
    <row r="17" spans="1:15" ht="16.5">
      <c r="A17" s="26">
        <v>20</v>
      </c>
      <c r="B17" s="23" t="s">
        <v>20</v>
      </c>
      <c r="C17" s="24">
        <v>1</v>
      </c>
      <c r="D17" s="25">
        <f t="shared" si="3"/>
        <v>20</v>
      </c>
      <c r="L17" s="26">
        <v>20</v>
      </c>
      <c r="M17" s="23" t="s">
        <v>20</v>
      </c>
      <c r="N17" s="24">
        <v>1</v>
      </c>
      <c r="O17" s="25">
        <f t="shared" si="4"/>
        <v>20</v>
      </c>
    </row>
    <row r="18" spans="1:15" ht="16.5">
      <c r="A18" s="26">
        <v>10</v>
      </c>
      <c r="B18" s="23" t="s">
        <v>20</v>
      </c>
      <c r="C18" s="24">
        <v>9</v>
      </c>
      <c r="D18" s="25">
        <f t="shared" si="3"/>
        <v>90</v>
      </c>
      <c r="L18" s="26">
        <v>10</v>
      </c>
      <c r="M18" s="23" t="s">
        <v>20</v>
      </c>
      <c r="N18" s="24">
        <v>0</v>
      </c>
      <c r="O18" s="25">
        <f t="shared" si="4"/>
        <v>0</v>
      </c>
    </row>
    <row r="19" spans="1:15" ht="16.5">
      <c r="A19" s="26">
        <v>5</v>
      </c>
      <c r="B19" s="23" t="s">
        <v>20</v>
      </c>
      <c r="C19" s="24">
        <v>17</v>
      </c>
      <c r="D19" s="25">
        <f t="shared" si="3"/>
        <v>85</v>
      </c>
      <c r="L19" s="26">
        <v>5</v>
      </c>
      <c r="M19" s="23" t="s">
        <v>20</v>
      </c>
      <c r="N19" s="24">
        <v>6</v>
      </c>
      <c r="O19" s="25">
        <f t="shared" si="4"/>
        <v>30</v>
      </c>
    </row>
    <row r="20" spans="1:15" ht="16.5">
      <c r="A20" s="27" t="s">
        <v>21</v>
      </c>
      <c r="B20" s="23" t="s">
        <v>20</v>
      </c>
      <c r="C20" s="24">
        <v>5</v>
      </c>
      <c r="D20" s="25">
        <f>+C20*1</f>
        <v>5</v>
      </c>
      <c r="L20" s="27" t="s">
        <v>21</v>
      </c>
      <c r="M20" s="23" t="s">
        <v>20</v>
      </c>
      <c r="N20" s="24">
        <v>1</v>
      </c>
      <c r="O20" s="25">
        <f>+N20*1</f>
        <v>1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350</v>
      </c>
      <c r="L22" s="29" t="s">
        <v>22</v>
      </c>
      <c r="M22" s="30"/>
      <c r="N22" s="31"/>
      <c r="O22" s="32">
        <f>SUM(O14:O21)</f>
        <v>2001</v>
      </c>
    </row>
    <row r="24" spans="1:15">
      <c r="A24" t="s">
        <v>23</v>
      </c>
      <c r="D24" s="33">
        <f>100+74+462+474+541+350</f>
        <v>2001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781E-42E9-477D-B7B9-10D82EE70EBA}">
  <dimension ref="A1:O28"/>
  <sheetViews>
    <sheetView workbookViewId="0">
      <selection activeCell="G24" sqref="G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46001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10</v>
      </c>
      <c r="N4" s="40">
        <f t="shared" ref="N4:N10" si="0">IF(K4&gt;M4,K4-M4,0)</f>
        <v>0</v>
      </c>
      <c r="O4" s="40">
        <f t="shared" ref="O4:O10" si="1">IF(M4&gt;K4,M4-K4,0)</f>
        <v>10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27</v>
      </c>
      <c r="B6" s="17">
        <v>37</v>
      </c>
      <c r="C6" s="17">
        <f>24+116+20+24+20+35+48+224+65+42+172+64+99</f>
        <v>953</v>
      </c>
      <c r="D6" s="17">
        <v>232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1222</v>
      </c>
      <c r="L6" s="39"/>
      <c r="M6" s="17">
        <v>1222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24</v>
      </c>
      <c r="B7" s="17">
        <v>27</v>
      </c>
      <c r="C7" s="17">
        <f>10+64+24</f>
        <v>98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125</v>
      </c>
      <c r="L7" s="39"/>
      <c r="M7" s="17">
        <v>125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64</v>
      </c>
      <c r="C11" s="42">
        <f t="shared" si="2"/>
        <v>1051</v>
      </c>
      <c r="D11" s="42">
        <f t="shared" si="2"/>
        <v>232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1347</v>
      </c>
      <c r="L11" s="43"/>
      <c r="M11" s="42">
        <v>0</v>
      </c>
      <c r="N11" s="42">
        <f>SUM(N4:N10)</f>
        <v>0</v>
      </c>
      <c r="O11" s="42">
        <f>SUM(O4:O10)</f>
        <v>10</v>
      </c>
    </row>
    <row r="12" spans="1:15" ht="15.75" thickBot="1"/>
    <row r="13" spans="1:15" ht="17.25" thickBot="1">
      <c r="A13" s="49">
        <v>46001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6</v>
      </c>
      <c r="D19" s="25">
        <f t="shared" si="3"/>
        <v>30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64</v>
      </c>
    </row>
    <row r="24" spans="1:7">
      <c r="A24" t="s">
        <v>23</v>
      </c>
      <c r="D24" s="33">
        <v>64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8C09-5C8E-4487-9A9D-C2E261F72453}">
  <dimension ref="A1:O28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111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84</v>
      </c>
      <c r="B6" s="17">
        <v>0</v>
      </c>
      <c r="C6" s="17">
        <v>32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32</v>
      </c>
      <c r="L6" s="39"/>
      <c r="M6" s="17">
        <v>32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26</v>
      </c>
      <c r="B7" s="17">
        <v>0</v>
      </c>
      <c r="C7" s="17">
        <f>50+29+27+7+20</f>
        <v>133</v>
      </c>
      <c r="D7" s="17">
        <v>0</v>
      </c>
      <c r="E7" s="17">
        <v>0</v>
      </c>
      <c r="F7" s="17">
        <v>14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147</v>
      </c>
      <c r="L7" s="39"/>
      <c r="M7" s="17">
        <v>147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25</v>
      </c>
      <c r="B10" s="17">
        <v>0</v>
      </c>
      <c r="C10" s="17">
        <f>20+25</f>
        <v>45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45</v>
      </c>
      <c r="L10" s="39"/>
      <c r="M10" s="17">
        <v>45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210</v>
      </c>
      <c r="D11" s="42">
        <f t="shared" si="2"/>
        <v>0</v>
      </c>
      <c r="E11" s="42">
        <f t="shared" si="2"/>
        <v>0</v>
      </c>
      <c r="F11" s="42">
        <f t="shared" si="2"/>
        <v>14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224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111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1F26-E816-43BB-B4D7-AE616AE8FC5D}">
  <dimension ref="A1:O28"/>
  <sheetViews>
    <sheetView workbookViewId="0">
      <selection activeCell="G2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112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0</v>
      </c>
      <c r="C6" s="17">
        <v>133</v>
      </c>
      <c r="D6" s="17">
        <v>84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217</v>
      </c>
      <c r="L6" s="39"/>
      <c r="M6" s="17">
        <v>217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113</v>
      </c>
      <c r="B7" s="17">
        <v>188</v>
      </c>
      <c r="C7" s="17">
        <f>45+48+59+20+7+25</f>
        <v>204</v>
      </c>
      <c r="D7" s="17">
        <v>192</v>
      </c>
      <c r="E7" s="17">
        <v>0</v>
      </c>
      <c r="F7" s="17">
        <v>0</v>
      </c>
      <c r="G7" s="17">
        <v>0</v>
      </c>
      <c r="H7" s="17">
        <v>0</v>
      </c>
      <c r="I7" s="17">
        <v>26</v>
      </c>
      <c r="J7" s="17">
        <v>0</v>
      </c>
      <c r="K7" s="38">
        <f>SUM(B7:J7)</f>
        <v>610</v>
      </c>
      <c r="L7" s="39"/>
      <c r="M7" s="17">
        <v>610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188</v>
      </c>
      <c r="C11" s="42">
        <f t="shared" si="2"/>
        <v>337</v>
      </c>
      <c r="D11" s="42">
        <f t="shared" si="2"/>
        <v>276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26</v>
      </c>
      <c r="J11" s="42">
        <f t="shared" si="2"/>
        <v>0</v>
      </c>
      <c r="K11" s="42">
        <f t="shared" si="2"/>
        <v>827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112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188</v>
      </c>
    </row>
    <row r="24" spans="1:7">
      <c r="A24" t="s">
        <v>23</v>
      </c>
      <c r="D24" s="33">
        <f>64+188</f>
        <v>252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3709-8C80-4373-B75B-85332756E9C8}">
  <dimension ref="A1:O28"/>
  <sheetViews>
    <sheetView workbookViewId="0">
      <selection activeCell="K22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114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69</v>
      </c>
      <c r="C6" s="17">
        <f>47+20+70+34</f>
        <v>171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240</v>
      </c>
      <c r="L6" s="39"/>
      <c r="M6" s="17">
        <v>240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0</v>
      </c>
      <c r="C7" s="17">
        <f>60+10+40+26+12+96+66</f>
        <v>310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24</v>
      </c>
      <c r="J7" s="17">
        <v>0</v>
      </c>
      <c r="K7" s="38">
        <f>SUM(B7:J7)</f>
        <v>334</v>
      </c>
      <c r="L7" s="39"/>
      <c r="M7" s="17">
        <v>334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69</v>
      </c>
      <c r="C11" s="42">
        <f t="shared" si="2"/>
        <v>481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24</v>
      </c>
      <c r="J11" s="42">
        <f t="shared" si="2"/>
        <v>0</v>
      </c>
      <c r="K11" s="42">
        <f t="shared" si="2"/>
        <v>574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114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12</v>
      </c>
      <c r="D19" s="25">
        <f t="shared" si="3"/>
        <v>60</v>
      </c>
    </row>
    <row r="20" spans="1:7" ht="16.5">
      <c r="A20" s="27" t="s">
        <v>21</v>
      </c>
      <c r="B20" s="23" t="s">
        <v>20</v>
      </c>
      <c r="C20" s="24">
        <v>9</v>
      </c>
      <c r="D20" s="25">
        <f>+C20*1</f>
        <v>9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69</v>
      </c>
    </row>
    <row r="24" spans="1:7">
      <c r="A24" t="s">
        <v>23</v>
      </c>
      <c r="D24" s="33">
        <f>64+188+69</f>
        <v>321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6C1B-658F-4B27-B8DC-F611BE2D70E7}">
  <dimension ref="A1:O28"/>
  <sheetViews>
    <sheetView workbookViewId="0">
      <selection activeCell="H17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115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71</v>
      </c>
      <c r="C6" s="17">
        <f>60+121+24+30+64+32</f>
        <v>331</v>
      </c>
      <c r="D6" s="17">
        <v>0</v>
      </c>
      <c r="E6" s="17">
        <v>0</v>
      </c>
      <c r="F6" s="17">
        <v>6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408</v>
      </c>
      <c r="L6" s="39"/>
      <c r="M6" s="17">
        <v>408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25</v>
      </c>
      <c r="B7" s="17">
        <v>42</v>
      </c>
      <c r="C7" s="17">
        <f>32+27</f>
        <v>59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101</v>
      </c>
      <c r="L7" s="39"/>
      <c r="M7" s="17">
        <v>101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26</v>
      </c>
      <c r="B10" s="17">
        <v>26</v>
      </c>
      <c r="C10" s="17">
        <f>44+22+20+274</f>
        <v>360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386</v>
      </c>
      <c r="L10" s="39"/>
      <c r="M10" s="17">
        <v>386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139</v>
      </c>
      <c r="C11" s="42">
        <f t="shared" si="2"/>
        <v>750</v>
      </c>
      <c r="D11" s="42">
        <f t="shared" si="2"/>
        <v>0</v>
      </c>
      <c r="E11" s="42">
        <f t="shared" si="2"/>
        <v>0</v>
      </c>
      <c r="F11" s="42">
        <f t="shared" si="2"/>
        <v>6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895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115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7</v>
      </c>
      <c r="D19" s="25">
        <f t="shared" si="3"/>
        <v>35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139</v>
      </c>
    </row>
    <row r="24" spans="1:7">
      <c r="A24" t="s">
        <v>23</v>
      </c>
      <c r="D24" s="33">
        <f>64+188+69+139</f>
        <v>460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F90E-2DEA-4E8E-8A18-BCBB7225D36D}">
  <dimension ref="A1:O28"/>
  <sheetViews>
    <sheetView workbookViewId="0">
      <selection activeCell="A13" sqref="A13:D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116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27</v>
      </c>
      <c r="B6" s="17">
        <v>25</v>
      </c>
      <c r="C6" s="17">
        <f>64+96+47+57+26+7+20+60+24+48+64+32+68</f>
        <v>613</v>
      </c>
      <c r="D6" s="17">
        <v>126</v>
      </c>
      <c r="E6" s="17">
        <v>0</v>
      </c>
      <c r="F6" s="17">
        <v>0</v>
      </c>
      <c r="G6" s="17">
        <v>0</v>
      </c>
      <c r="H6" s="17">
        <v>0</v>
      </c>
      <c r="I6" s="17">
        <v>26</v>
      </c>
      <c r="J6" s="17">
        <v>0</v>
      </c>
      <c r="K6" s="38">
        <f>SUM(B6:J6)</f>
        <v>790</v>
      </c>
      <c r="L6" s="39"/>
      <c r="M6" s="17">
        <v>790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25</v>
      </c>
      <c r="B7" s="17">
        <v>199</v>
      </c>
      <c r="C7" s="17">
        <f>10+26+25+32+32+27+25+1+256+42+24</f>
        <v>500</v>
      </c>
      <c r="D7" s="17">
        <v>256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955</v>
      </c>
      <c r="L7" s="39"/>
      <c r="M7" s="17">
        <v>955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24</v>
      </c>
      <c r="B10" s="17">
        <v>392</v>
      </c>
      <c r="C10" s="17">
        <f>84+26+51+108+264+24+20+26+59+25+32+32+4+35+26+1+1</f>
        <v>818</v>
      </c>
      <c r="D10" s="17">
        <v>192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1402</v>
      </c>
      <c r="L10" s="39"/>
      <c r="M10" s="17">
        <v>1402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616</v>
      </c>
      <c r="C11" s="42">
        <f t="shared" si="2"/>
        <v>1931</v>
      </c>
      <c r="D11" s="42">
        <f t="shared" si="2"/>
        <v>574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26</v>
      </c>
      <c r="J11" s="42">
        <f t="shared" si="2"/>
        <v>0</v>
      </c>
      <c r="K11" s="42">
        <f t="shared" si="2"/>
        <v>3147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116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8</v>
      </c>
      <c r="D18" s="25">
        <f t="shared" si="3"/>
        <v>80</v>
      </c>
    </row>
    <row r="19" spans="1:7" ht="16.5">
      <c r="A19" s="26">
        <v>5</v>
      </c>
      <c r="B19" s="23" t="s">
        <v>20</v>
      </c>
      <c r="C19" s="24">
        <v>12</v>
      </c>
      <c r="D19" s="25">
        <f t="shared" si="3"/>
        <v>60</v>
      </c>
    </row>
    <row r="20" spans="1:7" ht="16.5">
      <c r="A20" s="27" t="s">
        <v>21</v>
      </c>
      <c r="B20" s="23" t="s">
        <v>20</v>
      </c>
      <c r="C20" s="24">
        <v>6</v>
      </c>
      <c r="D20" s="25">
        <f>+C20*1</f>
        <v>6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616</v>
      </c>
    </row>
    <row r="24" spans="1:7">
      <c r="A24" t="s">
        <v>23</v>
      </c>
      <c r="D24" s="33">
        <f>64+188+69+139+616</f>
        <v>1076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6C85-1ADE-4D94-98C2-3785C9BA85AC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117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192</v>
      </c>
      <c r="C6" s="17">
        <f>25+68+64+64</f>
        <v>221</v>
      </c>
      <c r="D6" s="17">
        <v>128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541</v>
      </c>
      <c r="L6" s="39"/>
      <c r="M6" s="17">
        <v>541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118</v>
      </c>
      <c r="B7" s="17">
        <v>325</v>
      </c>
      <c r="C7" s="17">
        <f>96+25+24+26+24+20+25+32+32</f>
        <v>304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629</v>
      </c>
      <c r="L7" s="39"/>
      <c r="M7" s="17">
        <v>629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517</v>
      </c>
      <c r="C11" s="42">
        <f t="shared" si="2"/>
        <v>525</v>
      </c>
      <c r="D11" s="42">
        <f t="shared" si="2"/>
        <v>128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1170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117</v>
      </c>
      <c r="B13" s="50"/>
      <c r="C13" s="50"/>
      <c r="D13" s="51"/>
      <c r="H13" t="s">
        <v>58</v>
      </c>
      <c r="K13" s="49" t="s">
        <v>119</v>
      </c>
      <c r="L13" s="50"/>
      <c r="M13" s="50"/>
      <c r="N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/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  <c r="K15" s="26">
        <v>100</v>
      </c>
      <c r="L15" s="23" t="s">
        <v>20</v>
      </c>
      <c r="M15" s="24">
        <v>12</v>
      </c>
      <c r="N15" s="25">
        <f t="shared" si="4"/>
        <v>1200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K16" s="26">
        <v>50</v>
      </c>
      <c r="L16" s="23" t="s">
        <v>20</v>
      </c>
      <c r="M16" s="24">
        <v>6</v>
      </c>
      <c r="N16" s="25">
        <f t="shared" si="4"/>
        <v>300</v>
      </c>
    </row>
    <row r="17" spans="1:14" ht="16.5">
      <c r="A17" s="26">
        <v>20</v>
      </c>
      <c r="B17" s="23" t="s">
        <v>20</v>
      </c>
      <c r="C17" s="24">
        <v>2</v>
      </c>
      <c r="D17" s="25">
        <f t="shared" si="3"/>
        <v>40</v>
      </c>
      <c r="K17" s="26">
        <v>20</v>
      </c>
      <c r="L17" s="23" t="s">
        <v>20</v>
      </c>
      <c r="M17" s="24">
        <v>4</v>
      </c>
      <c r="N17" s="25">
        <f t="shared" si="4"/>
        <v>80</v>
      </c>
    </row>
    <row r="18" spans="1:14" ht="16.5">
      <c r="A18" s="26">
        <v>10</v>
      </c>
      <c r="B18" s="23" t="s">
        <v>20</v>
      </c>
      <c r="C18" s="24">
        <v>9</v>
      </c>
      <c r="D18" s="25">
        <f t="shared" si="3"/>
        <v>90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6</v>
      </c>
      <c r="D19" s="25">
        <f t="shared" si="3"/>
        <v>30</v>
      </c>
      <c r="K19" s="26">
        <v>5</v>
      </c>
      <c r="L19" s="23" t="s">
        <v>20</v>
      </c>
      <c r="M19" s="24">
        <v>2</v>
      </c>
      <c r="N19" s="25">
        <f t="shared" si="4"/>
        <v>10</v>
      </c>
    </row>
    <row r="20" spans="1:14" ht="16.5">
      <c r="A20" s="27" t="s">
        <v>21</v>
      </c>
      <c r="B20" s="23" t="s">
        <v>20</v>
      </c>
      <c r="C20" s="24">
        <v>7</v>
      </c>
      <c r="D20" s="25">
        <f>+C20*1</f>
        <v>7</v>
      </c>
      <c r="K20" s="27" t="s">
        <v>21</v>
      </c>
      <c r="L20" s="23" t="s">
        <v>20</v>
      </c>
      <c r="M20" s="24">
        <v>3</v>
      </c>
      <c r="N20" s="25">
        <f>+M20*1</f>
        <v>3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>
        <v>0</v>
      </c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517</v>
      </c>
      <c r="K22" s="29" t="s">
        <v>22</v>
      </c>
      <c r="L22" s="30"/>
      <c r="M22" s="31"/>
      <c r="N22" s="32">
        <f>SUM(N14:N21)</f>
        <v>1593</v>
      </c>
    </row>
    <row r="24" spans="1:14">
      <c r="A24" t="s">
        <v>23</v>
      </c>
      <c r="D24" s="33">
        <f>64+188+69+139+616+517</f>
        <v>1593</v>
      </c>
      <c r="E24" t="s">
        <v>58</v>
      </c>
    </row>
    <row r="28" spans="1:14">
      <c r="G28" t="s">
        <v>71</v>
      </c>
    </row>
  </sheetData>
  <mergeCells count="2"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F8E9-85A2-4975-AF00-574EF47EA8F4}">
  <dimension ref="A1:O28"/>
  <sheetViews>
    <sheetView workbookViewId="0">
      <selection activeCell="G16" sqref="G1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120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25</v>
      </c>
      <c r="B6" s="17">
        <v>210</v>
      </c>
      <c r="C6" s="17">
        <f>62+96+7+48+7</f>
        <v>220</v>
      </c>
      <c r="D6" s="17">
        <v>42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472</v>
      </c>
      <c r="L6" s="39"/>
      <c r="M6" s="17">
        <v>472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27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27</v>
      </c>
      <c r="B10" s="17">
        <v>0</v>
      </c>
      <c r="C10" s="17">
        <f>52+51+26+25+26</f>
        <v>180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180</v>
      </c>
      <c r="L10" s="39"/>
      <c r="M10" s="17">
        <v>177</v>
      </c>
      <c r="N10" s="40">
        <f t="shared" si="0"/>
        <v>3</v>
      </c>
      <c r="O10" s="40">
        <f t="shared" si="1"/>
        <v>0</v>
      </c>
    </row>
    <row r="11" spans="1:15" ht="16.5">
      <c r="A11" s="41"/>
      <c r="B11" s="42">
        <f t="shared" ref="B11:K11" si="2">SUM(B4:B10)</f>
        <v>210</v>
      </c>
      <c r="C11" s="42">
        <f t="shared" si="2"/>
        <v>400</v>
      </c>
      <c r="D11" s="42">
        <f t="shared" si="2"/>
        <v>42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652</v>
      </c>
      <c r="L11" s="43"/>
      <c r="M11" s="42">
        <v>0</v>
      </c>
      <c r="N11" s="42">
        <f>SUM(N4:N10)</f>
        <v>3</v>
      </c>
      <c r="O11" s="42">
        <f>SUM(O4:O10)</f>
        <v>0</v>
      </c>
    </row>
    <row r="12" spans="1:15" ht="15.75" thickBot="1"/>
    <row r="13" spans="1:15" ht="17.25" thickBot="1">
      <c r="A13" s="49" t="s">
        <v>120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5</v>
      </c>
      <c r="D18" s="25">
        <f t="shared" si="3"/>
        <v>50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210</v>
      </c>
    </row>
    <row r="24" spans="1:7">
      <c r="A24" t="s">
        <v>23</v>
      </c>
      <c r="D24" s="33">
        <v>210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C3E2-AC27-42EB-9C20-D45AAFCECFFE}">
  <dimension ref="A1:O28"/>
  <sheetViews>
    <sheetView workbookViewId="0">
      <selection activeCell="D25" sqref="D25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0</v>
      </c>
      <c r="C6" s="17">
        <f>64+32</f>
        <v>96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96</v>
      </c>
      <c r="L6" s="39"/>
      <c r="M6" s="17">
        <v>96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26</v>
      </c>
      <c r="B7" s="17">
        <v>0</v>
      </c>
      <c r="C7" s="17">
        <f>2+57+32+7+24+40+20+24+128</f>
        <v>334</v>
      </c>
      <c r="D7" s="17">
        <v>84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418</v>
      </c>
      <c r="L7" s="39"/>
      <c r="M7" s="17">
        <v>418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430</v>
      </c>
      <c r="D11" s="42">
        <f t="shared" si="2"/>
        <v>84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514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121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f>170</f>
        <v>170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037D-395B-4BC9-BA3A-71693DFB3D47}">
  <dimension ref="A1:O28"/>
  <sheetViews>
    <sheetView workbookViewId="0">
      <selection activeCell="F32" sqref="F3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122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19</v>
      </c>
      <c r="B6" s="17">
        <v>26</v>
      </c>
      <c r="C6" s="17">
        <f>25+70+64+24+7+26</f>
        <v>216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242</v>
      </c>
      <c r="L6" s="39"/>
      <c r="M6" s="17">
        <v>242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</v>
      </c>
      <c r="C11" s="42">
        <f t="shared" si="2"/>
        <v>216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242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122</v>
      </c>
      <c r="B13" s="50"/>
      <c r="C13" s="50"/>
      <c r="D13" s="51"/>
      <c r="H13" t="s">
        <v>58</v>
      </c>
      <c r="K13" s="49" t="s">
        <v>123</v>
      </c>
      <c r="L13" s="50"/>
      <c r="M13" s="50"/>
      <c r="N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/>
      <c r="N14" s="25">
        <f>K14*M14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K15" s="26">
        <v>100</v>
      </c>
      <c r="L15" s="23" t="s">
        <v>20</v>
      </c>
      <c r="M15" s="24">
        <v>1</v>
      </c>
      <c r="N15" s="25">
        <f t="shared" ref="N15:N19" si="4">K15*M15</f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K16" s="26">
        <v>50</v>
      </c>
      <c r="L16" s="23" t="s">
        <v>20</v>
      </c>
      <c r="M16" s="24">
        <v>1</v>
      </c>
      <c r="N16" s="25">
        <f t="shared" si="4"/>
        <v>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2</v>
      </c>
      <c r="D18" s="25">
        <f t="shared" si="3"/>
        <v>20</v>
      </c>
      <c r="K18" s="26">
        <v>10</v>
      </c>
      <c r="L18" s="23" t="s">
        <v>20</v>
      </c>
      <c r="M18" s="24">
        <v>7</v>
      </c>
      <c r="N18" s="25">
        <f t="shared" si="4"/>
        <v>70</v>
      </c>
    </row>
    <row r="19" spans="1:14" ht="16.5">
      <c r="A19" s="26">
        <v>5</v>
      </c>
      <c r="B19" s="23" t="s">
        <v>20</v>
      </c>
      <c r="C19" s="24">
        <v>1</v>
      </c>
      <c r="D19" s="25">
        <f t="shared" si="3"/>
        <v>5</v>
      </c>
      <c r="K19" s="26">
        <v>5</v>
      </c>
      <c r="L19" s="23" t="s">
        <v>20</v>
      </c>
      <c r="M19" s="24">
        <v>3</v>
      </c>
      <c r="N19" s="25">
        <f t="shared" si="4"/>
        <v>15</v>
      </c>
    </row>
    <row r="20" spans="1:14" ht="16.5">
      <c r="A20" s="27" t="s">
        <v>21</v>
      </c>
      <c r="B20" s="23" t="s">
        <v>20</v>
      </c>
      <c r="C20" s="24">
        <v>1</v>
      </c>
      <c r="D20" s="25">
        <f>+C20*1</f>
        <v>1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26</v>
      </c>
      <c r="K22" s="29" t="s">
        <v>22</v>
      </c>
      <c r="L22" s="30"/>
      <c r="M22" s="31"/>
      <c r="N22" s="32">
        <f>SUM(N14:N21)</f>
        <v>236</v>
      </c>
    </row>
    <row r="24" spans="1:14">
      <c r="A24" t="s">
        <v>23</v>
      </c>
      <c r="D24" s="33">
        <f>210+26</f>
        <v>236</v>
      </c>
      <c r="E24" t="s">
        <v>58</v>
      </c>
    </row>
    <row r="28" spans="1:14">
      <c r="G28" t="s">
        <v>71</v>
      </c>
    </row>
  </sheetData>
  <mergeCells count="2"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14AD-5490-4176-8859-B873CCE777D4}">
  <dimension ref="A1:O28"/>
  <sheetViews>
    <sheetView workbookViewId="0">
      <selection activeCell="G24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124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25</v>
      </c>
      <c r="B6" s="17">
        <v>0</v>
      </c>
      <c r="C6" s="17">
        <v>89</v>
      </c>
      <c r="D6" s="17">
        <v>168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257</v>
      </c>
      <c r="L6" s="39"/>
      <c r="M6" s="17">
        <v>257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27</v>
      </c>
      <c r="B10" s="17">
        <v>0</v>
      </c>
      <c r="C10" s="17">
        <f>61+64+42+7+26</f>
        <v>200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200</v>
      </c>
      <c r="L10" s="39"/>
      <c r="M10" s="17">
        <v>200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289</v>
      </c>
      <c r="D11" s="42">
        <f t="shared" si="2"/>
        <v>168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457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124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f>210+26</f>
        <v>236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EC32-30A0-460D-8725-4B28B258FF52}">
  <dimension ref="A1:O28"/>
  <sheetViews>
    <sheetView workbookViewId="0">
      <selection activeCell="G20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125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-12</v>
      </c>
      <c r="N4" s="40">
        <f t="shared" ref="N4:N10" si="0">IF(K4&gt;M4,K4-M4,0)</f>
        <v>12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19</v>
      </c>
      <c r="B6" s="17">
        <v>0</v>
      </c>
      <c r="C6" s="17">
        <f>992+403+24+401</f>
        <v>1820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1820</v>
      </c>
      <c r="L6" s="39"/>
      <c r="M6" s="17">
        <v>1820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33</v>
      </c>
      <c r="C9" s="17">
        <f>4+24+10+100+5+177+7+104+200+96+40+16</f>
        <v>783</v>
      </c>
      <c r="D9" s="17">
        <v>64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880</v>
      </c>
      <c r="L9" s="39"/>
      <c r="M9" s="17">
        <v>880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26</v>
      </c>
      <c r="B10" s="17">
        <v>107</v>
      </c>
      <c r="C10" s="17">
        <f>212+25+25+40+25+26+42+64</f>
        <v>459</v>
      </c>
      <c r="D10" s="17">
        <v>168</v>
      </c>
      <c r="E10" s="17">
        <v>0</v>
      </c>
      <c r="F10" s="17">
        <v>0</v>
      </c>
      <c r="G10" s="17">
        <v>0</v>
      </c>
      <c r="H10" s="17">
        <v>0</v>
      </c>
      <c r="I10" s="17">
        <v>84</v>
      </c>
      <c r="J10" s="17">
        <v>0</v>
      </c>
      <c r="K10" s="38">
        <f>SUM(B10:J10)</f>
        <v>818</v>
      </c>
      <c r="L10" s="39"/>
      <c r="M10" s="17">
        <v>818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140</v>
      </c>
      <c r="C11" s="42">
        <f t="shared" si="2"/>
        <v>3062</v>
      </c>
      <c r="D11" s="42">
        <f t="shared" si="2"/>
        <v>232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84</v>
      </c>
      <c r="J11" s="42">
        <f t="shared" si="2"/>
        <v>0</v>
      </c>
      <c r="K11" s="42">
        <f t="shared" si="2"/>
        <v>3518</v>
      </c>
      <c r="L11" s="43"/>
      <c r="M11" s="42">
        <v>0</v>
      </c>
      <c r="N11" s="42">
        <f>SUM(N4:N10)</f>
        <v>12</v>
      </c>
      <c r="O11" s="42">
        <f>SUM(O4:O10)</f>
        <v>0</v>
      </c>
    </row>
    <row r="12" spans="1:15" ht="15.75" thickBot="1"/>
    <row r="13" spans="1:15" ht="17.25" thickBot="1">
      <c r="A13" s="49" t="s">
        <v>125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5</v>
      </c>
      <c r="D20" s="25">
        <f>+C20*1</f>
        <v>5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140</v>
      </c>
    </row>
    <row r="24" spans="1:7">
      <c r="A24" t="s">
        <v>23</v>
      </c>
      <c r="D24" s="33">
        <f>210+26+140</f>
        <v>376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D748-6EDE-4FC8-B7C4-61D89D50C26A}">
  <dimension ref="A1:O28"/>
  <sheetViews>
    <sheetView workbookViewId="0">
      <selection activeCell="H2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84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84</v>
      </c>
      <c r="L5" s="39"/>
      <c r="M5" s="17">
        <v>84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157</v>
      </c>
      <c r="C6" s="17">
        <f>20+72+32+63+43+24+26+42+2+26+26+82</f>
        <v>458</v>
      </c>
      <c r="D6" s="17">
        <v>148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763</v>
      </c>
      <c r="L6" s="39"/>
      <c r="M6" s="17">
        <v>763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19</v>
      </c>
      <c r="B9" s="17">
        <v>106</v>
      </c>
      <c r="C9" s="17">
        <f>20+42+20+13+147+20+96+25+25+53+84+50+50+52+89+24+25+54+26+24+32+6+42+70+10+44+20+7</f>
        <v>1170</v>
      </c>
      <c r="D9" s="17">
        <v>138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1414</v>
      </c>
      <c r="L9" s="39"/>
      <c r="M9" s="17">
        <v>1418</v>
      </c>
      <c r="N9" s="40">
        <f t="shared" si="0"/>
        <v>0</v>
      </c>
      <c r="O9" s="40">
        <f t="shared" si="1"/>
        <v>4</v>
      </c>
    </row>
    <row r="10" spans="1:15" ht="17.25" hidden="1" customHeight="1">
      <c r="A10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263</v>
      </c>
      <c r="C11" s="42">
        <f t="shared" si="2"/>
        <v>1628</v>
      </c>
      <c r="D11" s="42">
        <f t="shared" si="2"/>
        <v>370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2261</v>
      </c>
      <c r="L11" s="43"/>
      <c r="M11" s="42">
        <v>0</v>
      </c>
      <c r="N11" s="42">
        <f>SUM(N4:N10)</f>
        <v>0</v>
      </c>
      <c r="O11" s="42">
        <f>SUM(O4:O10)</f>
        <v>4</v>
      </c>
    </row>
    <row r="12" spans="1:15" ht="15.75" thickBot="1"/>
    <row r="13" spans="1:15" ht="17.25" thickBot="1">
      <c r="A13" s="49" t="s">
        <v>126</v>
      </c>
      <c r="B13" s="50"/>
      <c r="C13" s="50"/>
      <c r="D13" s="51"/>
      <c r="H13" t="s">
        <v>58</v>
      </c>
      <c r="L13" s="49" t="s">
        <v>127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L14" s="22">
        <v>500</v>
      </c>
      <c r="M14" s="23" t="s">
        <v>20</v>
      </c>
      <c r="N14" s="24"/>
      <c r="O14" s="25">
        <f t="shared" ref="O14:O19" si="4">L14*N14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  <c r="L15" s="26">
        <v>100</v>
      </c>
      <c r="M15" s="23" t="s">
        <v>20</v>
      </c>
      <c r="N15" s="24">
        <v>3</v>
      </c>
      <c r="O15" s="25">
        <f t="shared" si="4"/>
        <v>300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L16" s="26">
        <v>50</v>
      </c>
      <c r="M16" s="23" t="s">
        <v>20</v>
      </c>
      <c r="N16" s="24">
        <v>3</v>
      </c>
      <c r="O16" s="25">
        <f t="shared" si="4"/>
        <v>150</v>
      </c>
    </row>
    <row r="17" spans="1:15" ht="16.5">
      <c r="A17" s="26">
        <v>20</v>
      </c>
      <c r="B17" s="23" t="s">
        <v>20</v>
      </c>
      <c r="C17" s="24">
        <v>2</v>
      </c>
      <c r="D17" s="25">
        <f t="shared" si="3"/>
        <v>40</v>
      </c>
      <c r="L17" s="26">
        <v>20</v>
      </c>
      <c r="M17" s="23" t="s">
        <v>20</v>
      </c>
      <c r="N17" s="24">
        <v>2</v>
      </c>
      <c r="O17" s="25">
        <f t="shared" si="4"/>
        <v>40</v>
      </c>
    </row>
    <row r="18" spans="1:15" ht="16.5">
      <c r="A18" s="26">
        <v>10</v>
      </c>
      <c r="B18" s="23" t="s">
        <v>20</v>
      </c>
      <c r="C18" s="24">
        <v>4</v>
      </c>
      <c r="D18" s="25">
        <f t="shared" si="3"/>
        <v>40</v>
      </c>
      <c r="L18" s="26">
        <v>10</v>
      </c>
      <c r="M18" s="23" t="s">
        <v>20</v>
      </c>
      <c r="N18" s="24">
        <v>9</v>
      </c>
      <c r="O18" s="25">
        <f t="shared" si="4"/>
        <v>90</v>
      </c>
    </row>
    <row r="19" spans="1:15" ht="16.5">
      <c r="A19" s="26">
        <v>5</v>
      </c>
      <c r="B19" s="23" t="s">
        <v>20</v>
      </c>
      <c r="C19" s="24">
        <v>6</v>
      </c>
      <c r="D19" s="25">
        <f t="shared" si="3"/>
        <v>30</v>
      </c>
      <c r="L19" s="26">
        <v>5</v>
      </c>
      <c r="M19" s="23" t="s">
        <v>20</v>
      </c>
      <c r="N19" s="24">
        <v>10</v>
      </c>
      <c r="O19" s="25">
        <f t="shared" si="4"/>
        <v>50</v>
      </c>
    </row>
    <row r="20" spans="1:15" ht="16.5">
      <c r="A20" s="27" t="s">
        <v>21</v>
      </c>
      <c r="B20" s="23" t="s">
        <v>20</v>
      </c>
      <c r="C20" s="24">
        <v>3</v>
      </c>
      <c r="D20" s="25">
        <f>+C20*1</f>
        <v>3</v>
      </c>
      <c r="L20" s="27" t="s">
        <v>21</v>
      </c>
      <c r="M20" s="23" t="s">
        <v>20</v>
      </c>
      <c r="N20" s="24">
        <v>9</v>
      </c>
      <c r="O20" s="25">
        <f>+N20*1</f>
        <v>9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263</v>
      </c>
      <c r="L22" s="29" t="s">
        <v>22</v>
      </c>
      <c r="M22" s="30"/>
      <c r="N22" s="31"/>
      <c r="O22" s="32">
        <f>SUM(O14:O21)</f>
        <v>639</v>
      </c>
    </row>
    <row r="24" spans="1:15">
      <c r="A24" t="s">
        <v>23</v>
      </c>
      <c r="D24" s="33">
        <f>210+26+140+263</f>
        <v>639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1FE3-DE7D-4010-B878-33654F680B10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128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24</v>
      </c>
      <c r="B6" s="17">
        <v>0</v>
      </c>
      <c r="C6" s="17">
        <f>126+24+24+24</f>
        <v>198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198</v>
      </c>
      <c r="L6" s="39"/>
      <c r="M6" s="17">
        <v>198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17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26</v>
      </c>
      <c r="C9" s="17">
        <f>25+24+25+77+26+7</f>
        <v>184</v>
      </c>
      <c r="D9" s="17">
        <v>96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306</v>
      </c>
      <c r="L9" s="39"/>
      <c r="M9" s="17">
        <v>306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</v>
      </c>
      <c r="C11" s="42">
        <f t="shared" si="2"/>
        <v>382</v>
      </c>
      <c r="D11" s="42">
        <f t="shared" si="2"/>
        <v>96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504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128</v>
      </c>
      <c r="B13" s="50"/>
      <c r="C13" s="50"/>
      <c r="D13" s="51"/>
      <c r="H13" t="s">
        <v>58</v>
      </c>
      <c r="L13" s="49" t="s">
        <v>129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L14" s="22">
        <v>500</v>
      </c>
      <c r="M14" s="23" t="s">
        <v>20</v>
      </c>
      <c r="N14" s="24"/>
      <c r="O14" s="25">
        <f t="shared" ref="O14:O19" si="4">L14*N14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  <c r="L15" s="26">
        <v>100</v>
      </c>
      <c r="M15" s="23" t="s">
        <v>20</v>
      </c>
      <c r="N15" s="24">
        <v>5</v>
      </c>
      <c r="O15" s="25">
        <f t="shared" si="4"/>
        <v>500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L16" s="26">
        <v>50</v>
      </c>
      <c r="M16" s="23" t="s">
        <v>20</v>
      </c>
      <c r="N16" s="24">
        <v>3</v>
      </c>
      <c r="O16" s="25">
        <f t="shared" si="4"/>
        <v>150</v>
      </c>
    </row>
    <row r="17" spans="1:15" ht="16.5">
      <c r="A17" s="26">
        <v>20</v>
      </c>
      <c r="B17" s="23" t="s">
        <v>20</v>
      </c>
      <c r="C17" s="24">
        <v>0</v>
      </c>
      <c r="D17" s="25">
        <f t="shared" si="3"/>
        <v>0</v>
      </c>
      <c r="L17" s="26">
        <v>20</v>
      </c>
      <c r="M17" s="23" t="s">
        <v>20</v>
      </c>
      <c r="N17" s="24">
        <v>0</v>
      </c>
      <c r="O17" s="25">
        <f t="shared" si="4"/>
        <v>0</v>
      </c>
    </row>
    <row r="18" spans="1:15" ht="16.5">
      <c r="A18" s="26">
        <v>10</v>
      </c>
      <c r="B18" s="23" t="s">
        <v>20</v>
      </c>
      <c r="C18" s="24">
        <v>0</v>
      </c>
      <c r="D18" s="25">
        <f t="shared" si="3"/>
        <v>0</v>
      </c>
      <c r="L18" s="26">
        <v>10</v>
      </c>
      <c r="M18" s="23" t="s">
        <v>20</v>
      </c>
      <c r="N18" s="24">
        <v>1</v>
      </c>
      <c r="O18" s="25">
        <f t="shared" si="4"/>
        <v>10</v>
      </c>
    </row>
    <row r="19" spans="1:15" ht="16.5">
      <c r="A19" s="26">
        <v>5</v>
      </c>
      <c r="B19" s="23" t="s">
        <v>20</v>
      </c>
      <c r="C19" s="24">
        <v>5</v>
      </c>
      <c r="D19" s="25">
        <f t="shared" si="3"/>
        <v>25</v>
      </c>
      <c r="L19" s="26">
        <v>5</v>
      </c>
      <c r="M19" s="23" t="s">
        <v>20</v>
      </c>
      <c r="N19" s="24">
        <v>1</v>
      </c>
      <c r="O19" s="25">
        <f t="shared" si="4"/>
        <v>5</v>
      </c>
    </row>
    <row r="20" spans="1:15" ht="16.5">
      <c r="A20" s="27" t="s">
        <v>21</v>
      </c>
      <c r="B20" s="23" t="s">
        <v>20</v>
      </c>
      <c r="C20" s="24">
        <v>1</v>
      </c>
      <c r="D20" s="25">
        <f>+C20*1</f>
        <v>1</v>
      </c>
      <c r="L20" s="27" t="s">
        <v>21</v>
      </c>
      <c r="M20" s="23" t="s">
        <v>20</v>
      </c>
      <c r="N20" s="24">
        <v>0</v>
      </c>
      <c r="O20" s="25">
        <f>+N20*1</f>
        <v>0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26</v>
      </c>
      <c r="L22" s="29" t="s">
        <v>22</v>
      </c>
      <c r="M22" s="30"/>
      <c r="N22" s="31"/>
      <c r="O22" s="32">
        <f>SUM(O14:O21)</f>
        <v>665</v>
      </c>
    </row>
    <row r="24" spans="1:15">
      <c r="A24" t="s">
        <v>23</v>
      </c>
      <c r="D24" s="33">
        <f>210+26+140+263+26</f>
        <v>665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FF2E-085E-4633-B1DF-9EE563B27016}">
  <dimension ref="A1:O28"/>
  <sheetViews>
    <sheetView workbookViewId="0">
      <selection activeCell="L16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130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32</v>
      </c>
      <c r="L5" s="39"/>
      <c r="M5" s="17">
        <v>32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26</v>
      </c>
      <c r="B6" s="17">
        <v>0</v>
      </c>
      <c r="C6" s="17">
        <f>26+20+24+17+15</f>
        <v>102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102</v>
      </c>
      <c r="L6" s="39"/>
      <c r="M6" s="17">
        <v>102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customHeight="1">
      <c r="A8" t="s">
        <v>84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23.68</v>
      </c>
      <c r="H8" s="17">
        <v>0</v>
      </c>
      <c r="I8" s="17">
        <v>0</v>
      </c>
      <c r="J8" s="17">
        <v>0</v>
      </c>
      <c r="K8" s="38">
        <f>SUM(B8:J8)</f>
        <v>23.68</v>
      </c>
      <c r="L8" s="39"/>
      <c r="M8" s="48">
        <v>23.68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25</v>
      </c>
      <c r="B9" s="17">
        <v>0</v>
      </c>
      <c r="C9" s="17">
        <f>12+5+24+15</f>
        <v>56</v>
      </c>
      <c r="D9" s="17">
        <v>128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184</v>
      </c>
      <c r="L9" s="39"/>
      <c r="M9" s="17">
        <v>184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0</v>
      </c>
      <c r="C11" s="42">
        <f t="shared" si="2"/>
        <v>158</v>
      </c>
      <c r="D11" s="42">
        <f t="shared" si="2"/>
        <v>160</v>
      </c>
      <c r="E11" s="42">
        <f t="shared" si="2"/>
        <v>0</v>
      </c>
      <c r="F11" s="42">
        <f t="shared" si="2"/>
        <v>0</v>
      </c>
      <c r="G11" s="42">
        <f t="shared" si="2"/>
        <v>23.68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341.68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130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0</v>
      </c>
      <c r="D19" s="25">
        <f t="shared" si="3"/>
        <v>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0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C73E-2700-48AD-B52E-91BADA66F203}">
  <dimension ref="A1:O28"/>
  <sheetViews>
    <sheetView workbookViewId="0">
      <selection activeCell="D28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131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19</v>
      </c>
      <c r="B6" s="17">
        <v>20</v>
      </c>
      <c r="C6" s="17">
        <f>32+40+7+40+7+24+20+40+14+138+24+84+26+25+54</f>
        <v>575</v>
      </c>
      <c r="D6" s="17">
        <v>84</v>
      </c>
      <c r="E6" s="17">
        <v>0</v>
      </c>
      <c r="F6" s="17">
        <v>0</v>
      </c>
      <c r="G6" s="17">
        <v>0</v>
      </c>
      <c r="H6" s="17">
        <v>0</v>
      </c>
      <c r="I6" s="17">
        <v>42</v>
      </c>
      <c r="J6" s="17">
        <v>0</v>
      </c>
      <c r="K6" s="38">
        <f>SUM(B6:J6)</f>
        <v>721</v>
      </c>
      <c r="L6" s="39"/>
      <c r="M6" s="17">
        <v>721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84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20</v>
      </c>
      <c r="C11" s="42">
        <f t="shared" si="2"/>
        <v>575</v>
      </c>
      <c r="D11" s="42">
        <f t="shared" si="2"/>
        <v>84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42</v>
      </c>
      <c r="J11" s="42">
        <f t="shared" si="2"/>
        <v>0</v>
      </c>
      <c r="K11" s="42">
        <f t="shared" si="2"/>
        <v>721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131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20</v>
      </c>
    </row>
    <row r="24" spans="1:7">
      <c r="A24" t="s">
        <v>23</v>
      </c>
      <c r="D24" s="33">
        <v>20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09C1-0088-4313-A770-525F87B534A0}">
  <dimension ref="A1:O28"/>
  <sheetViews>
    <sheetView workbookViewId="0">
      <selection activeCell="K13" sqref="K13:N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132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0</v>
      </c>
      <c r="C6" s="17">
        <v>0</v>
      </c>
      <c r="D6" s="17">
        <v>64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64</v>
      </c>
      <c r="L6" s="39"/>
      <c r="M6" s="17">
        <v>64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84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356</v>
      </c>
      <c r="C9" s="17">
        <f>27+24+33+57+64+26</f>
        <v>231</v>
      </c>
      <c r="D9" s="17">
        <v>252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839</v>
      </c>
      <c r="L9" s="39"/>
      <c r="M9" s="17">
        <v>839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24</v>
      </c>
      <c r="B10" s="17">
        <v>0</v>
      </c>
      <c r="C10" s="17">
        <f>64+130</f>
        <v>194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194</v>
      </c>
      <c r="L10" s="39"/>
      <c r="M10" s="17">
        <v>194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356</v>
      </c>
      <c r="C11" s="42">
        <f t="shared" si="2"/>
        <v>425</v>
      </c>
      <c r="D11" s="42">
        <f t="shared" si="2"/>
        <v>316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1097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132</v>
      </c>
      <c r="B13" s="50"/>
      <c r="C13" s="50"/>
      <c r="D13" s="51"/>
      <c r="H13" t="s">
        <v>58</v>
      </c>
      <c r="K13" s="49" t="s">
        <v>133</v>
      </c>
      <c r="L13" s="50"/>
      <c r="M13" s="50"/>
      <c r="N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/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  <c r="K15" s="26">
        <v>100</v>
      </c>
      <c r="L15" s="23" t="s">
        <v>20</v>
      </c>
      <c r="M15" s="24">
        <v>3</v>
      </c>
      <c r="N15" s="25">
        <f t="shared" si="4"/>
        <v>300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  <c r="K16" s="26">
        <v>50</v>
      </c>
      <c r="L16" s="23" t="s">
        <v>20</v>
      </c>
      <c r="M16" s="24">
        <v>0</v>
      </c>
      <c r="N16" s="25">
        <f t="shared" si="4"/>
        <v>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1</v>
      </c>
      <c r="D18" s="25">
        <f t="shared" si="3"/>
        <v>10</v>
      </c>
      <c r="K18" s="26">
        <v>10</v>
      </c>
      <c r="L18" s="23" t="s">
        <v>20</v>
      </c>
      <c r="M18" s="24">
        <v>1</v>
      </c>
      <c r="N18" s="25">
        <f t="shared" si="4"/>
        <v>10</v>
      </c>
    </row>
    <row r="19" spans="1:14" ht="16.5">
      <c r="A19" s="26">
        <v>5</v>
      </c>
      <c r="B19" s="23" t="s">
        <v>20</v>
      </c>
      <c r="C19" s="24">
        <v>9</v>
      </c>
      <c r="D19" s="25">
        <f t="shared" si="3"/>
        <v>45</v>
      </c>
      <c r="K19" s="26">
        <v>5</v>
      </c>
      <c r="L19" s="23" t="s">
        <v>20</v>
      </c>
      <c r="M19" s="24">
        <v>13</v>
      </c>
      <c r="N19" s="25">
        <f t="shared" si="4"/>
        <v>65</v>
      </c>
    </row>
    <row r="20" spans="1:14" ht="16.5">
      <c r="A20" s="27" t="s">
        <v>21</v>
      </c>
      <c r="B20" s="23" t="s">
        <v>20</v>
      </c>
      <c r="C20" s="24">
        <v>1</v>
      </c>
      <c r="D20" s="25">
        <f>+C20*1</f>
        <v>1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356</v>
      </c>
      <c r="K22" s="29" t="s">
        <v>22</v>
      </c>
      <c r="L22" s="30"/>
      <c r="M22" s="31"/>
      <c r="N22" s="32">
        <f>SUM(N14:N21)</f>
        <v>376</v>
      </c>
    </row>
    <row r="24" spans="1:14">
      <c r="A24" t="s">
        <v>23</v>
      </c>
      <c r="D24" s="33">
        <f>20+356</f>
        <v>376</v>
      </c>
      <c r="E24" t="s">
        <v>58</v>
      </c>
    </row>
    <row r="28" spans="1:14">
      <c r="G28" t="s">
        <v>71</v>
      </c>
    </row>
  </sheetData>
  <mergeCells count="2"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C83E-6EB3-4143-B039-6CC6D3A41F3D}">
  <dimension ref="A1:O28"/>
  <sheetViews>
    <sheetView workbookViewId="0">
      <selection activeCell="A13" sqref="A13:D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134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25</v>
      </c>
      <c r="B6" s="17">
        <v>0</v>
      </c>
      <c r="C6" s="17">
        <f>40+27+32+32+26+53</f>
        <v>210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210</v>
      </c>
      <c r="L6" s="39"/>
      <c r="M6" s="17">
        <v>210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84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26</v>
      </c>
      <c r="B9" s="17">
        <v>27</v>
      </c>
      <c r="C9" s="17">
        <f>32+45+26+20+84+104+207+2+74+7</f>
        <v>601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628</v>
      </c>
      <c r="L9" s="39"/>
      <c r="M9" s="17">
        <v>628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27</v>
      </c>
      <c r="C11" s="42">
        <f t="shared" si="2"/>
        <v>811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838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134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5</v>
      </c>
      <c r="D19" s="25">
        <f t="shared" si="3"/>
        <v>25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27</v>
      </c>
    </row>
    <row r="24" spans="1:7">
      <c r="A24" t="s">
        <v>23</v>
      </c>
      <c r="D24" s="33">
        <f>20+356+27</f>
        <v>403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AEE6-D442-4AB4-9184-3CDB7458B415}">
  <dimension ref="A1:O28"/>
  <sheetViews>
    <sheetView workbookViewId="0">
      <selection activeCell="A1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135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142</v>
      </c>
      <c r="C6" s="17">
        <f>45+227+32+20+8+2+30+32+7+40+20+64+20+84+134+40+983+10+10+24+180+24+32+70+20+20+20+100+24+14+20+136+25</f>
        <v>2517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2659</v>
      </c>
      <c r="L6" s="39"/>
      <c r="M6" s="17">
        <v>2659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customHeight="1">
      <c r="A8" t="s">
        <v>24</v>
      </c>
      <c r="B8" s="17">
        <v>24</v>
      </c>
      <c r="C8" s="17">
        <f>26+7+24+1020</f>
        <v>1077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1101</v>
      </c>
      <c r="L8" s="39"/>
      <c r="M8" s="48">
        <v>1101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27</v>
      </c>
      <c r="B9" s="17">
        <v>738</v>
      </c>
      <c r="C9" s="17">
        <f>36+304+198+58+27+1110+52+24+22+84+47+27+20+20+256+128+52+24+20+64+20+13+13+32+32+20+24</f>
        <v>2727</v>
      </c>
      <c r="D9" s="17">
        <v>222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3687</v>
      </c>
      <c r="L9" s="39"/>
      <c r="M9" s="17">
        <v>3687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904</v>
      </c>
      <c r="C11" s="42">
        <f t="shared" si="2"/>
        <v>6321</v>
      </c>
      <c r="D11" s="42">
        <f t="shared" si="2"/>
        <v>222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7447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135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19</v>
      </c>
      <c r="D19" s="25">
        <f t="shared" si="3"/>
        <v>95</v>
      </c>
    </row>
    <row r="20" spans="1:7" ht="16.5">
      <c r="A20" s="27" t="s">
        <v>21</v>
      </c>
      <c r="B20" s="23" t="s">
        <v>20</v>
      </c>
      <c r="C20" s="24">
        <v>9</v>
      </c>
      <c r="D20" s="25">
        <f>+C20*1</f>
        <v>9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904</v>
      </c>
    </row>
    <row r="24" spans="1:7">
      <c r="A24" t="s">
        <v>23</v>
      </c>
      <c r="D24" s="33">
        <f>20+356+27+904</f>
        <v>1307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B3B7-13AB-4727-955A-36C437D18BD0}">
  <dimension ref="A1:O28"/>
  <sheetViews>
    <sheetView workbookViewId="0">
      <selection activeCell="H18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136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25</v>
      </c>
      <c r="B6" s="17">
        <v>736</v>
      </c>
      <c r="C6" s="17">
        <f>26+24+24+88+39+64+15+168+42+35+26+126+96+84+24+96+151+96+64+27+166+161+26+55+160+304+20+24+24+96+60+52+24+33+94+96</f>
        <v>2710</v>
      </c>
      <c r="D6" s="17">
        <v>1728</v>
      </c>
      <c r="E6" s="17">
        <v>0</v>
      </c>
      <c r="F6" s="17">
        <v>0</v>
      </c>
      <c r="G6" s="17">
        <v>0</v>
      </c>
      <c r="H6" s="17">
        <v>0</v>
      </c>
      <c r="I6" s="17">
        <v>26</v>
      </c>
      <c r="J6" s="17">
        <v>0</v>
      </c>
      <c r="K6" s="38">
        <f>SUM(B6:J6)</f>
        <v>5200</v>
      </c>
      <c r="L6" s="39"/>
      <c r="M6" s="17">
        <v>5200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26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customHeight="1">
      <c r="A8" t="s">
        <v>26</v>
      </c>
      <c r="B8" s="17">
        <v>476</v>
      </c>
      <c r="C8" s="17">
        <f>128+26+20+64+32+32+26+31+24+64+32+84+20+32+288+26+15+64+20+128+117+84+133+38+20+24+3</f>
        <v>1575</v>
      </c>
      <c r="D8" s="17">
        <v>384</v>
      </c>
      <c r="E8" s="17">
        <v>0</v>
      </c>
      <c r="F8" s="17">
        <v>0</v>
      </c>
      <c r="G8" s="48">
        <v>0</v>
      </c>
      <c r="H8" s="17">
        <v>0</v>
      </c>
      <c r="I8" s="17">
        <v>24</v>
      </c>
      <c r="J8" s="17">
        <v>0</v>
      </c>
      <c r="K8" s="38">
        <f>SUM(B8:J8)</f>
        <v>2459</v>
      </c>
      <c r="L8" s="39"/>
      <c r="M8" s="48">
        <v>2459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1212</v>
      </c>
      <c r="C11" s="42">
        <f t="shared" si="2"/>
        <v>4285</v>
      </c>
      <c r="D11" s="42">
        <f t="shared" si="2"/>
        <v>2112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50</v>
      </c>
      <c r="J11" s="42">
        <f t="shared" si="2"/>
        <v>0</v>
      </c>
      <c r="K11" s="42">
        <f t="shared" si="2"/>
        <v>7659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136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10</v>
      </c>
      <c r="D15" s="25">
        <f t="shared" si="3"/>
        <v>1000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8</v>
      </c>
      <c r="D19" s="25">
        <f t="shared" si="3"/>
        <v>40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1212</v>
      </c>
    </row>
    <row r="24" spans="1:7">
      <c r="A24" t="s">
        <v>23</v>
      </c>
      <c r="D24" s="33">
        <f>20+356+27+904+1212</f>
        <v>2519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DBD6-4DDF-4BC7-A292-075E244EDA52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45668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42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42</v>
      </c>
      <c r="L5" s="39"/>
      <c r="M5" s="17">
        <v>42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19</v>
      </c>
      <c r="B6" s="17">
        <v>21</v>
      </c>
      <c r="C6" s="17">
        <f>26+90+15+24</f>
        <v>155</v>
      </c>
      <c r="D6" s="17">
        <v>786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962</v>
      </c>
      <c r="L6" s="39"/>
      <c r="M6" s="17">
        <v>962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0</v>
      </c>
      <c r="C7" s="17">
        <f>7+20</f>
        <v>27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27</v>
      </c>
      <c r="L7" s="39"/>
      <c r="M7" s="17">
        <v>27</v>
      </c>
      <c r="N7" s="40">
        <f t="shared" si="0"/>
        <v>0</v>
      </c>
      <c r="O7" s="40">
        <f t="shared" si="1"/>
        <v>0</v>
      </c>
    </row>
    <row r="8" spans="1:15" ht="16.5" customHeight="1">
      <c r="A8" t="s">
        <v>24</v>
      </c>
      <c r="B8" s="17">
        <v>316</v>
      </c>
      <c r="C8" s="17">
        <f>22+25+25+40+25+64+25+27+47+20+7+20+126+20+32+25+53+20+20+80+24+64+38+27+33</f>
        <v>909</v>
      </c>
      <c r="D8" s="17">
        <v>734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1959</v>
      </c>
      <c r="L8" s="39"/>
      <c r="M8" s="48">
        <v>1959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337</v>
      </c>
      <c r="C11" s="42">
        <f t="shared" si="2"/>
        <v>1091</v>
      </c>
      <c r="D11" s="42">
        <f t="shared" si="2"/>
        <v>1562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2990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>
        <v>45668</v>
      </c>
      <c r="B13" s="50"/>
      <c r="C13" s="50"/>
      <c r="D13" s="51"/>
      <c r="H13" t="s">
        <v>58</v>
      </c>
      <c r="K13" s="49" t="s">
        <v>137</v>
      </c>
      <c r="L13" s="50"/>
      <c r="M13" s="50"/>
      <c r="N13" s="51"/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  <c r="K14" s="22">
        <v>500</v>
      </c>
      <c r="L14" s="23" t="s">
        <v>20</v>
      </c>
      <c r="M14" s="24"/>
      <c r="N14" s="25">
        <f t="shared" ref="N14:N19" si="4">K14*M14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  <c r="K15" s="26">
        <v>100</v>
      </c>
      <c r="L15" s="23" t="s">
        <v>20</v>
      </c>
      <c r="M15" s="24">
        <v>24</v>
      </c>
      <c r="N15" s="25">
        <f t="shared" si="4"/>
        <v>2400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  <c r="K16" s="26">
        <v>50</v>
      </c>
      <c r="L16" s="23" t="s">
        <v>20</v>
      </c>
      <c r="M16" s="24">
        <v>9</v>
      </c>
      <c r="N16" s="25">
        <f t="shared" si="4"/>
        <v>450</v>
      </c>
    </row>
    <row r="17" spans="1:14" ht="16.5">
      <c r="A17" s="26">
        <v>20</v>
      </c>
      <c r="B17" s="23" t="s">
        <v>20</v>
      </c>
      <c r="C17" s="24">
        <v>0</v>
      </c>
      <c r="D17" s="25">
        <f t="shared" si="3"/>
        <v>0</v>
      </c>
      <c r="K17" s="26">
        <v>20</v>
      </c>
      <c r="L17" s="23" t="s">
        <v>20</v>
      </c>
      <c r="M17" s="24">
        <v>0</v>
      </c>
      <c r="N17" s="25">
        <f t="shared" si="4"/>
        <v>0</v>
      </c>
    </row>
    <row r="18" spans="1:14" ht="16.5">
      <c r="A18" s="26">
        <v>10</v>
      </c>
      <c r="B18" s="23" t="s">
        <v>20</v>
      </c>
      <c r="C18" s="24">
        <v>0</v>
      </c>
      <c r="D18" s="25">
        <f t="shared" si="3"/>
        <v>0</v>
      </c>
      <c r="K18" s="26">
        <v>10</v>
      </c>
      <c r="L18" s="23" t="s">
        <v>20</v>
      </c>
      <c r="M18" s="24">
        <v>0</v>
      </c>
      <c r="N18" s="25">
        <f t="shared" si="4"/>
        <v>0</v>
      </c>
    </row>
    <row r="19" spans="1:14" ht="16.5">
      <c r="A19" s="26">
        <v>5</v>
      </c>
      <c r="B19" s="23" t="s">
        <v>20</v>
      </c>
      <c r="C19" s="24">
        <v>7</v>
      </c>
      <c r="D19" s="25">
        <f t="shared" si="3"/>
        <v>35</v>
      </c>
      <c r="K19" s="26">
        <v>5</v>
      </c>
      <c r="L19" s="23" t="s">
        <v>20</v>
      </c>
      <c r="M19" s="24">
        <v>1</v>
      </c>
      <c r="N19" s="25">
        <f t="shared" si="4"/>
        <v>5</v>
      </c>
    </row>
    <row r="20" spans="1:14" ht="16.5">
      <c r="A20" s="27" t="s">
        <v>21</v>
      </c>
      <c r="B20" s="23" t="s">
        <v>20</v>
      </c>
      <c r="C20" s="24">
        <v>2</v>
      </c>
      <c r="D20" s="25">
        <f>+C20*1</f>
        <v>2</v>
      </c>
      <c r="K20" s="27" t="s">
        <v>21</v>
      </c>
      <c r="L20" s="23" t="s">
        <v>20</v>
      </c>
      <c r="M20" s="24">
        <v>1</v>
      </c>
      <c r="N20" s="25">
        <f>+M20*1</f>
        <v>1</v>
      </c>
    </row>
    <row r="21" spans="1:14" ht="16.5">
      <c r="A21" s="27"/>
      <c r="B21" s="28"/>
      <c r="C21" s="24"/>
      <c r="D21" s="25">
        <f>+C21*0.025</f>
        <v>0</v>
      </c>
      <c r="K21" s="27"/>
      <c r="L21" s="28"/>
      <c r="M21" s="24"/>
      <c r="N21" s="25">
        <f>+M21*0.025</f>
        <v>0</v>
      </c>
    </row>
    <row r="22" spans="1:14" ht="16.5">
      <c r="A22" s="29" t="s">
        <v>22</v>
      </c>
      <c r="B22" s="30"/>
      <c r="C22" s="31"/>
      <c r="D22" s="32">
        <f>SUM(D14:D21)</f>
        <v>337</v>
      </c>
      <c r="K22" s="29" t="s">
        <v>22</v>
      </c>
      <c r="L22" s="30"/>
      <c r="M22" s="31"/>
      <c r="N22" s="32">
        <f>SUM(N14:N21)</f>
        <v>2856</v>
      </c>
    </row>
    <row r="24" spans="1:14">
      <c r="A24" t="s">
        <v>23</v>
      </c>
      <c r="D24" s="33">
        <f>20+356+27+904+1212+337</f>
        <v>2856</v>
      </c>
      <c r="E24" t="s">
        <v>58</v>
      </c>
    </row>
    <row r="28" spans="1:14">
      <c r="G28" t="s">
        <v>71</v>
      </c>
    </row>
  </sheetData>
  <mergeCells count="2">
    <mergeCell ref="A13:D13"/>
    <mergeCell ref="K13:N13"/>
  </mergeCells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47B3-62A7-4746-BA2A-7142875B9A9A}">
  <dimension ref="A1:O28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45699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160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160</v>
      </c>
      <c r="L5" s="39"/>
      <c r="M5" s="17">
        <v>160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26</v>
      </c>
      <c r="B6" s="17">
        <v>64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64</v>
      </c>
      <c r="L6" s="39"/>
      <c r="M6" s="17">
        <v>64</v>
      </c>
      <c r="N6" s="40">
        <f t="shared" si="0"/>
        <v>0</v>
      </c>
      <c r="O6" s="40">
        <f t="shared" si="1"/>
        <v>0</v>
      </c>
    </row>
    <row r="7" spans="1:15" ht="16.5" hidden="1" customHeight="1">
      <c r="A7" t="s">
        <v>27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0</v>
      </c>
      <c r="L7" s="39"/>
      <c r="M7" s="17">
        <v>0</v>
      </c>
      <c r="N7" s="40">
        <f t="shared" si="0"/>
        <v>0</v>
      </c>
      <c r="O7" s="40">
        <f t="shared" si="1"/>
        <v>0</v>
      </c>
    </row>
    <row r="8" spans="1:15" ht="16.5" customHeight="1">
      <c r="A8" t="s">
        <v>24</v>
      </c>
      <c r="B8" s="17">
        <v>55</v>
      </c>
      <c r="C8" s="17">
        <f>126+1+133+25+20+20+64+78+161+20+20+32+32+64+25+20</f>
        <v>841</v>
      </c>
      <c r="D8" s="17">
        <v>180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1076</v>
      </c>
      <c r="L8" s="39"/>
      <c r="M8" s="48">
        <v>1076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119</v>
      </c>
      <c r="C11" s="42">
        <f t="shared" si="2"/>
        <v>841</v>
      </c>
      <c r="D11" s="42">
        <f t="shared" si="2"/>
        <v>340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1300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45699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17</v>
      </c>
      <c r="D19" s="25">
        <f t="shared" si="3"/>
        <v>85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119</v>
      </c>
    </row>
    <row r="24" spans="1:7">
      <c r="A24" t="s">
        <v>23</v>
      </c>
      <c r="D24" s="33">
        <v>119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E2AE-809B-4A11-AD30-7FB369743D1E}">
  <dimension ref="A1:O28"/>
  <sheetViews>
    <sheetView workbookViewId="0">
      <selection activeCell="L21" sqref="L21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45727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263</v>
      </c>
      <c r="C6" s="17">
        <f>40+115+22+32+32+20+121+88+64+24+64+57+26+7+20+24</f>
        <v>756</v>
      </c>
      <c r="D6" s="17">
        <v>1170</v>
      </c>
      <c r="E6" s="17">
        <v>0</v>
      </c>
      <c r="F6" s="17">
        <v>0</v>
      </c>
      <c r="G6" s="17">
        <v>0</v>
      </c>
      <c r="H6" s="17">
        <v>0</v>
      </c>
      <c r="I6" s="17">
        <v>48</v>
      </c>
      <c r="J6" s="17">
        <v>0</v>
      </c>
      <c r="K6" s="38">
        <f>SUM(B6:J6)</f>
        <v>2237</v>
      </c>
      <c r="L6" s="39"/>
      <c r="M6" s="17">
        <v>2237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26</v>
      </c>
      <c r="B7" s="17">
        <v>65</v>
      </c>
      <c r="C7" s="17">
        <f>29+12</f>
        <v>41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106</v>
      </c>
      <c r="L7" s="39"/>
      <c r="M7" s="17">
        <v>105</v>
      </c>
      <c r="N7" s="40">
        <f t="shared" si="0"/>
        <v>1</v>
      </c>
      <c r="O7" s="40">
        <f t="shared" si="1"/>
        <v>0</v>
      </c>
    </row>
    <row r="8" spans="1:15" ht="16.5" customHeight="1">
      <c r="A8" t="s">
        <v>27</v>
      </c>
      <c r="B8" s="17">
        <v>61</v>
      </c>
      <c r="C8" s="17">
        <f>14+7+2+20+1464</f>
        <v>1507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1568</v>
      </c>
      <c r="L8" s="39"/>
      <c r="M8" s="48">
        <v>1568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389</v>
      </c>
      <c r="C11" s="42">
        <f t="shared" si="2"/>
        <v>2304</v>
      </c>
      <c r="D11" s="42">
        <f t="shared" si="2"/>
        <v>1170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48</v>
      </c>
      <c r="J11" s="42">
        <f t="shared" si="2"/>
        <v>0</v>
      </c>
      <c r="K11" s="42">
        <f t="shared" si="2"/>
        <v>3911</v>
      </c>
      <c r="L11" s="43"/>
      <c r="M11" s="42">
        <v>0</v>
      </c>
      <c r="N11" s="42">
        <f>SUM(N4:N10)</f>
        <v>1</v>
      </c>
      <c r="O11" s="42">
        <f>SUM(O4:O10)</f>
        <v>0</v>
      </c>
    </row>
    <row r="12" spans="1:15" ht="15.75" thickBot="1"/>
    <row r="13" spans="1:15" ht="17.25" thickBot="1">
      <c r="A13" s="49">
        <v>45727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/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15</v>
      </c>
      <c r="D19" s="25">
        <f t="shared" si="3"/>
        <v>75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389</v>
      </c>
    </row>
    <row r="24" spans="1:7">
      <c r="A24" t="s">
        <v>23</v>
      </c>
      <c r="D24" s="33">
        <f>119+389</f>
        <v>508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B30F-EAA7-4671-9A69-2B3DDB8ED02E}">
  <dimension ref="A1:O28"/>
  <sheetViews>
    <sheetView workbookViewId="0">
      <selection activeCell="K20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45758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27</v>
      </c>
      <c r="B6" s="17">
        <v>32</v>
      </c>
      <c r="C6" s="17">
        <v>160</v>
      </c>
      <c r="D6" s="17">
        <v>192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384</v>
      </c>
      <c r="L6" s="39"/>
      <c r="M6" s="17">
        <v>384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24</v>
      </c>
      <c r="B7" s="17">
        <v>20</v>
      </c>
      <c r="C7" s="17">
        <f>20+20+26+40+24+24+64+20+26+20</f>
        <v>284</v>
      </c>
      <c r="D7" s="17">
        <v>764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1068</v>
      </c>
      <c r="L7" s="39"/>
      <c r="M7" s="17">
        <v>1068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52</v>
      </c>
      <c r="C11" s="42">
        <f t="shared" si="2"/>
        <v>444</v>
      </c>
      <c r="D11" s="42">
        <f t="shared" si="2"/>
        <v>956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1452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45758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52</v>
      </c>
    </row>
    <row r="24" spans="1:7">
      <c r="A24" t="s">
        <v>23</v>
      </c>
      <c r="D24" s="33">
        <f>119+389+52</f>
        <v>560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9EAC-9303-4DED-A6FB-94139A1C88A1}">
  <dimension ref="A1:O28"/>
  <sheetViews>
    <sheetView workbookViewId="0">
      <selection activeCell="J27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45788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64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64</v>
      </c>
      <c r="L5" s="39"/>
      <c r="M5" s="17">
        <v>64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263</v>
      </c>
      <c r="C6" s="17">
        <f>15+2+32+32+25+25+40</f>
        <v>171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434</v>
      </c>
      <c r="L6" s="39"/>
      <c r="M6" s="17">
        <v>434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26</v>
      </c>
      <c r="B7" s="17">
        <v>0</v>
      </c>
      <c r="C7" s="17">
        <v>128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128</v>
      </c>
      <c r="L7" s="39"/>
      <c r="M7" s="17">
        <v>128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263</v>
      </c>
      <c r="C11" s="42">
        <f t="shared" si="2"/>
        <v>299</v>
      </c>
      <c r="D11" s="42">
        <f t="shared" si="2"/>
        <v>64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626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45788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4</v>
      </c>
      <c r="D18" s="25">
        <f t="shared" si="3"/>
        <v>40</v>
      </c>
    </row>
    <row r="19" spans="1:7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7" ht="16.5">
      <c r="A20" s="27" t="s">
        <v>21</v>
      </c>
      <c r="B20" s="23" t="s">
        <v>20</v>
      </c>
      <c r="C20" s="24">
        <v>8</v>
      </c>
      <c r="D20" s="25">
        <f>+C20*1</f>
        <v>8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263</v>
      </c>
    </row>
    <row r="24" spans="1:7">
      <c r="A24" t="s">
        <v>23</v>
      </c>
      <c r="D24" s="33">
        <f>119+389+52+263</f>
        <v>823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DAAA-BC67-47A0-A35D-6667F7368261}">
  <dimension ref="A1:O28"/>
  <sheetViews>
    <sheetView workbookViewId="0">
      <selection activeCell="K21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45819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148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148</v>
      </c>
      <c r="L5" s="39"/>
      <c r="M5" s="17">
        <v>148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27</v>
      </c>
      <c r="B6" s="17">
        <v>313</v>
      </c>
      <c r="C6" s="17">
        <f>91+20+84+12+26+108+96+137+24+25+25+25+48+48+40+136+14+14+96+20+64+15+26</f>
        <v>1194</v>
      </c>
      <c r="D6" s="17">
        <v>328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1835</v>
      </c>
      <c r="L6" s="39"/>
      <c r="M6" s="17">
        <v>1835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24</v>
      </c>
      <c r="B7" s="17">
        <v>315</v>
      </c>
      <c r="C7" s="17">
        <f>27+14+23+64+88+64+20+26+64+142+64+122+1+120+32+20+1+67+57</f>
        <v>1016</v>
      </c>
      <c r="D7" s="17">
        <v>448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1779</v>
      </c>
      <c r="L7" s="39"/>
      <c r="M7" s="17">
        <v>1779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628</v>
      </c>
      <c r="C11" s="42">
        <f t="shared" si="2"/>
        <v>2210</v>
      </c>
      <c r="D11" s="42">
        <f t="shared" si="2"/>
        <v>924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3762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45819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6</v>
      </c>
      <c r="D18" s="25">
        <f t="shared" si="3"/>
        <v>60</v>
      </c>
    </row>
    <row r="19" spans="1:7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628</v>
      </c>
    </row>
    <row r="24" spans="1:7">
      <c r="A24" t="s">
        <v>23</v>
      </c>
      <c r="D24" s="33">
        <f>119+389+52+263+628</f>
        <v>1451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0153-44B4-410F-A44A-8E69E5D75D5F}">
  <dimension ref="A1:O28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45849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96</v>
      </c>
      <c r="L5" s="39"/>
      <c r="M5" s="17">
        <v>96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333</v>
      </c>
      <c r="C6" s="17">
        <f>26+20+20+20+84+20+24+26+54+26+26+38+55+14+178+25+20+78+25+20</f>
        <v>799</v>
      </c>
      <c r="D6" s="17">
        <v>328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1460</v>
      </c>
      <c r="L6" s="39"/>
      <c r="M6" s="17">
        <v>1462</v>
      </c>
      <c r="N6" s="40">
        <f t="shared" si="0"/>
        <v>0</v>
      </c>
      <c r="O6" s="40">
        <f t="shared" si="1"/>
        <v>2</v>
      </c>
    </row>
    <row r="7" spans="1:15" ht="16.5" customHeight="1">
      <c r="A7" t="s">
        <v>19</v>
      </c>
      <c r="B7" s="17">
        <v>276</v>
      </c>
      <c r="C7" s="17">
        <f>26+32+26+96+39+7+20+15+50+24+20+20+134+24+153+42+90+7+42+84+12+12</f>
        <v>975</v>
      </c>
      <c r="D7" s="17">
        <v>96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1347</v>
      </c>
      <c r="L7" s="39"/>
      <c r="M7" s="17">
        <v>1347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609</v>
      </c>
      <c r="C11" s="42">
        <f t="shared" si="2"/>
        <v>1774</v>
      </c>
      <c r="D11" s="42">
        <f t="shared" si="2"/>
        <v>520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2903</v>
      </c>
      <c r="L11" s="43"/>
      <c r="M11" s="42">
        <v>0</v>
      </c>
      <c r="N11" s="42">
        <f>SUM(N4:N10)</f>
        <v>0</v>
      </c>
      <c r="O11" s="42">
        <f>SUM(O4:O10)</f>
        <v>2</v>
      </c>
    </row>
    <row r="12" spans="1:15" ht="15.75" thickBot="1"/>
    <row r="13" spans="1:15" ht="17.25" thickBot="1">
      <c r="A13" s="49">
        <v>45849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5</v>
      </c>
      <c r="D19" s="25">
        <f t="shared" si="3"/>
        <v>25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609</v>
      </c>
    </row>
    <row r="24" spans="1:7">
      <c r="A24" t="s">
        <v>23</v>
      </c>
      <c r="D24" s="33">
        <f>119+389+52+263+628+609</f>
        <v>2060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12FD-3E88-4F17-BC5A-53F17D8773DE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45880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32</v>
      </c>
      <c r="L5" s="39"/>
      <c r="M5" s="17">
        <v>32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26</v>
      </c>
      <c r="B6" s="17">
        <v>47</v>
      </c>
      <c r="C6" s="17">
        <f>7+160+26+12+64+7+122+121+20</f>
        <v>539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586</v>
      </c>
      <c r="L6" s="39"/>
      <c r="M6" s="17">
        <v>586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24</v>
      </c>
      <c r="B7" s="17">
        <v>161</v>
      </c>
      <c r="C7" s="17">
        <f>32+20+126+20+50+64+32+124+24+24+64</f>
        <v>580</v>
      </c>
      <c r="D7" s="17">
        <v>320</v>
      </c>
      <c r="E7" s="17">
        <v>0</v>
      </c>
      <c r="F7" s="17">
        <v>0</v>
      </c>
      <c r="G7" s="17">
        <v>0</v>
      </c>
      <c r="H7" s="17">
        <v>0</v>
      </c>
      <c r="I7" s="17">
        <v>7</v>
      </c>
      <c r="J7" s="17">
        <v>0</v>
      </c>
      <c r="K7" s="38">
        <f>SUM(B7:J7)</f>
        <v>1068</v>
      </c>
      <c r="L7" s="39"/>
      <c r="M7" s="17">
        <v>1068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208</v>
      </c>
      <c r="C11" s="42">
        <f t="shared" si="2"/>
        <v>1119</v>
      </c>
      <c r="D11" s="42">
        <f t="shared" si="2"/>
        <v>352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7</v>
      </c>
      <c r="J11" s="42">
        <f t="shared" si="2"/>
        <v>0</v>
      </c>
      <c r="K11" s="42">
        <f t="shared" si="2"/>
        <v>1686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>
        <v>45880</v>
      </c>
      <c r="B13" s="50"/>
      <c r="C13" s="50"/>
      <c r="D13" s="51"/>
      <c r="H13" t="s">
        <v>58</v>
      </c>
      <c r="L13" s="49" t="s">
        <v>138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L14" s="22">
        <v>500</v>
      </c>
      <c r="M14" s="23" t="s">
        <v>20</v>
      </c>
      <c r="N14" s="24">
        <v>0</v>
      </c>
      <c r="O14" s="25">
        <f t="shared" ref="O14:O19" si="4">L14*N14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  <c r="L15" s="26">
        <v>100</v>
      </c>
      <c r="M15" s="23" t="s">
        <v>20</v>
      </c>
      <c r="N15" s="24">
        <v>18</v>
      </c>
      <c r="O15" s="25">
        <f t="shared" si="4"/>
        <v>1800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L16" s="26">
        <v>50</v>
      </c>
      <c r="M16" s="23" t="s">
        <v>20</v>
      </c>
      <c r="N16" s="24">
        <v>8</v>
      </c>
      <c r="O16" s="25">
        <f t="shared" si="4"/>
        <v>400</v>
      </c>
    </row>
    <row r="17" spans="1:15" ht="16.5">
      <c r="A17" s="26">
        <v>20</v>
      </c>
      <c r="B17" s="23" t="s">
        <v>20</v>
      </c>
      <c r="C17" s="24">
        <v>1</v>
      </c>
      <c r="D17" s="25">
        <f t="shared" si="3"/>
        <v>20</v>
      </c>
      <c r="L17" s="26">
        <v>20</v>
      </c>
      <c r="M17" s="23" t="s">
        <v>20</v>
      </c>
      <c r="N17" s="24">
        <v>3</v>
      </c>
      <c r="O17" s="25">
        <f t="shared" si="4"/>
        <v>60</v>
      </c>
    </row>
    <row r="18" spans="1:15" ht="16.5">
      <c r="A18" s="26">
        <v>10</v>
      </c>
      <c r="B18" s="23" t="s">
        <v>20</v>
      </c>
      <c r="C18" s="24">
        <v>2</v>
      </c>
      <c r="D18" s="25">
        <f t="shared" si="3"/>
        <v>20</v>
      </c>
      <c r="L18" s="26">
        <v>10</v>
      </c>
      <c r="M18" s="23" t="s">
        <v>20</v>
      </c>
      <c r="N18" s="24">
        <v>0</v>
      </c>
      <c r="O18" s="25">
        <f t="shared" si="4"/>
        <v>0</v>
      </c>
    </row>
    <row r="19" spans="1:15" ht="16.5">
      <c r="A19" s="26">
        <v>5</v>
      </c>
      <c r="B19" s="23" t="s">
        <v>20</v>
      </c>
      <c r="C19" s="24">
        <v>3</v>
      </c>
      <c r="D19" s="25">
        <f t="shared" si="3"/>
        <v>15</v>
      </c>
      <c r="L19" s="26">
        <v>5</v>
      </c>
      <c r="M19" s="23" t="s">
        <v>20</v>
      </c>
      <c r="N19" s="24">
        <v>1</v>
      </c>
      <c r="O19" s="25">
        <f t="shared" si="4"/>
        <v>5</v>
      </c>
    </row>
    <row r="20" spans="1:15" ht="16.5">
      <c r="A20" s="27" t="s">
        <v>21</v>
      </c>
      <c r="B20" s="23" t="s">
        <v>20</v>
      </c>
      <c r="C20" s="24">
        <v>3</v>
      </c>
      <c r="D20" s="25">
        <f>+C20*1</f>
        <v>3</v>
      </c>
      <c r="L20" s="27" t="s">
        <v>21</v>
      </c>
      <c r="M20" s="23" t="s">
        <v>20</v>
      </c>
      <c r="N20" s="24">
        <v>3</v>
      </c>
      <c r="O20" s="25">
        <f>+N20*1</f>
        <v>3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208</v>
      </c>
      <c r="L22" s="29" t="s">
        <v>22</v>
      </c>
      <c r="M22" s="30"/>
      <c r="N22" s="31"/>
      <c r="O22" s="32">
        <f>SUM(O14:O21)</f>
        <v>2268</v>
      </c>
    </row>
    <row r="24" spans="1:15">
      <c r="A24" t="s">
        <v>23</v>
      </c>
      <c r="D24" s="33">
        <f>119+389+52+263+628+609+208</f>
        <v>2268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3061-41B2-4E8F-89B2-9806105DD0E2}">
  <dimension ref="A1:O28"/>
  <sheetViews>
    <sheetView workbookViewId="0">
      <selection activeCell="A1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45911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19</v>
      </c>
      <c r="B6" s="17">
        <v>0</v>
      </c>
      <c r="C6" s="17">
        <f>26+20+42+20+154+12</f>
        <v>274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274</v>
      </c>
      <c r="L6" s="39"/>
      <c r="M6" s="17">
        <v>274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24</v>
      </c>
      <c r="B7" s="17">
        <v>20</v>
      </c>
      <c r="C7" s="17">
        <f>4+20+126+20+20+20+64</f>
        <v>274</v>
      </c>
      <c r="D7" s="17">
        <v>352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646</v>
      </c>
      <c r="L7" s="39"/>
      <c r="M7" s="17">
        <v>646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20</v>
      </c>
      <c r="C11" s="42">
        <f t="shared" si="2"/>
        <v>548</v>
      </c>
      <c r="D11" s="42">
        <f t="shared" si="2"/>
        <v>352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920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45911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20</v>
      </c>
    </row>
    <row r="24" spans="1:7">
      <c r="A24" t="s">
        <v>23</v>
      </c>
      <c r="D24" s="33">
        <v>20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7B67-1787-4852-8EEA-D9AA67FA6542}">
  <dimension ref="A1:O28"/>
  <sheetViews>
    <sheetView workbookViewId="0">
      <selection activeCell="A1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45941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84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85</v>
      </c>
      <c r="H6" s="17">
        <v>0</v>
      </c>
      <c r="I6" s="17">
        <v>0</v>
      </c>
      <c r="J6" s="17">
        <v>0</v>
      </c>
      <c r="K6" s="38">
        <f>SUM(B6:J6)</f>
        <v>85</v>
      </c>
      <c r="L6" s="39"/>
      <c r="M6" s="17">
        <v>84.99</v>
      </c>
      <c r="N6" s="40">
        <f t="shared" si="0"/>
        <v>1.0000000000005116E-2</v>
      </c>
      <c r="O6" s="40">
        <f t="shared" si="1"/>
        <v>0</v>
      </c>
    </row>
    <row r="7" spans="1:15" ht="16.5" customHeight="1">
      <c r="A7" t="s">
        <v>25</v>
      </c>
      <c r="B7" s="17">
        <v>113</v>
      </c>
      <c r="C7" s="17">
        <f>27+27+38+20+26+32+26+170+20+20+26+98+20+20+42</f>
        <v>612</v>
      </c>
      <c r="D7" s="17">
        <v>128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853</v>
      </c>
      <c r="L7" s="39"/>
      <c r="M7" s="17">
        <v>853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26</v>
      </c>
      <c r="B10" s="17">
        <v>38</v>
      </c>
      <c r="C10" s="17">
        <v>22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60</v>
      </c>
      <c r="L10" s="39"/>
      <c r="M10" s="17">
        <v>60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151</v>
      </c>
      <c r="C11" s="42">
        <f t="shared" si="2"/>
        <v>634</v>
      </c>
      <c r="D11" s="42">
        <f t="shared" si="2"/>
        <v>128</v>
      </c>
      <c r="E11" s="42">
        <f t="shared" si="2"/>
        <v>0</v>
      </c>
      <c r="F11" s="42">
        <f t="shared" si="2"/>
        <v>0</v>
      </c>
      <c r="G11" s="42">
        <f t="shared" si="2"/>
        <v>85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998</v>
      </c>
      <c r="L11" s="43"/>
      <c r="M11" s="42">
        <v>0</v>
      </c>
      <c r="N11" s="42">
        <f>SUM(N4:N10)</f>
        <v>1.0000000000005116E-2</v>
      </c>
      <c r="O11" s="42">
        <f>SUM(O4:O10)</f>
        <v>0</v>
      </c>
    </row>
    <row r="12" spans="1:15" ht="15.75" thickBot="1"/>
    <row r="13" spans="1:15" ht="17.25" thickBot="1">
      <c r="A13" s="49">
        <v>45941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13</v>
      </c>
      <c r="D19" s="25">
        <f t="shared" si="3"/>
        <v>65</v>
      </c>
    </row>
    <row r="20" spans="1:7" ht="16.5">
      <c r="A20" s="27" t="s">
        <v>21</v>
      </c>
      <c r="B20" s="23" t="s">
        <v>20</v>
      </c>
      <c r="C20" s="24">
        <v>6</v>
      </c>
      <c r="D20" s="25">
        <f>+C20*1</f>
        <v>6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151</v>
      </c>
    </row>
    <row r="24" spans="1:7">
      <c r="A24" t="s">
        <v>23</v>
      </c>
      <c r="D24" s="33">
        <f>20+151</f>
        <v>171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2B4A-3638-4B08-A365-DA2E8470BB5F}">
  <dimension ref="A1:O28"/>
  <sheetViews>
    <sheetView workbookViewId="0">
      <selection activeCell="K24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45972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-20</v>
      </c>
      <c r="N4" s="40">
        <f t="shared" ref="N4:N10" si="0">IF(K4&gt;M4,K4-M4,0)</f>
        <v>20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24</v>
      </c>
      <c r="B6" s="17">
        <v>96</v>
      </c>
      <c r="C6" s="17">
        <f>25+42+32+32+26+137+20+54+27+64+92</f>
        <v>551</v>
      </c>
      <c r="D6" s="17">
        <v>0</v>
      </c>
      <c r="E6" s="17">
        <v>0</v>
      </c>
      <c r="F6" s="17">
        <v>96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743</v>
      </c>
      <c r="L6" s="39"/>
      <c r="M6" s="17">
        <v>743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0</v>
      </c>
      <c r="C7" s="17">
        <f>25+35+24</f>
        <v>84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84</v>
      </c>
      <c r="L7" s="39"/>
      <c r="M7" s="17">
        <v>84</v>
      </c>
      <c r="N7" s="40">
        <f t="shared" si="0"/>
        <v>0</v>
      </c>
      <c r="O7" s="40">
        <f t="shared" si="1"/>
        <v>0</v>
      </c>
    </row>
    <row r="8" spans="1:15" ht="16.5" hidden="1" customHeight="1">
      <c r="A8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96</v>
      </c>
      <c r="C11" s="42">
        <f t="shared" si="2"/>
        <v>635</v>
      </c>
      <c r="D11" s="42">
        <f t="shared" si="2"/>
        <v>0</v>
      </c>
      <c r="E11" s="42">
        <f t="shared" si="2"/>
        <v>0</v>
      </c>
      <c r="F11" s="42">
        <f t="shared" si="2"/>
        <v>96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827</v>
      </c>
      <c r="L11" s="43"/>
      <c r="M11" s="42">
        <v>0</v>
      </c>
      <c r="N11" s="42">
        <f>SUM(N4:N10)</f>
        <v>20</v>
      </c>
      <c r="O11" s="42">
        <f>SUM(O4:O10)</f>
        <v>0</v>
      </c>
    </row>
    <row r="12" spans="1:15" ht="15.75" thickBot="1"/>
    <row r="13" spans="1:15" ht="17.25" thickBot="1">
      <c r="A13" s="49">
        <v>45972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2</v>
      </c>
      <c r="D18" s="25">
        <f t="shared" si="3"/>
        <v>20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96</v>
      </c>
    </row>
    <row r="24" spans="1:7">
      <c r="A24" t="s">
        <v>23</v>
      </c>
      <c r="D24" s="33">
        <f>20+151+96</f>
        <v>267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3DDE-579E-4685-8E3D-C5567A12EBF9}">
  <dimension ref="A1:O28"/>
  <sheetViews>
    <sheetView workbookViewId="0">
      <selection activeCell="D25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>
        <v>46002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s="16" t="s">
        <v>140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68.86</v>
      </c>
      <c r="H6" s="17">
        <v>0</v>
      </c>
      <c r="I6" s="17">
        <v>0</v>
      </c>
      <c r="J6" s="17">
        <v>0</v>
      </c>
      <c r="K6" s="38">
        <f>SUM(B6:J6)</f>
        <v>68.86</v>
      </c>
      <c r="L6" s="39"/>
      <c r="M6" s="17">
        <v>68.86</v>
      </c>
      <c r="N6" s="40">
        <f t="shared" si="0"/>
        <v>0</v>
      </c>
      <c r="O6" s="40">
        <f t="shared" si="1"/>
        <v>0</v>
      </c>
    </row>
    <row r="7" spans="1:15" ht="16.5" customHeight="1">
      <c r="A7" s="16" t="s">
        <v>26</v>
      </c>
      <c r="B7" s="17">
        <v>0</v>
      </c>
      <c r="C7" s="17">
        <v>38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38</v>
      </c>
      <c r="L7" s="39"/>
      <c r="M7" s="17">
        <v>38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s="16" t="s">
        <v>27</v>
      </c>
      <c r="B10" s="17">
        <v>14</v>
      </c>
      <c r="C10" s="17">
        <f>25+20+25</f>
        <v>70</v>
      </c>
      <c r="D10" s="17">
        <v>32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116</v>
      </c>
      <c r="L10" s="39"/>
      <c r="M10" s="17">
        <v>116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14</v>
      </c>
      <c r="C11" s="42">
        <f t="shared" si="2"/>
        <v>108</v>
      </c>
      <c r="D11" s="42">
        <f t="shared" si="2"/>
        <v>32</v>
      </c>
      <c r="E11" s="42">
        <f t="shared" si="2"/>
        <v>0</v>
      </c>
      <c r="F11" s="42">
        <f t="shared" si="2"/>
        <v>0</v>
      </c>
      <c r="G11" s="42">
        <f t="shared" si="2"/>
        <v>68.86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222.86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>
        <v>46002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2</v>
      </c>
      <c r="D19" s="25">
        <f t="shared" si="3"/>
        <v>10</v>
      </c>
    </row>
    <row r="20" spans="1:7" ht="16.5">
      <c r="A20" s="27" t="s">
        <v>21</v>
      </c>
      <c r="B20" s="23" t="s">
        <v>20</v>
      </c>
      <c r="C20" s="24">
        <v>4</v>
      </c>
      <c r="D20" s="25">
        <f>+C20*1</f>
        <v>4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14</v>
      </c>
    </row>
    <row r="24" spans="1:7">
      <c r="A24" t="s">
        <v>23</v>
      </c>
      <c r="D24" s="33">
        <f>20+151+96+14</f>
        <v>281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9A98-3FC1-47CF-B0DE-6DB8B5FF1415}">
  <dimension ref="A1:O28"/>
  <sheetViews>
    <sheetView workbookViewId="0">
      <selection activeCell="J17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141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84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64</v>
      </c>
      <c r="H6" s="17">
        <v>0</v>
      </c>
      <c r="I6" s="17">
        <v>0</v>
      </c>
      <c r="J6" s="17">
        <v>0</v>
      </c>
      <c r="K6" s="38">
        <f>SUM(B6:J6)</f>
        <v>64</v>
      </c>
      <c r="L6" s="39"/>
      <c r="M6" s="17">
        <v>64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26</v>
      </c>
      <c r="B7" s="17">
        <v>231</v>
      </c>
      <c r="C7" s="17">
        <f>114+24+36+57+15+192+42+52+27+32+32+42+25+21+5+26+7+7+20+110+84</f>
        <v>970</v>
      </c>
      <c r="D7" s="17">
        <v>128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1329</v>
      </c>
      <c r="L7" s="39"/>
      <c r="M7" s="17">
        <v>1329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24</v>
      </c>
      <c r="B10" s="17">
        <v>357</v>
      </c>
      <c r="C10" s="17">
        <f>220+25+24+54+20+15+121+21+25+20+250+13+24+49+48+48+20+42</f>
        <v>1039</v>
      </c>
      <c r="D10" s="17">
        <v>232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1628</v>
      </c>
      <c r="L10" s="39"/>
      <c r="M10" s="17">
        <v>1628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588</v>
      </c>
      <c r="C11" s="42">
        <f t="shared" si="2"/>
        <v>2009</v>
      </c>
      <c r="D11" s="42">
        <f t="shared" si="2"/>
        <v>360</v>
      </c>
      <c r="E11" s="42">
        <f t="shared" si="2"/>
        <v>0</v>
      </c>
      <c r="F11" s="42">
        <f t="shared" si="2"/>
        <v>0</v>
      </c>
      <c r="G11" s="42">
        <f t="shared" si="2"/>
        <v>64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3021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141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7</v>
      </c>
      <c r="D19" s="25">
        <f t="shared" si="3"/>
        <v>35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588</v>
      </c>
    </row>
    <row r="24" spans="1:7">
      <c r="A24" t="s">
        <v>23</v>
      </c>
      <c r="D24" s="33">
        <f>20+151+96+14+588</f>
        <v>869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6FC7-B2F9-4E7B-A7C9-88037A3E2B49}">
  <dimension ref="A1:O28"/>
  <sheetViews>
    <sheetView workbookViewId="0">
      <selection activeCell="D25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142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64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64</v>
      </c>
      <c r="L5" s="39"/>
      <c r="M5" s="17">
        <v>64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499</v>
      </c>
      <c r="C6" s="17">
        <f>64+15+298+48+24+40+96+26+52</f>
        <v>663</v>
      </c>
      <c r="D6" s="17">
        <v>64</v>
      </c>
      <c r="E6" s="17">
        <v>0</v>
      </c>
      <c r="F6" s="17">
        <v>0</v>
      </c>
      <c r="G6" s="17">
        <v>0</v>
      </c>
      <c r="H6" s="17">
        <v>0</v>
      </c>
      <c r="I6" s="17">
        <v>138</v>
      </c>
      <c r="J6" s="17">
        <v>0</v>
      </c>
      <c r="K6" s="38">
        <f>SUM(B6:J6)</f>
        <v>1364</v>
      </c>
      <c r="L6" s="39"/>
      <c r="M6" s="17">
        <v>1364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25</v>
      </c>
      <c r="B7" s="17">
        <v>449</v>
      </c>
      <c r="C7" s="17">
        <f>100+22+138+32+27+26+89+32+26+32+32+44+2+26+100+26+40+64+122+32</f>
        <v>1012</v>
      </c>
      <c r="D7" s="17">
        <v>84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1545</v>
      </c>
      <c r="L7" s="39"/>
      <c r="M7" s="17">
        <v>1545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948</v>
      </c>
      <c r="C11" s="42">
        <f t="shared" si="2"/>
        <v>1675</v>
      </c>
      <c r="D11" s="42">
        <f t="shared" si="2"/>
        <v>212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138</v>
      </c>
      <c r="J11" s="42">
        <f t="shared" si="2"/>
        <v>0</v>
      </c>
      <c r="K11" s="42">
        <f t="shared" si="2"/>
        <v>2973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142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</row>
    <row r="16" spans="1:15" ht="16.5">
      <c r="A16" s="26">
        <v>50</v>
      </c>
      <c r="B16" s="23" t="s">
        <v>20</v>
      </c>
      <c r="C16" s="24">
        <v>4</v>
      </c>
      <c r="D16" s="25">
        <f t="shared" si="3"/>
        <v>200</v>
      </c>
    </row>
    <row r="17" spans="1:7" ht="16.5">
      <c r="A17" s="26">
        <v>20</v>
      </c>
      <c r="B17" s="23" t="s">
        <v>20</v>
      </c>
      <c r="C17" s="24">
        <v>3</v>
      </c>
      <c r="D17" s="25">
        <f t="shared" si="3"/>
        <v>60</v>
      </c>
    </row>
    <row r="18" spans="1:7" ht="16.5">
      <c r="A18" s="26">
        <v>10</v>
      </c>
      <c r="B18" s="23" t="s">
        <v>20</v>
      </c>
      <c r="C18" s="24">
        <v>13</v>
      </c>
      <c r="D18" s="25">
        <f t="shared" si="3"/>
        <v>130</v>
      </c>
    </row>
    <row r="19" spans="1:7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7" ht="16.5">
      <c r="A20" s="27" t="s">
        <v>21</v>
      </c>
      <c r="B20" s="23" t="s">
        <v>20</v>
      </c>
      <c r="C20" s="24">
        <v>8</v>
      </c>
      <c r="D20" s="25">
        <f>+C20*1</f>
        <v>8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948</v>
      </c>
    </row>
    <row r="24" spans="1:7">
      <c r="A24" t="s">
        <v>23</v>
      </c>
      <c r="D24" s="33">
        <f>20+151+96+14+588+948</f>
        <v>1817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1F6F-3426-4ED7-903F-D5A20472F953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143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113</v>
      </c>
      <c r="B6" s="17">
        <v>307</v>
      </c>
      <c r="C6" s="17">
        <f>51+64+26+25+50+26+2</f>
        <v>244</v>
      </c>
      <c r="D6" s="17">
        <v>128</v>
      </c>
      <c r="E6" s="17">
        <v>0</v>
      </c>
      <c r="F6" s="17">
        <v>0</v>
      </c>
      <c r="G6" s="17">
        <v>0</v>
      </c>
      <c r="H6" s="17">
        <v>0</v>
      </c>
      <c r="I6" s="17">
        <v>26</v>
      </c>
      <c r="J6" s="17">
        <v>0</v>
      </c>
      <c r="K6" s="38">
        <f>SUM(B6:J6)</f>
        <v>705</v>
      </c>
      <c r="L6" s="39"/>
      <c r="M6" s="17">
        <v>705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24</v>
      </c>
      <c r="B7" s="17">
        <v>0</v>
      </c>
      <c r="C7" s="17">
        <f>40+96+20+5+20+64+25+42+32+24+24+20+26+64</f>
        <v>502</v>
      </c>
      <c r="D7" s="17">
        <v>64</v>
      </c>
      <c r="E7" s="17">
        <v>0</v>
      </c>
      <c r="F7" s="17">
        <v>0</v>
      </c>
      <c r="G7" s="17">
        <v>0</v>
      </c>
      <c r="H7" s="17">
        <v>0</v>
      </c>
      <c r="I7" s="17">
        <v>24</v>
      </c>
      <c r="J7" s="17">
        <v>0</v>
      </c>
      <c r="K7" s="38">
        <f>SUM(B7:J7)</f>
        <v>590</v>
      </c>
      <c r="L7" s="39"/>
      <c r="M7" s="17">
        <v>590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307</v>
      </c>
      <c r="C11" s="42">
        <f t="shared" si="2"/>
        <v>746</v>
      </c>
      <c r="D11" s="42">
        <f t="shared" si="2"/>
        <v>192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50</v>
      </c>
      <c r="J11" s="42">
        <f t="shared" si="2"/>
        <v>0</v>
      </c>
      <c r="K11" s="42">
        <f t="shared" si="2"/>
        <v>1295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143</v>
      </c>
      <c r="B13" s="50"/>
      <c r="C13" s="50"/>
      <c r="D13" s="51"/>
      <c r="H13" t="s">
        <v>58</v>
      </c>
      <c r="L13" s="49" t="s">
        <v>144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L14" s="22">
        <v>500</v>
      </c>
      <c r="M14" s="23" t="s">
        <v>20</v>
      </c>
      <c r="N14" s="24">
        <v>0</v>
      </c>
      <c r="O14" s="25">
        <f t="shared" ref="O14:O19" si="4">L14*N14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  <c r="L15" s="26">
        <v>100</v>
      </c>
      <c r="M15" s="23" t="s">
        <v>20</v>
      </c>
      <c r="N15" s="24">
        <v>17</v>
      </c>
      <c r="O15" s="25">
        <f t="shared" si="4"/>
        <v>1700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L16" s="26">
        <v>50</v>
      </c>
      <c r="M16" s="23" t="s">
        <v>20</v>
      </c>
      <c r="N16" s="24">
        <v>8</v>
      </c>
      <c r="O16" s="25">
        <f t="shared" si="4"/>
        <v>400</v>
      </c>
    </row>
    <row r="17" spans="1:15" ht="16.5">
      <c r="A17" s="26">
        <v>20</v>
      </c>
      <c r="B17" s="23" t="s">
        <v>20</v>
      </c>
      <c r="C17" s="24">
        <v>0</v>
      </c>
      <c r="D17" s="25">
        <f t="shared" si="3"/>
        <v>0</v>
      </c>
      <c r="L17" s="26">
        <v>20</v>
      </c>
      <c r="M17" s="23" t="s">
        <v>20</v>
      </c>
      <c r="N17" s="24">
        <v>1</v>
      </c>
      <c r="O17" s="25">
        <f t="shared" si="4"/>
        <v>20</v>
      </c>
    </row>
    <row r="18" spans="1:15" ht="16.5">
      <c r="A18" s="26">
        <v>10</v>
      </c>
      <c r="B18" s="23" t="s">
        <v>20</v>
      </c>
      <c r="C18" s="24">
        <v>0</v>
      </c>
      <c r="D18" s="25">
        <f t="shared" si="3"/>
        <v>0</v>
      </c>
      <c r="L18" s="26">
        <v>10</v>
      </c>
      <c r="M18" s="23" t="s">
        <v>20</v>
      </c>
      <c r="N18" s="24">
        <v>0</v>
      </c>
      <c r="O18" s="25">
        <f t="shared" si="4"/>
        <v>0</v>
      </c>
    </row>
    <row r="19" spans="1:15" ht="16.5">
      <c r="A19" s="26">
        <v>5</v>
      </c>
      <c r="B19" s="23" t="s">
        <v>20</v>
      </c>
      <c r="C19" s="24">
        <v>11</v>
      </c>
      <c r="D19" s="25">
        <f t="shared" si="3"/>
        <v>55</v>
      </c>
      <c r="L19" s="26">
        <v>5</v>
      </c>
      <c r="M19" s="23" t="s">
        <v>20</v>
      </c>
      <c r="N19" s="24">
        <v>0</v>
      </c>
      <c r="O19" s="25">
        <f t="shared" si="4"/>
        <v>0</v>
      </c>
    </row>
    <row r="20" spans="1:15" ht="16.5">
      <c r="A20" s="27" t="s">
        <v>21</v>
      </c>
      <c r="B20" s="23" t="s">
        <v>20</v>
      </c>
      <c r="C20" s="24">
        <v>2</v>
      </c>
      <c r="D20" s="25">
        <f>+C20*1</f>
        <v>2</v>
      </c>
      <c r="L20" s="27" t="s">
        <v>21</v>
      </c>
      <c r="M20" s="23" t="s">
        <v>20</v>
      </c>
      <c r="N20" s="24">
        <v>4</v>
      </c>
      <c r="O20" s="25">
        <f>+N20*1</f>
        <v>4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307</v>
      </c>
      <c r="L22" s="29" t="s">
        <v>22</v>
      </c>
      <c r="M22" s="30"/>
      <c r="N22" s="31"/>
      <c r="O22" s="32">
        <f>SUM(O14:O21)</f>
        <v>2124</v>
      </c>
    </row>
    <row r="24" spans="1:15">
      <c r="A24" t="s">
        <v>23</v>
      </c>
      <c r="D24" s="33">
        <f>20+151+96+14+588+948+307</f>
        <v>2124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74F8-D24A-4091-A874-AD4B37933B48}">
  <dimension ref="A1:O28"/>
  <sheetViews>
    <sheetView workbookViewId="0">
      <selection activeCell="A1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145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26</v>
      </c>
      <c r="B6" s="17">
        <v>68</v>
      </c>
      <c r="C6" s="17">
        <f>64+128</f>
        <v>192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260</v>
      </c>
      <c r="L6" s="39"/>
      <c r="M6" s="17">
        <v>260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24</v>
      </c>
      <c r="B7" s="17">
        <v>0</v>
      </c>
      <c r="C7" s="17">
        <f>42+38+15</f>
        <v>95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95</v>
      </c>
      <c r="L7" s="39"/>
      <c r="M7" s="17">
        <v>95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68</v>
      </c>
      <c r="C11" s="42">
        <f t="shared" si="2"/>
        <v>287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355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145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13</v>
      </c>
      <c r="D19" s="25">
        <f t="shared" si="3"/>
        <v>65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68</v>
      </c>
    </row>
    <row r="24" spans="1:7">
      <c r="A24" t="s">
        <v>23</v>
      </c>
      <c r="D24" s="33">
        <v>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BC07-051F-4153-B686-EE72EAD76863}">
  <dimension ref="A1:O28"/>
  <sheetViews>
    <sheetView workbookViewId="0">
      <selection activeCell="H27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146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19</v>
      </c>
      <c r="B6" s="17">
        <v>192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192</v>
      </c>
      <c r="L6" s="39"/>
      <c r="M6" s="17">
        <v>192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25</v>
      </c>
      <c r="B7" s="17">
        <v>0</v>
      </c>
      <c r="C7" s="17">
        <f>72+26+26</f>
        <v>124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124</v>
      </c>
      <c r="L7" s="39"/>
      <c r="M7" s="17">
        <v>124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192</v>
      </c>
      <c r="C11" s="42">
        <f t="shared" si="2"/>
        <v>124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316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146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18</v>
      </c>
      <c r="D19" s="25">
        <f t="shared" si="3"/>
        <v>90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192</v>
      </c>
    </row>
    <row r="24" spans="1:7">
      <c r="A24" t="s">
        <v>23</v>
      </c>
      <c r="D24" s="33">
        <v>192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4241-AB40-420D-8B6F-C923FEB46C57}">
  <dimension ref="A1:O28"/>
  <sheetViews>
    <sheetView workbookViewId="0">
      <selection activeCell="A1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147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84</v>
      </c>
      <c r="B6" s="17">
        <v>123</v>
      </c>
      <c r="C6" s="17">
        <v>2565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2688</v>
      </c>
      <c r="L6" s="39"/>
      <c r="M6" s="17">
        <v>2688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31</v>
      </c>
      <c r="B7" s="17">
        <v>0</v>
      </c>
      <c r="C7" s="17">
        <f>64+32</f>
        <v>96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96</v>
      </c>
      <c r="L7" s="39"/>
      <c r="M7" s="17">
        <v>96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24</v>
      </c>
      <c r="B10" s="17">
        <v>25</v>
      </c>
      <c r="C10" s="17">
        <f>96+20+60+90+26+20+64</f>
        <v>376</v>
      </c>
      <c r="D10" s="17">
        <v>0</v>
      </c>
      <c r="E10" s="17">
        <v>0</v>
      </c>
      <c r="F10" s="17">
        <v>64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465</v>
      </c>
      <c r="L10" s="39"/>
      <c r="M10" s="17">
        <v>465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148</v>
      </c>
      <c r="C11" s="42">
        <f t="shared" si="2"/>
        <v>3037</v>
      </c>
      <c r="D11" s="42">
        <f t="shared" si="2"/>
        <v>0</v>
      </c>
      <c r="E11" s="42">
        <f t="shared" si="2"/>
        <v>0</v>
      </c>
      <c r="F11" s="42">
        <f t="shared" si="2"/>
        <v>64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3249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147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3</v>
      </c>
      <c r="D20" s="25">
        <f>+C20*1</f>
        <v>3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148</v>
      </c>
    </row>
    <row r="24" spans="1:7">
      <c r="A24" t="s">
        <v>23</v>
      </c>
      <c r="D24" s="33">
        <f>192+148</f>
        <v>340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DED6-1584-4082-924E-257205F89CA4}">
  <dimension ref="A1:O28"/>
  <sheetViews>
    <sheetView workbookViewId="0">
      <selection activeCell="L14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148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26</v>
      </c>
      <c r="B6" s="17">
        <v>0</v>
      </c>
      <c r="C6" s="17">
        <v>24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24</v>
      </c>
      <c r="L6" s="39"/>
      <c r="M6" s="17">
        <v>24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24</v>
      </c>
      <c r="B7" s="17">
        <v>61</v>
      </c>
      <c r="C7" s="17">
        <f>56+25+196+64+42+64+96+32</f>
        <v>575</v>
      </c>
      <c r="D7" s="17">
        <v>0</v>
      </c>
      <c r="E7" s="17">
        <v>0</v>
      </c>
      <c r="F7" s="17">
        <v>64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700</v>
      </c>
      <c r="L7" s="39"/>
      <c r="M7" s="17">
        <v>700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61</v>
      </c>
      <c r="C11" s="42">
        <f t="shared" si="2"/>
        <v>599</v>
      </c>
      <c r="D11" s="42">
        <f t="shared" si="2"/>
        <v>0</v>
      </c>
      <c r="E11" s="42">
        <f t="shared" si="2"/>
        <v>0</v>
      </c>
      <c r="F11" s="42">
        <f t="shared" si="2"/>
        <v>64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724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148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2</v>
      </c>
      <c r="D17" s="25">
        <f t="shared" si="3"/>
        <v>40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4</v>
      </c>
      <c r="D19" s="25">
        <f t="shared" si="3"/>
        <v>20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61</v>
      </c>
    </row>
    <row r="24" spans="1:7">
      <c r="A24" t="s">
        <v>23</v>
      </c>
      <c r="D24" s="33">
        <f>192+148+61</f>
        <v>401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453-F3E9-40DA-921D-503762FDBF1C}">
  <dimension ref="A1:O28"/>
  <sheetViews>
    <sheetView workbookViewId="0">
      <selection activeCell="I19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149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205</v>
      </c>
      <c r="C6" s="17">
        <f>32+26+122+62</f>
        <v>242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447</v>
      </c>
      <c r="L6" s="39"/>
      <c r="M6" s="17">
        <v>447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25</v>
      </c>
      <c r="B7" s="17">
        <v>200</v>
      </c>
      <c r="C7" s="17">
        <f>73+64+64+22+32+25+96+24+30+7+20+20+26+122+71+286</f>
        <v>982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1182</v>
      </c>
      <c r="L7" s="39"/>
      <c r="M7" s="17">
        <v>1182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405</v>
      </c>
      <c r="C11" s="42">
        <f t="shared" si="2"/>
        <v>1224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1629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149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4</v>
      </c>
      <c r="D15" s="25">
        <f t="shared" si="3"/>
        <v>400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</v>
      </c>
      <c r="D19" s="25">
        <f t="shared" si="3"/>
        <v>5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405</v>
      </c>
    </row>
    <row r="24" spans="1:7">
      <c r="A24" t="s">
        <v>23</v>
      </c>
      <c r="D24" s="33">
        <f>192+148+61+405</f>
        <v>806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8049-C093-453E-A5B0-2A21C9E68481}">
  <dimension ref="A1:O28"/>
  <sheetViews>
    <sheetView workbookViewId="0">
      <selection activeCell="I2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150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96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96</v>
      </c>
      <c r="L5" s="39"/>
      <c r="M5" s="17">
        <v>96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113</v>
      </c>
      <c r="B6" s="17">
        <v>525</v>
      </c>
      <c r="C6" s="17">
        <f>135+10+24+25+24+20+15+26+24+20+72+20+24+20+42+12+32+128+146+27+124+20+15+128</f>
        <v>1133</v>
      </c>
      <c r="D6" s="17">
        <v>508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2166</v>
      </c>
      <c r="L6" s="39"/>
      <c r="M6" s="17">
        <v>2166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24</v>
      </c>
      <c r="B7" s="17">
        <v>218</v>
      </c>
      <c r="C7" s="17">
        <f>27+32+7+78+40+96+10+25+38+128+26+27+64+96+15+122</f>
        <v>831</v>
      </c>
      <c r="D7" s="17">
        <v>600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1649</v>
      </c>
      <c r="L7" s="39"/>
      <c r="M7" s="17">
        <v>1649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743</v>
      </c>
      <c r="C11" s="42">
        <f t="shared" si="2"/>
        <v>1964</v>
      </c>
      <c r="D11" s="42">
        <f t="shared" si="2"/>
        <v>1204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3911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150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7</v>
      </c>
      <c r="D15" s="25">
        <f t="shared" si="3"/>
        <v>700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5</v>
      </c>
      <c r="D19" s="25">
        <f t="shared" si="3"/>
        <v>25</v>
      </c>
    </row>
    <row r="20" spans="1:7" ht="16.5">
      <c r="A20" s="27" t="s">
        <v>21</v>
      </c>
      <c r="B20" s="23" t="s">
        <v>20</v>
      </c>
      <c r="C20" s="24">
        <v>8</v>
      </c>
      <c r="D20" s="25">
        <f>+C20*1</f>
        <v>8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743</v>
      </c>
    </row>
    <row r="24" spans="1:7">
      <c r="A24" t="s">
        <v>23</v>
      </c>
      <c r="D24" s="33">
        <f>192+148+61+405+743</f>
        <v>1549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9503-DDA4-456E-BDFA-5D1650133C5F}">
  <dimension ref="A1:O28"/>
  <sheetViews>
    <sheetView workbookViewId="0">
      <selection activeCell="A12" sqref="A1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151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32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32</v>
      </c>
      <c r="L5" s="39"/>
      <c r="M5" s="17">
        <v>32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430</v>
      </c>
      <c r="C6" s="17">
        <f>120+64+20+24+115+7+64+58+10+48</f>
        <v>530</v>
      </c>
      <c r="D6" s="17">
        <v>96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1056</v>
      </c>
      <c r="L6" s="39"/>
      <c r="M6" s="17">
        <v>1056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25</v>
      </c>
      <c r="B7" s="17">
        <v>351</v>
      </c>
      <c r="C7" s="17">
        <f>32+138+12+154+32+16+42+32+32+24+20</f>
        <v>534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885</v>
      </c>
      <c r="L7" s="39"/>
      <c r="M7" s="17">
        <v>885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781</v>
      </c>
      <c r="C11" s="42">
        <f t="shared" si="2"/>
        <v>1064</v>
      </c>
      <c r="D11" s="42">
        <f t="shared" si="2"/>
        <v>128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1973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34" t="s">
        <v>29</v>
      </c>
    </row>
    <row r="13" spans="1:15" ht="17.25" thickBot="1">
      <c r="A13" s="49" t="s">
        <v>151</v>
      </c>
      <c r="B13" s="50"/>
      <c r="C13" s="50"/>
      <c r="D13" s="51"/>
      <c r="H13" t="s">
        <v>58</v>
      </c>
      <c r="L13" s="49" t="s">
        <v>151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L14" s="22">
        <v>500</v>
      </c>
      <c r="M14" s="23" t="s">
        <v>20</v>
      </c>
      <c r="N14" s="24">
        <v>0</v>
      </c>
      <c r="O14" s="25">
        <f t="shared" ref="O14:O19" si="4">L14*N14</f>
        <v>0</v>
      </c>
    </row>
    <row r="15" spans="1:15" ht="16.5">
      <c r="A15" s="26">
        <v>100</v>
      </c>
      <c r="B15" s="23" t="s">
        <v>20</v>
      </c>
      <c r="C15" s="24">
        <v>3</v>
      </c>
      <c r="D15" s="25">
        <f t="shared" si="3"/>
        <v>300</v>
      </c>
      <c r="L15" s="26">
        <v>100</v>
      </c>
      <c r="M15" s="23" t="s">
        <v>20</v>
      </c>
      <c r="N15" s="24">
        <v>19</v>
      </c>
      <c r="O15" s="25">
        <f t="shared" si="4"/>
        <v>1900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L16" s="26">
        <v>50</v>
      </c>
      <c r="M16" s="23" t="s">
        <v>20</v>
      </c>
      <c r="N16" s="24">
        <v>2</v>
      </c>
      <c r="O16" s="25">
        <f t="shared" si="4"/>
        <v>100</v>
      </c>
    </row>
    <row r="17" spans="1:15" ht="16.5">
      <c r="A17" s="26">
        <v>20</v>
      </c>
      <c r="B17" s="23" t="s">
        <v>20</v>
      </c>
      <c r="C17" s="24">
        <v>4</v>
      </c>
      <c r="D17" s="25">
        <f t="shared" si="3"/>
        <v>80</v>
      </c>
      <c r="L17" s="26">
        <v>20</v>
      </c>
      <c r="M17" s="23" t="s">
        <v>20</v>
      </c>
      <c r="N17" s="24">
        <v>7</v>
      </c>
      <c r="O17" s="25">
        <f t="shared" si="4"/>
        <v>140</v>
      </c>
    </row>
    <row r="18" spans="1:15" ht="16.5">
      <c r="A18" s="26">
        <v>10</v>
      </c>
      <c r="B18" s="23" t="s">
        <v>20</v>
      </c>
      <c r="C18" s="24">
        <v>23</v>
      </c>
      <c r="D18" s="25">
        <f t="shared" si="3"/>
        <v>230</v>
      </c>
      <c r="L18" s="26">
        <v>10</v>
      </c>
      <c r="M18" s="23" t="s">
        <v>20</v>
      </c>
      <c r="N18" s="24">
        <v>1</v>
      </c>
      <c r="O18" s="25">
        <f t="shared" si="4"/>
        <v>10</v>
      </c>
    </row>
    <row r="19" spans="1:15" ht="16.5">
      <c r="A19" s="26">
        <v>5</v>
      </c>
      <c r="B19" s="23" t="s">
        <v>20</v>
      </c>
      <c r="C19" s="24">
        <v>24</v>
      </c>
      <c r="D19" s="25">
        <f t="shared" si="3"/>
        <v>120</v>
      </c>
      <c r="L19" s="26">
        <v>5</v>
      </c>
      <c r="M19" s="23" t="s">
        <v>20</v>
      </c>
      <c r="N19" s="24">
        <v>36</v>
      </c>
      <c r="O19" s="25">
        <f t="shared" si="4"/>
        <v>180</v>
      </c>
    </row>
    <row r="20" spans="1:15" ht="16.5">
      <c r="A20" s="27" t="s">
        <v>21</v>
      </c>
      <c r="B20" s="23" t="s">
        <v>20</v>
      </c>
      <c r="C20" s="24">
        <v>1</v>
      </c>
      <c r="D20" s="25">
        <f>+C20*1</f>
        <v>1</v>
      </c>
      <c r="L20" s="27" t="s">
        <v>21</v>
      </c>
      <c r="M20" s="23" t="s">
        <v>20</v>
      </c>
      <c r="N20" s="24">
        <v>0</v>
      </c>
      <c r="O20" s="25">
        <f>+N20*1</f>
        <v>0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781</v>
      </c>
      <c r="L22" s="29" t="s">
        <v>22</v>
      </c>
      <c r="M22" s="30"/>
      <c r="N22" s="31"/>
      <c r="O22" s="32">
        <f>SUM(O14:O21)</f>
        <v>2330</v>
      </c>
    </row>
    <row r="24" spans="1:15">
      <c r="A24" t="s">
        <v>23</v>
      </c>
      <c r="D24" s="33">
        <f>192+148+61+405+743+781</f>
        <v>2330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9402-F8F3-4A9D-8C65-128E101A4CE3}">
  <dimension ref="A1:O28"/>
  <sheetViews>
    <sheetView workbookViewId="0">
      <selection activeCell="K14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152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64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64</v>
      </c>
      <c r="L5" s="39"/>
      <c r="M5" s="17">
        <v>64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19</v>
      </c>
      <c r="B6" s="17">
        <v>185</v>
      </c>
      <c r="C6" s="17">
        <f>26+64</f>
        <v>90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275</v>
      </c>
      <c r="L6" s="39"/>
      <c r="M6" s="17">
        <v>273</v>
      </c>
      <c r="N6" s="40">
        <f t="shared" si="0"/>
        <v>2</v>
      </c>
      <c r="O6" s="40">
        <f t="shared" si="1"/>
        <v>0</v>
      </c>
    </row>
    <row r="7" spans="1:15" ht="16.5" customHeight="1">
      <c r="A7" t="s">
        <v>24</v>
      </c>
      <c r="B7" s="17">
        <v>122</v>
      </c>
      <c r="C7" s="17">
        <f>27+20+26+116+20+20+20+20+20+25+130+20</f>
        <v>464</v>
      </c>
      <c r="D7" s="17">
        <v>96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682</v>
      </c>
      <c r="L7" s="39"/>
      <c r="M7" s="17">
        <v>682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307</v>
      </c>
      <c r="C11" s="42">
        <f t="shared" si="2"/>
        <v>554</v>
      </c>
      <c r="D11" s="42">
        <f t="shared" si="2"/>
        <v>160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1021</v>
      </c>
      <c r="L11" s="43"/>
      <c r="M11" s="42">
        <v>0</v>
      </c>
      <c r="N11" s="42">
        <f>SUM(N4:N10)</f>
        <v>2</v>
      </c>
      <c r="O11" s="42">
        <f>SUM(O4:O10)</f>
        <v>0</v>
      </c>
    </row>
    <row r="12" spans="1:15" ht="15.75" thickBot="1"/>
    <row r="13" spans="1:15" ht="17.25" thickBot="1">
      <c r="A13" s="49" t="s">
        <v>152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13</v>
      </c>
      <c r="D18" s="25">
        <f t="shared" si="3"/>
        <v>130</v>
      </c>
    </row>
    <row r="19" spans="1:7" ht="16.5">
      <c r="A19" s="26">
        <v>5</v>
      </c>
      <c r="B19" s="23" t="s">
        <v>20</v>
      </c>
      <c r="C19" s="24">
        <v>5</v>
      </c>
      <c r="D19" s="25">
        <f t="shared" si="3"/>
        <v>25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307</v>
      </c>
    </row>
    <row r="24" spans="1:7">
      <c r="A24" t="s">
        <v>23</v>
      </c>
      <c r="D24" s="33">
        <v>307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3CF4-A817-4173-9CA2-0084993AFBD9}">
  <dimension ref="A1:O28"/>
  <sheetViews>
    <sheetView workbookViewId="0">
      <selection activeCell="D25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153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20</v>
      </c>
      <c r="C6" s="17">
        <f>40+40+64+32+106+66+44+20+40+32+64+49+84+41+45+45+27</f>
        <v>839</v>
      </c>
      <c r="D6" s="17">
        <v>224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1083</v>
      </c>
      <c r="L6" s="39"/>
      <c r="M6" s="17">
        <v>1083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25</v>
      </c>
      <c r="B7" s="17">
        <v>110</v>
      </c>
      <c r="C7" s="17">
        <f>7+50+26+25+89+7+7+84+44+26+50+20+53+102+114+88+84+64+42+7+26+33+26+25+32+54+47+64</f>
        <v>1296</v>
      </c>
      <c r="D7" s="17">
        <v>128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1534</v>
      </c>
      <c r="L7" s="39"/>
      <c r="M7" s="17">
        <v>1534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130</v>
      </c>
      <c r="C11" s="42">
        <f t="shared" si="2"/>
        <v>2135</v>
      </c>
      <c r="D11" s="42">
        <f t="shared" si="2"/>
        <v>352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2617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153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16</v>
      </c>
      <c r="D19" s="25">
        <f t="shared" si="3"/>
        <v>80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130</v>
      </c>
    </row>
    <row r="24" spans="1:7">
      <c r="A24" t="s">
        <v>23</v>
      </c>
      <c r="D24" s="33">
        <f>307+130</f>
        <v>437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6CCC-4DDA-449F-A669-560F6FFEB9AC}">
  <dimension ref="A1:O28"/>
  <sheetViews>
    <sheetView workbookViewId="0">
      <selection activeCell="I20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154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27</v>
      </c>
      <c r="B6" s="17">
        <v>64</v>
      </c>
      <c r="C6" s="17">
        <f>92+26+88+20+24+24+24</f>
        <v>298</v>
      </c>
      <c r="D6" s="17">
        <v>0</v>
      </c>
      <c r="E6" s="17">
        <v>0</v>
      </c>
      <c r="F6" s="17">
        <v>32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394</v>
      </c>
      <c r="L6" s="39"/>
      <c r="M6" s="17">
        <v>394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24</v>
      </c>
      <c r="B7" s="17">
        <v>148</v>
      </c>
      <c r="C7" s="17">
        <f>96+32+26+64+44+64+40+42+32+48+64+12+26+34+32+24+116+24+106+59+26+79</f>
        <v>1090</v>
      </c>
      <c r="D7" s="17">
        <v>212</v>
      </c>
      <c r="E7" s="17">
        <v>0</v>
      </c>
      <c r="F7" s="17">
        <v>128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1578</v>
      </c>
      <c r="L7" s="39"/>
      <c r="M7" s="17">
        <v>1578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212</v>
      </c>
      <c r="C11" s="42">
        <f t="shared" si="2"/>
        <v>1388</v>
      </c>
      <c r="D11" s="42">
        <f t="shared" si="2"/>
        <v>212</v>
      </c>
      <c r="E11" s="42">
        <f t="shared" si="2"/>
        <v>0</v>
      </c>
      <c r="F11" s="42">
        <f t="shared" si="2"/>
        <v>160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1972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154</v>
      </c>
      <c r="B13" s="50"/>
      <c r="C13" s="50"/>
      <c r="D13" s="51"/>
      <c r="H13" t="s">
        <v>58</v>
      </c>
      <c r="L13" s="49" t="s">
        <v>155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L14" s="22">
        <v>500</v>
      </c>
      <c r="M14" s="23" t="s">
        <v>20</v>
      </c>
      <c r="N14" s="24">
        <v>1</v>
      </c>
      <c r="O14" s="25">
        <f t="shared" ref="O14:O19" si="4">L14*N14</f>
        <v>500</v>
      </c>
    </row>
    <row r="15" spans="1:15" ht="16.5">
      <c r="A15" s="26">
        <v>100</v>
      </c>
      <c r="B15" s="23" t="s">
        <v>20</v>
      </c>
      <c r="C15" s="24">
        <v>1</v>
      </c>
      <c r="D15" s="25">
        <f t="shared" si="3"/>
        <v>100</v>
      </c>
      <c r="L15" s="26">
        <v>100</v>
      </c>
      <c r="M15" s="23" t="s">
        <v>20</v>
      </c>
      <c r="N15" s="24">
        <v>0</v>
      </c>
      <c r="O15" s="25">
        <f t="shared" si="4"/>
        <v>0</v>
      </c>
    </row>
    <row r="16" spans="1:15" ht="16.5">
      <c r="A16" s="26">
        <v>50</v>
      </c>
      <c r="B16" s="23" t="s">
        <v>20</v>
      </c>
      <c r="C16" s="24">
        <v>1</v>
      </c>
      <c r="D16" s="25">
        <f t="shared" si="3"/>
        <v>50</v>
      </c>
      <c r="L16" s="26">
        <v>50</v>
      </c>
      <c r="M16" s="23" t="s">
        <v>20</v>
      </c>
      <c r="N16" s="24">
        <v>0</v>
      </c>
      <c r="O16" s="25">
        <f t="shared" si="4"/>
        <v>0</v>
      </c>
    </row>
    <row r="17" spans="1:15" ht="16.5">
      <c r="A17" s="26">
        <v>20</v>
      </c>
      <c r="B17" s="23" t="s">
        <v>20</v>
      </c>
      <c r="C17" s="24">
        <v>1</v>
      </c>
      <c r="D17" s="25">
        <f t="shared" si="3"/>
        <v>20</v>
      </c>
      <c r="L17" s="26">
        <v>20</v>
      </c>
      <c r="M17" s="23" t="s">
        <v>20</v>
      </c>
      <c r="N17" s="24">
        <v>0</v>
      </c>
      <c r="O17" s="25">
        <f t="shared" si="4"/>
        <v>0</v>
      </c>
    </row>
    <row r="18" spans="1:15" ht="16.5">
      <c r="A18" s="26">
        <v>10</v>
      </c>
      <c r="B18" s="23" t="s">
        <v>20</v>
      </c>
      <c r="C18" s="24">
        <v>1</v>
      </c>
      <c r="D18" s="25">
        <f t="shared" si="3"/>
        <v>10</v>
      </c>
      <c r="L18" s="26">
        <v>10</v>
      </c>
      <c r="M18" s="23" t="s">
        <v>20</v>
      </c>
      <c r="N18" s="24">
        <v>11</v>
      </c>
      <c r="O18" s="25">
        <f t="shared" si="4"/>
        <v>110</v>
      </c>
    </row>
    <row r="19" spans="1:15" ht="16.5">
      <c r="A19" s="26">
        <v>5</v>
      </c>
      <c r="B19" s="23" t="s">
        <v>20</v>
      </c>
      <c r="C19" s="24">
        <v>5</v>
      </c>
      <c r="D19" s="25">
        <f t="shared" si="3"/>
        <v>25</v>
      </c>
      <c r="L19" s="26">
        <v>5</v>
      </c>
      <c r="M19" s="23" t="s">
        <v>20</v>
      </c>
      <c r="N19" s="24">
        <v>6</v>
      </c>
      <c r="O19" s="25">
        <f t="shared" si="4"/>
        <v>30</v>
      </c>
    </row>
    <row r="20" spans="1:15" ht="16.5">
      <c r="A20" s="27" t="s">
        <v>21</v>
      </c>
      <c r="B20" s="23" t="s">
        <v>20</v>
      </c>
      <c r="C20" s="24">
        <v>7</v>
      </c>
      <c r="D20" s="25">
        <f>+C20*1</f>
        <v>7</v>
      </c>
      <c r="L20" s="27" t="s">
        <v>21</v>
      </c>
      <c r="M20" s="23" t="s">
        <v>20</v>
      </c>
      <c r="N20" s="24">
        <v>9</v>
      </c>
      <c r="O20" s="25">
        <f>+N20*1</f>
        <v>9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212</v>
      </c>
      <c r="L22" s="29" t="s">
        <v>22</v>
      </c>
      <c r="M22" s="30"/>
      <c r="N22" s="31"/>
      <c r="O22" s="32">
        <f>SUM(O14:O21)</f>
        <v>649</v>
      </c>
    </row>
    <row r="24" spans="1:15">
      <c r="A24" t="s">
        <v>23</v>
      </c>
      <c r="D24" s="33">
        <f>307+130+212</f>
        <v>649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E989-0F6D-4A70-BDEA-3DD4E31BF308}">
  <dimension ref="A1:O28"/>
  <sheetViews>
    <sheetView workbookViewId="0">
      <selection activeCell="A13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156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155</v>
      </c>
      <c r="C6" s="17">
        <f>14+128+20+26+71+32+20+32+20+24+24+14+91+64</f>
        <v>580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735</v>
      </c>
      <c r="L6" s="39"/>
      <c r="M6" s="17">
        <v>735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144</v>
      </c>
      <c r="C7" s="17">
        <f>20+32+20+32+20+64+20+20+20+32+27+108+26+20+64+20+32+32+7+20+26+54+64+26+40+20</f>
        <v>866</v>
      </c>
      <c r="D7" s="17">
        <v>64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1074</v>
      </c>
      <c r="L7" s="39"/>
      <c r="M7" s="17">
        <v>1074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s="16" t="s">
        <v>27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24</v>
      </c>
      <c r="B10" s="17">
        <v>26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26</v>
      </c>
      <c r="L10" s="39"/>
      <c r="M10" s="17">
        <v>26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325</v>
      </c>
      <c r="C11" s="42">
        <f t="shared" si="2"/>
        <v>1446</v>
      </c>
      <c r="D11" s="42">
        <f t="shared" si="2"/>
        <v>64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1835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/>
    <row r="13" spans="1:15" ht="17.25" thickBot="1">
      <c r="A13" s="49" t="s">
        <v>156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1</v>
      </c>
      <c r="D18" s="25">
        <f t="shared" si="3"/>
        <v>10</v>
      </c>
    </row>
    <row r="19" spans="1:7" ht="16.5">
      <c r="A19" s="26">
        <v>5</v>
      </c>
      <c r="B19" s="23" t="s">
        <v>20</v>
      </c>
      <c r="C19" s="24">
        <v>3</v>
      </c>
      <c r="D19" s="25">
        <f t="shared" si="3"/>
        <v>15</v>
      </c>
    </row>
    <row r="20" spans="1:7" ht="16.5">
      <c r="A20" s="27" t="s">
        <v>21</v>
      </c>
      <c r="B20" s="23" t="s">
        <v>20</v>
      </c>
      <c r="C20" s="24">
        <v>0</v>
      </c>
      <c r="D20" s="25">
        <f>+C20*1</f>
        <v>0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325</v>
      </c>
    </row>
    <row r="24" spans="1:7">
      <c r="A24" t="s">
        <v>23</v>
      </c>
      <c r="D24" s="33">
        <f>307+130+212+325</f>
        <v>974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C2C1-644C-4CB5-A61C-D6678D9F6A43}">
  <dimension ref="A1:O28"/>
  <sheetViews>
    <sheetView workbookViewId="0">
      <selection activeCell="C7" sqref="C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157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139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0</v>
      </c>
      <c r="C6" s="17">
        <f>7+65</f>
        <v>72</v>
      </c>
      <c r="D6" s="17">
        <v>0</v>
      </c>
      <c r="E6" s="17">
        <v>0</v>
      </c>
      <c r="F6" s="17">
        <v>128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200</v>
      </c>
      <c r="L6" s="39"/>
      <c r="M6" s="17">
        <v>200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485</v>
      </c>
      <c r="C7" s="17">
        <f>26+40+12+20+20+50+20+88+24+90+288+74+162+283+26+24+26+53+15+70+20+96+102+45+45+24+27+64+128+7+25+104+128+25+56+45+38+128</f>
        <v>2518</v>
      </c>
      <c r="D7" s="17">
        <v>1466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4469</v>
      </c>
      <c r="L7" s="39"/>
      <c r="M7" s="17">
        <v>4464</v>
      </c>
      <c r="N7" s="40">
        <f t="shared" si="0"/>
        <v>5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customHeight="1">
      <c r="A9" t="s">
        <v>24</v>
      </c>
      <c r="B9" s="17">
        <v>96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96</v>
      </c>
      <c r="L9" s="39"/>
      <c r="M9" s="17">
        <v>96</v>
      </c>
      <c r="N9" s="40">
        <f t="shared" si="0"/>
        <v>0</v>
      </c>
      <c r="O9" s="40">
        <f t="shared" si="1"/>
        <v>0</v>
      </c>
    </row>
    <row r="10" spans="1:15" ht="17.25" customHeight="1">
      <c r="A10" t="s">
        <v>25</v>
      </c>
      <c r="B10" s="17">
        <v>521</v>
      </c>
      <c r="C10" s="17">
        <f>24+56+26+24+144+50+4+24+80+72+22+26+214+64+90+26+224+160+84+72+24+96+82+25</f>
        <v>1713</v>
      </c>
      <c r="D10" s="17">
        <v>776</v>
      </c>
      <c r="E10" s="17">
        <v>0</v>
      </c>
      <c r="F10" s="17">
        <v>128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3138</v>
      </c>
      <c r="L10" s="39"/>
      <c r="M10" s="17">
        <v>3138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1102</v>
      </c>
      <c r="C11" s="42">
        <f t="shared" si="2"/>
        <v>4303</v>
      </c>
      <c r="D11" s="42">
        <f t="shared" si="2"/>
        <v>2242</v>
      </c>
      <c r="E11" s="42">
        <f t="shared" si="2"/>
        <v>0</v>
      </c>
      <c r="F11" s="42">
        <f t="shared" si="2"/>
        <v>256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7903</v>
      </c>
      <c r="L11" s="43"/>
      <c r="M11" s="42">
        <v>0</v>
      </c>
      <c r="N11" s="42">
        <f>SUM(N4:N10)</f>
        <v>5</v>
      </c>
      <c r="O11" s="42">
        <f>SUM(O4:O10)</f>
        <v>0</v>
      </c>
    </row>
    <row r="12" spans="1:15" ht="15.75" thickBot="1"/>
    <row r="13" spans="1:15" ht="17.25" thickBot="1">
      <c r="A13" s="49" t="s">
        <v>157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9</v>
      </c>
      <c r="D15" s="25">
        <f t="shared" si="3"/>
        <v>900</v>
      </c>
    </row>
    <row r="16" spans="1:15" ht="16.5">
      <c r="A16" s="26">
        <v>50</v>
      </c>
      <c r="B16" s="23" t="s">
        <v>20</v>
      </c>
      <c r="C16" s="24">
        <v>2</v>
      </c>
      <c r="D16" s="25">
        <f t="shared" si="3"/>
        <v>100</v>
      </c>
    </row>
    <row r="17" spans="1:7" ht="16.5">
      <c r="A17" s="26">
        <v>20</v>
      </c>
      <c r="B17" s="23" t="s">
        <v>20</v>
      </c>
      <c r="C17" s="24">
        <v>1</v>
      </c>
      <c r="D17" s="25">
        <f t="shared" si="3"/>
        <v>20</v>
      </c>
    </row>
    <row r="18" spans="1:7" ht="16.5">
      <c r="A18" s="26">
        <v>10</v>
      </c>
      <c r="B18" s="23" t="s">
        <v>20</v>
      </c>
      <c r="C18" s="24">
        <v>3</v>
      </c>
      <c r="D18" s="25">
        <f t="shared" si="3"/>
        <v>30</v>
      </c>
    </row>
    <row r="19" spans="1:7" ht="16.5">
      <c r="A19" s="26">
        <v>5</v>
      </c>
      <c r="B19" s="23" t="s">
        <v>20</v>
      </c>
      <c r="C19" s="24">
        <v>10</v>
      </c>
      <c r="D19" s="25">
        <f t="shared" si="3"/>
        <v>50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1102</v>
      </c>
    </row>
    <row r="24" spans="1:7">
      <c r="A24" t="s">
        <v>23</v>
      </c>
      <c r="D24" s="33">
        <f>307+130+212+325+1102</f>
        <v>2076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8052-9B45-41D7-8611-B4859054DFE3}">
  <dimension ref="A1:O28"/>
  <sheetViews>
    <sheetView workbookViewId="0">
      <selection activeCell="G17" sqref="G1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158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159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224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224</v>
      </c>
      <c r="L5" s="39"/>
      <c r="M5" s="17">
        <v>224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25</v>
      </c>
      <c r="B6" s="17">
        <v>255</v>
      </c>
      <c r="C6" s="17">
        <f>20+42+39+20+64+7+52+122+42+7+128+24+64+66+26</f>
        <v>723</v>
      </c>
      <c r="D6" s="17">
        <v>64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1042</v>
      </c>
      <c r="L6" s="39"/>
      <c r="M6" s="17">
        <v>1042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502</v>
      </c>
      <c r="C7" s="17">
        <f>15+164+232+32+32+32+32+64+54+104+14+24+24+128+32+26+24+26+19+40+40+20+84+84+20+40+20+104+32+39+136+26</f>
        <v>1763</v>
      </c>
      <c r="D7" s="17">
        <v>530</v>
      </c>
      <c r="E7" s="17">
        <v>0</v>
      </c>
      <c r="F7" s="17">
        <v>160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2955</v>
      </c>
      <c r="L7" s="39"/>
      <c r="M7" s="17">
        <v>2946</v>
      </c>
      <c r="N7" s="40">
        <f t="shared" si="0"/>
        <v>9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757</v>
      </c>
      <c r="C11" s="42">
        <f t="shared" si="2"/>
        <v>2486</v>
      </c>
      <c r="D11" s="42">
        <f t="shared" si="2"/>
        <v>818</v>
      </c>
      <c r="E11" s="42">
        <f t="shared" si="2"/>
        <v>0</v>
      </c>
      <c r="F11" s="42">
        <f t="shared" si="2"/>
        <v>160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4221</v>
      </c>
      <c r="L11" s="43"/>
      <c r="M11" s="42">
        <v>0</v>
      </c>
      <c r="N11" s="42">
        <f>SUM(N4:N10)</f>
        <v>9</v>
      </c>
      <c r="O11" s="42">
        <f>SUM(O4:O10)</f>
        <v>0</v>
      </c>
    </row>
    <row r="12" spans="1:15" ht="15.75" thickBot="1"/>
    <row r="13" spans="1:15" ht="17.25" thickBot="1">
      <c r="A13" s="49" t="s">
        <v>158</v>
      </c>
      <c r="B13" s="50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1</v>
      </c>
      <c r="D14" s="25">
        <f t="shared" ref="D14:D19" si="3">A14*C14</f>
        <v>500</v>
      </c>
    </row>
    <row r="15" spans="1:15" ht="16.5">
      <c r="A15" s="26">
        <v>100</v>
      </c>
      <c r="B15" s="23" t="s">
        <v>20</v>
      </c>
      <c r="C15" s="24">
        <v>2</v>
      </c>
      <c r="D15" s="25">
        <f t="shared" si="3"/>
        <v>200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11</v>
      </c>
      <c r="D19" s="25">
        <f t="shared" si="3"/>
        <v>55</v>
      </c>
    </row>
    <row r="20" spans="1:7" ht="16.5">
      <c r="A20" s="27" t="s">
        <v>21</v>
      </c>
      <c r="B20" s="23" t="s">
        <v>20</v>
      </c>
      <c r="C20" s="24">
        <v>2</v>
      </c>
      <c r="D20" s="25">
        <f>+C20*1</f>
        <v>2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757</v>
      </c>
    </row>
    <row r="24" spans="1:7">
      <c r="A24" t="s">
        <v>23</v>
      </c>
      <c r="D24" s="33">
        <f>307+130+212+325+1102+757</f>
        <v>2833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B9C3-D15B-44A5-B2D6-FEE07E8E6107}">
  <dimension ref="A1:O28"/>
  <sheetViews>
    <sheetView workbookViewId="0">
      <selection activeCell="C11" sqref="C11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160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159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31</v>
      </c>
      <c r="B6" s="17">
        <v>348</v>
      </c>
      <c r="C6" s="17">
        <f>20+6+48+57+20+96+40+84+32+180+22+22+24</f>
        <v>651</v>
      </c>
      <c r="D6" s="17">
        <v>64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1063</v>
      </c>
      <c r="L6" s="39"/>
      <c r="M6" s="17">
        <v>1063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19</v>
      </c>
      <c r="B7" s="17">
        <v>350</v>
      </c>
      <c r="C7" s="17">
        <f>12+324+56+24+10+64+136+27+20+90+32+154+131+40+64+20+100+32</f>
        <v>1336</v>
      </c>
      <c r="D7" s="17">
        <v>84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1770</v>
      </c>
      <c r="L7" s="39"/>
      <c r="M7" s="17">
        <v>1786</v>
      </c>
      <c r="N7" s="40">
        <f t="shared" si="0"/>
        <v>0</v>
      </c>
      <c r="O7" s="40">
        <f t="shared" si="1"/>
        <v>16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698</v>
      </c>
      <c r="C11" s="42">
        <f t="shared" si="2"/>
        <v>1987</v>
      </c>
      <c r="D11" s="42">
        <f t="shared" si="2"/>
        <v>148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2833</v>
      </c>
      <c r="L11" s="43"/>
      <c r="M11" s="42">
        <v>0</v>
      </c>
      <c r="N11" s="42">
        <f>SUM(N4:N10)</f>
        <v>0</v>
      </c>
      <c r="O11" s="42">
        <f>SUM(O4:O10)</f>
        <v>16</v>
      </c>
    </row>
    <row r="12" spans="1:15" ht="15.75" thickBot="1">
      <c r="A12" s="34" t="s">
        <v>29</v>
      </c>
    </row>
    <row r="13" spans="1:15" ht="17.25" thickBot="1">
      <c r="A13" s="49" t="s">
        <v>160</v>
      </c>
      <c r="B13" s="50"/>
      <c r="C13" s="50"/>
      <c r="D13" s="51"/>
      <c r="H13" t="s">
        <v>58</v>
      </c>
      <c r="L13" s="49" t="s">
        <v>160</v>
      </c>
      <c r="M13" s="50"/>
      <c r="N13" s="50"/>
      <c r="O13" s="51"/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  <c r="L14" s="22">
        <v>500</v>
      </c>
      <c r="M14" s="23" t="s">
        <v>20</v>
      </c>
      <c r="N14" s="24">
        <v>2</v>
      </c>
      <c r="O14" s="25">
        <f t="shared" ref="O14:O19" si="4">L14*N14</f>
        <v>1000</v>
      </c>
    </row>
    <row r="15" spans="1:15" ht="16.5">
      <c r="A15" s="26">
        <v>100</v>
      </c>
      <c r="B15" s="23" t="s">
        <v>20</v>
      </c>
      <c r="C15" s="24">
        <v>5</v>
      </c>
      <c r="D15" s="25">
        <f t="shared" si="3"/>
        <v>500</v>
      </c>
      <c r="L15" s="26">
        <v>100</v>
      </c>
      <c r="M15" s="23" t="s">
        <v>20</v>
      </c>
      <c r="N15" s="24">
        <v>18</v>
      </c>
      <c r="O15" s="25">
        <f t="shared" si="4"/>
        <v>1800</v>
      </c>
    </row>
    <row r="16" spans="1:15" ht="16.5">
      <c r="A16" s="26">
        <v>50</v>
      </c>
      <c r="B16" s="23" t="s">
        <v>20</v>
      </c>
      <c r="C16" s="24">
        <v>3</v>
      </c>
      <c r="D16" s="25">
        <f t="shared" si="3"/>
        <v>150</v>
      </c>
      <c r="L16" s="26">
        <v>50</v>
      </c>
      <c r="M16" s="23" t="s">
        <v>20</v>
      </c>
      <c r="N16" s="24">
        <v>7</v>
      </c>
      <c r="O16" s="25">
        <f t="shared" si="4"/>
        <v>350</v>
      </c>
    </row>
    <row r="17" spans="1:15" ht="16.5">
      <c r="A17" s="26">
        <v>20</v>
      </c>
      <c r="B17" s="23" t="s">
        <v>20</v>
      </c>
      <c r="C17" s="24">
        <v>0</v>
      </c>
      <c r="D17" s="25">
        <f t="shared" si="3"/>
        <v>0</v>
      </c>
      <c r="L17" s="26">
        <v>20</v>
      </c>
      <c r="M17" s="23" t="s">
        <v>20</v>
      </c>
      <c r="N17" s="24">
        <v>1</v>
      </c>
      <c r="O17" s="25">
        <f t="shared" si="4"/>
        <v>20</v>
      </c>
    </row>
    <row r="18" spans="1:15" ht="16.5">
      <c r="A18" s="26">
        <v>10</v>
      </c>
      <c r="B18" s="23" t="s">
        <v>20</v>
      </c>
      <c r="C18" s="24">
        <v>0</v>
      </c>
      <c r="D18" s="25">
        <f t="shared" si="3"/>
        <v>0</v>
      </c>
      <c r="L18" s="26">
        <v>10</v>
      </c>
      <c r="M18" s="23" t="s">
        <v>20</v>
      </c>
      <c r="N18" s="24">
        <v>16</v>
      </c>
      <c r="O18" s="25">
        <f t="shared" si="4"/>
        <v>160</v>
      </c>
    </row>
    <row r="19" spans="1:15" ht="16.5">
      <c r="A19" s="26">
        <v>5</v>
      </c>
      <c r="B19" s="23" t="s">
        <v>20</v>
      </c>
      <c r="C19" s="24">
        <v>9</v>
      </c>
      <c r="D19" s="25">
        <f t="shared" si="3"/>
        <v>45</v>
      </c>
      <c r="L19" s="26">
        <v>5</v>
      </c>
      <c r="M19" s="23" t="s">
        <v>20</v>
      </c>
      <c r="N19" s="24">
        <v>40</v>
      </c>
      <c r="O19" s="25">
        <f t="shared" si="4"/>
        <v>200</v>
      </c>
    </row>
    <row r="20" spans="1:15" ht="16.5">
      <c r="A20" s="27" t="s">
        <v>21</v>
      </c>
      <c r="B20" s="23" t="s">
        <v>20</v>
      </c>
      <c r="C20" s="24">
        <v>3</v>
      </c>
      <c r="D20" s="25">
        <f>+C20*1</f>
        <v>3</v>
      </c>
      <c r="L20" s="27" t="s">
        <v>21</v>
      </c>
      <c r="M20" s="23" t="s">
        <v>20</v>
      </c>
      <c r="N20" s="24">
        <v>1</v>
      </c>
      <c r="O20" s="25">
        <f>+N20*1</f>
        <v>1</v>
      </c>
    </row>
    <row r="21" spans="1:15" ht="16.5">
      <c r="A21" s="27"/>
      <c r="B21" s="28"/>
      <c r="C21" s="24"/>
      <c r="D21" s="25">
        <f>+C21*0.025</f>
        <v>0</v>
      </c>
      <c r="L21" s="27"/>
      <c r="M21" s="28"/>
      <c r="N21" s="24"/>
      <c r="O21" s="25">
        <f>+N21*0.025</f>
        <v>0</v>
      </c>
    </row>
    <row r="22" spans="1:15" ht="16.5">
      <c r="A22" s="29" t="s">
        <v>22</v>
      </c>
      <c r="B22" s="30"/>
      <c r="C22" s="31"/>
      <c r="D22" s="32">
        <f>SUM(D14:D21)</f>
        <v>698</v>
      </c>
      <c r="L22" s="29" t="s">
        <v>22</v>
      </c>
      <c r="M22" s="30"/>
      <c r="N22" s="31"/>
      <c r="O22" s="32">
        <f>SUM(O14:O21)</f>
        <v>3531</v>
      </c>
    </row>
    <row r="24" spans="1:15">
      <c r="A24" t="s">
        <v>23</v>
      </c>
      <c r="D24" s="33">
        <f>307+130+212+325+1102+757+698</f>
        <v>3531</v>
      </c>
      <c r="E24" t="s">
        <v>58</v>
      </c>
    </row>
    <row r="28" spans="1:15">
      <c r="G28" t="s">
        <v>71</v>
      </c>
    </row>
  </sheetData>
  <mergeCells count="2">
    <mergeCell ref="A13:D13"/>
    <mergeCell ref="L13:O13"/>
  </mergeCells>
  <pageMargins left="0.7" right="0.7" top="0.75" bottom="0.75" header="0.3" footer="0.3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5AF2-5B76-4060-9CE5-56144C3E3E9C}">
  <dimension ref="A1:O28"/>
  <sheetViews>
    <sheetView tabSelected="1" workbookViewId="0">
      <selection activeCell="M11" sqref="M11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20" customWidth="1"/>
    <col min="13" max="13" width="12.85546875" customWidth="1"/>
    <col min="14" max="14" width="11.28515625" customWidth="1"/>
    <col min="15" max="15" width="12.5703125" customWidth="1"/>
  </cols>
  <sheetData>
    <row r="1" spans="1:15" ht="16.5">
      <c r="A1" s="1" t="s">
        <v>161</v>
      </c>
      <c r="B1" s="2"/>
      <c r="H1" s="3"/>
      <c r="N1" s="4" t="s">
        <v>0</v>
      </c>
    </row>
    <row r="2" spans="1:15" ht="16.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49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159</v>
      </c>
      <c r="G3" s="35" t="s">
        <v>86</v>
      </c>
      <c r="H3" s="36" t="s">
        <v>9</v>
      </c>
      <c r="I3" s="5" t="s">
        <v>10</v>
      </c>
      <c r="J3" s="5" t="s">
        <v>11</v>
      </c>
      <c r="K3" s="5" t="s">
        <v>12</v>
      </c>
      <c r="L3" s="37"/>
      <c r="M3" s="5" t="s">
        <v>13</v>
      </c>
      <c r="N3" s="5" t="s">
        <v>14</v>
      </c>
      <c r="O3" s="5" t="s">
        <v>15</v>
      </c>
    </row>
    <row r="4" spans="1:15" ht="16.5">
      <c r="A4" s="10" t="s">
        <v>16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38">
        <f>SUM(C4:J4)</f>
        <v>0</v>
      </c>
      <c r="L4" s="39"/>
      <c r="M4" s="17">
        <v>0</v>
      </c>
      <c r="N4" s="40">
        <f t="shared" ref="N4:N10" si="0">IF(K4&gt;M4,K4-M4,0)</f>
        <v>0</v>
      </c>
      <c r="O4" s="40">
        <f t="shared" ref="O4:O10" si="1">IF(M4&gt;K4,M4-K4,0)</f>
        <v>0</v>
      </c>
    </row>
    <row r="5" spans="1:15" ht="16.5">
      <c r="A5" s="10" t="s">
        <v>17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38">
        <f>SUM(C5:J5)</f>
        <v>0</v>
      </c>
      <c r="L5" s="39"/>
      <c r="M5" s="17">
        <v>0</v>
      </c>
      <c r="N5" s="40">
        <f t="shared" si="0"/>
        <v>0</v>
      </c>
      <c r="O5" s="40">
        <f t="shared" si="1"/>
        <v>0</v>
      </c>
    </row>
    <row r="6" spans="1:15" ht="16.5" customHeight="1">
      <c r="A6" t="s">
        <v>25</v>
      </c>
      <c r="B6" s="17">
        <v>0</v>
      </c>
      <c r="C6" s="17">
        <f>32+32+32</f>
        <v>96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38">
        <f>SUM(B6:J6)</f>
        <v>96</v>
      </c>
      <c r="L6" s="39"/>
      <c r="M6" s="17">
        <v>96</v>
      </c>
      <c r="N6" s="40">
        <f t="shared" si="0"/>
        <v>0</v>
      </c>
      <c r="O6" s="40">
        <f t="shared" si="1"/>
        <v>0</v>
      </c>
    </row>
    <row r="7" spans="1:15" ht="16.5" customHeight="1">
      <c r="A7" t="s">
        <v>27</v>
      </c>
      <c r="B7" s="17">
        <v>26</v>
      </c>
      <c r="C7" s="17">
        <f>24+102+20+64+26</f>
        <v>236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38">
        <f>SUM(B7:J7)</f>
        <v>262</v>
      </c>
      <c r="L7" s="39"/>
      <c r="M7" s="17">
        <v>262</v>
      </c>
      <c r="N7" s="40">
        <f t="shared" si="0"/>
        <v>0</v>
      </c>
      <c r="O7" s="40">
        <f t="shared" si="1"/>
        <v>0</v>
      </c>
    </row>
    <row r="8" spans="1:15" ht="16.5" hidden="1" customHeight="1">
      <c r="A8" s="16" t="s">
        <v>27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48">
        <v>0</v>
      </c>
      <c r="H8" s="17">
        <v>0</v>
      </c>
      <c r="I8" s="17">
        <v>0</v>
      </c>
      <c r="J8" s="17">
        <v>0</v>
      </c>
      <c r="K8" s="38">
        <f>SUM(B8:J8)</f>
        <v>0</v>
      </c>
      <c r="L8" s="39"/>
      <c r="M8" s="48">
        <v>0</v>
      </c>
      <c r="N8" s="40">
        <f t="shared" si="0"/>
        <v>0</v>
      </c>
      <c r="O8" s="40">
        <f t="shared" si="1"/>
        <v>0</v>
      </c>
    </row>
    <row r="9" spans="1:15" ht="15.75" hidden="1" customHeight="1">
      <c r="A9" t="s">
        <v>24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38">
        <f>SUM(B9:J9)</f>
        <v>0</v>
      </c>
      <c r="L9" s="39"/>
      <c r="M9" s="17">
        <v>0</v>
      </c>
      <c r="N9" s="40">
        <f t="shared" si="0"/>
        <v>0</v>
      </c>
      <c r="O9" s="40">
        <f t="shared" si="1"/>
        <v>0</v>
      </c>
    </row>
    <row r="10" spans="1:15" ht="17.25" hidden="1" customHeight="1">
      <c r="A10" t="s">
        <v>25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38">
        <f>SUM(B10:J10)</f>
        <v>0</v>
      </c>
      <c r="L10" s="39"/>
      <c r="M10" s="17">
        <v>0</v>
      </c>
      <c r="N10" s="40">
        <f t="shared" si="0"/>
        <v>0</v>
      </c>
      <c r="O10" s="40">
        <f t="shared" si="1"/>
        <v>0</v>
      </c>
    </row>
    <row r="11" spans="1:15" ht="16.5">
      <c r="A11" s="41"/>
      <c r="B11" s="42">
        <f t="shared" ref="B11:K11" si="2">SUM(B4:B10)</f>
        <v>26</v>
      </c>
      <c r="C11" s="42">
        <f t="shared" si="2"/>
        <v>332</v>
      </c>
      <c r="D11" s="42">
        <f t="shared" si="2"/>
        <v>0</v>
      </c>
      <c r="E11" s="42">
        <f t="shared" si="2"/>
        <v>0</v>
      </c>
      <c r="F11" s="42">
        <f t="shared" si="2"/>
        <v>0</v>
      </c>
      <c r="G11" s="42">
        <f t="shared" si="2"/>
        <v>0</v>
      </c>
      <c r="H11" s="42">
        <f t="shared" si="2"/>
        <v>0</v>
      </c>
      <c r="I11" s="42">
        <f t="shared" si="2"/>
        <v>0</v>
      </c>
      <c r="J11" s="42">
        <f t="shared" si="2"/>
        <v>0</v>
      </c>
      <c r="K11" s="42">
        <f t="shared" si="2"/>
        <v>358</v>
      </c>
      <c r="L11" s="43"/>
      <c r="M11" s="42">
        <v>0</v>
      </c>
      <c r="N11" s="42">
        <f>SUM(N4:N10)</f>
        <v>0</v>
      </c>
      <c r="O11" s="42">
        <f>SUM(O4:O10)</f>
        <v>0</v>
      </c>
    </row>
    <row r="12" spans="1:15" ht="15.75" thickBot="1">
      <c r="A12" s="16"/>
      <c r="B12" s="16"/>
    </row>
    <row r="13" spans="1:15" ht="17.25" thickBot="1">
      <c r="A13" s="55" t="s">
        <v>161</v>
      </c>
      <c r="B13" s="56"/>
      <c r="C13" s="50"/>
      <c r="D13" s="51"/>
      <c r="H13" t="s">
        <v>58</v>
      </c>
    </row>
    <row r="14" spans="1:15" ht="16.5">
      <c r="A14" s="22">
        <v>500</v>
      </c>
      <c r="B14" s="23" t="s">
        <v>20</v>
      </c>
      <c r="C14" s="24">
        <v>0</v>
      </c>
      <c r="D14" s="25">
        <f t="shared" ref="D14:D19" si="3">A14*C14</f>
        <v>0</v>
      </c>
    </row>
    <row r="15" spans="1:15" ht="16.5">
      <c r="A15" s="26">
        <v>100</v>
      </c>
      <c r="B15" s="23" t="s">
        <v>20</v>
      </c>
      <c r="C15" s="24">
        <v>0</v>
      </c>
      <c r="D15" s="25">
        <f t="shared" si="3"/>
        <v>0</v>
      </c>
    </row>
    <row r="16" spans="1:15" ht="16.5">
      <c r="A16" s="26">
        <v>50</v>
      </c>
      <c r="B16" s="23" t="s">
        <v>20</v>
      </c>
      <c r="C16" s="24">
        <v>0</v>
      </c>
      <c r="D16" s="25">
        <f t="shared" si="3"/>
        <v>0</v>
      </c>
    </row>
    <row r="17" spans="1:7" ht="16.5">
      <c r="A17" s="26">
        <v>20</v>
      </c>
      <c r="B17" s="23" t="s">
        <v>20</v>
      </c>
      <c r="C17" s="24">
        <v>0</v>
      </c>
      <c r="D17" s="25">
        <f t="shared" si="3"/>
        <v>0</v>
      </c>
    </row>
    <row r="18" spans="1:7" ht="16.5">
      <c r="A18" s="26">
        <v>10</v>
      </c>
      <c r="B18" s="23" t="s">
        <v>20</v>
      </c>
      <c r="C18" s="24">
        <v>0</v>
      </c>
      <c r="D18" s="25">
        <f t="shared" si="3"/>
        <v>0</v>
      </c>
    </row>
    <row r="19" spans="1:7" ht="16.5">
      <c r="A19" s="26">
        <v>5</v>
      </c>
      <c r="B19" s="23" t="s">
        <v>20</v>
      </c>
      <c r="C19" s="24">
        <v>5</v>
      </c>
      <c r="D19" s="25">
        <f t="shared" si="3"/>
        <v>25</v>
      </c>
    </row>
    <row r="20" spans="1:7" ht="16.5">
      <c r="A20" s="27" t="s">
        <v>21</v>
      </c>
      <c r="B20" s="23" t="s">
        <v>20</v>
      </c>
      <c r="C20" s="24">
        <v>1</v>
      </c>
      <c r="D20" s="25">
        <f>+C20*1</f>
        <v>1</v>
      </c>
    </row>
    <row r="21" spans="1:7" ht="16.5">
      <c r="A21" s="27"/>
      <c r="B21" s="28"/>
      <c r="C21" s="24"/>
      <c r="D21" s="25">
        <f>+C21*0.025</f>
        <v>0</v>
      </c>
    </row>
    <row r="22" spans="1:7" ht="16.5">
      <c r="A22" s="29" t="s">
        <v>22</v>
      </c>
      <c r="B22" s="30"/>
      <c r="C22" s="31"/>
      <c r="D22" s="32">
        <f>SUM(D14:D21)</f>
        <v>26</v>
      </c>
    </row>
    <row r="24" spans="1:7">
      <c r="A24" t="s">
        <v>23</v>
      </c>
      <c r="D24" s="33">
        <v>26</v>
      </c>
      <c r="E24" t="s">
        <v>58</v>
      </c>
    </row>
    <row r="28" spans="1:7">
      <c r="G28" t="s">
        <v>71</v>
      </c>
    </row>
  </sheetData>
  <mergeCells count="1">
    <mergeCell ref="A13:D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82BAC45B3FB4BB47F5B3CED3A651D" ma:contentTypeVersion="6" ma:contentTypeDescription="Create a new document." ma:contentTypeScope="" ma:versionID="8a08ce5f3f457cee7ae42e4ad630f592">
  <xsd:schema xmlns:xsd="http://www.w3.org/2001/XMLSchema" xmlns:xs="http://www.w3.org/2001/XMLSchema" xmlns:p="http://schemas.microsoft.com/office/2006/metadata/properties" xmlns:ns3="efe420c1-bbe1-491f-96de-36d094e93997" targetNamespace="http://schemas.microsoft.com/office/2006/metadata/properties" ma:root="true" ma:fieldsID="2e00e8fb06dabcd800de040ad5efaf32" ns3:_="">
    <xsd:import namespace="efe420c1-bbe1-491f-96de-36d094e939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420c1-bbe1-491f-96de-36d094e939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e420c1-bbe1-491f-96de-36d094e93997" xsi:nil="true"/>
  </documentManagement>
</p:properties>
</file>

<file path=customXml/itemProps1.xml><?xml version="1.0" encoding="utf-8"?>
<ds:datastoreItem xmlns:ds="http://schemas.openxmlformats.org/officeDocument/2006/customXml" ds:itemID="{3B97EC32-592C-48B2-AB0D-3A6C890528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AC8CEE-B55A-4BD5-8C62-5DF29DD13C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e420c1-bbe1-491f-96de-36d094e939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19D07E-0F89-4E0B-80C9-742741445356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efe420c1-bbe1-491f-96de-36d094e9399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154</vt:i4>
      </vt:variant>
    </vt:vector>
  </HeadingPairs>
  <TitlesOfParts>
    <vt:vector size="154" baseType="lpstr">
      <vt:lpstr>01.07.2025</vt:lpstr>
      <vt:lpstr>02.07.2025</vt:lpstr>
      <vt:lpstr>03.07.2025</vt:lpstr>
      <vt:lpstr>04.07.2025</vt:lpstr>
      <vt:lpstr>05.07.2025</vt:lpstr>
      <vt:lpstr>06.07.2025</vt:lpstr>
      <vt:lpstr>07.07.2025</vt:lpstr>
      <vt:lpstr>08.07.2025</vt:lpstr>
      <vt:lpstr>09.07.2025</vt:lpstr>
      <vt:lpstr>10.07.2025</vt:lpstr>
      <vt:lpstr>11.07.2025</vt:lpstr>
      <vt:lpstr>12.07.2025</vt:lpstr>
      <vt:lpstr>13.07.2025</vt:lpstr>
      <vt:lpstr>14.07.2025</vt:lpstr>
      <vt:lpstr>15.07.2025</vt:lpstr>
      <vt:lpstr>16.07.2025</vt:lpstr>
      <vt:lpstr>17.07.2025</vt:lpstr>
      <vt:lpstr>18.07.2025</vt:lpstr>
      <vt:lpstr>19.07.2025</vt:lpstr>
      <vt:lpstr>20.07.2025</vt:lpstr>
      <vt:lpstr>21.07.2025</vt:lpstr>
      <vt:lpstr>22.07.2025</vt:lpstr>
      <vt:lpstr>23.07.2025</vt:lpstr>
      <vt:lpstr>24.07.2025</vt:lpstr>
      <vt:lpstr>25.07.2025</vt:lpstr>
      <vt:lpstr>26.07.2025</vt:lpstr>
      <vt:lpstr>27.07.2025</vt:lpstr>
      <vt:lpstr>28.07.2025</vt:lpstr>
      <vt:lpstr>29.07.2025</vt:lpstr>
      <vt:lpstr>30.07.2025</vt:lpstr>
      <vt:lpstr>31.07.2025</vt:lpstr>
      <vt:lpstr>01.08.2025</vt:lpstr>
      <vt:lpstr>02.08.2025</vt:lpstr>
      <vt:lpstr>03.08.2025</vt:lpstr>
      <vt:lpstr>04.08.2025</vt:lpstr>
      <vt:lpstr>05.08.2025</vt:lpstr>
      <vt:lpstr>06.08.2025</vt:lpstr>
      <vt:lpstr>07.08.2025</vt:lpstr>
      <vt:lpstr>08.08.2025</vt:lpstr>
      <vt:lpstr>09.08.2025</vt:lpstr>
      <vt:lpstr>10.08.2025</vt:lpstr>
      <vt:lpstr>11.08.2025</vt:lpstr>
      <vt:lpstr>12.08.2025</vt:lpstr>
      <vt:lpstr>13.08.2025</vt:lpstr>
      <vt:lpstr>14.08.2025</vt:lpstr>
      <vt:lpstr>15.08.2025</vt:lpstr>
      <vt:lpstr>16.08.2025</vt:lpstr>
      <vt:lpstr>Sheet1</vt:lpstr>
      <vt:lpstr>17.08.2025</vt:lpstr>
      <vt:lpstr>18.08.2025</vt:lpstr>
      <vt:lpstr>19.08.2025</vt:lpstr>
      <vt:lpstr>20.08.2025</vt:lpstr>
      <vt:lpstr>21.08.2025</vt:lpstr>
      <vt:lpstr>22.08.2025</vt:lpstr>
      <vt:lpstr>23.08.2025</vt:lpstr>
      <vt:lpstr>24.08.2025</vt:lpstr>
      <vt:lpstr>25.08.2025</vt:lpstr>
      <vt:lpstr>26.08.2025</vt:lpstr>
      <vt:lpstr>27.08.2025</vt:lpstr>
      <vt:lpstr>28.08.2025</vt:lpstr>
      <vt:lpstr>29.08.2025</vt:lpstr>
      <vt:lpstr>30.08.2025</vt:lpstr>
      <vt:lpstr>31.08.2025</vt:lpstr>
      <vt:lpstr>01.09.2025</vt:lpstr>
      <vt:lpstr>02.09.2025</vt:lpstr>
      <vt:lpstr>03.09.2025</vt:lpstr>
      <vt:lpstr>04.09.2025</vt:lpstr>
      <vt:lpstr>05.09.2025</vt:lpstr>
      <vt:lpstr>06.09.2025</vt:lpstr>
      <vt:lpstr>07.09.2025</vt:lpstr>
      <vt:lpstr>08.09.2025</vt:lpstr>
      <vt:lpstr>09.09.2025</vt:lpstr>
      <vt:lpstr>10.09.2025</vt:lpstr>
      <vt:lpstr>11.09.2025</vt:lpstr>
      <vt:lpstr>12.09.2025</vt:lpstr>
      <vt:lpstr>13.09.2025</vt:lpstr>
      <vt:lpstr>14.09.2025</vt:lpstr>
      <vt:lpstr>15.09.2025</vt:lpstr>
      <vt:lpstr>16.09.2025</vt:lpstr>
      <vt:lpstr>17.09.2025</vt:lpstr>
      <vt:lpstr>18.09.2025</vt:lpstr>
      <vt:lpstr>19.09.2025</vt:lpstr>
      <vt:lpstr>20.09.2025</vt:lpstr>
      <vt:lpstr>21.09.2025</vt:lpstr>
      <vt:lpstr>22.09.2025</vt:lpstr>
      <vt:lpstr>23.09.2025</vt:lpstr>
      <vt:lpstr>24.09.2025</vt:lpstr>
      <vt:lpstr>25.09.2025</vt:lpstr>
      <vt:lpstr>26.09.2025</vt:lpstr>
      <vt:lpstr>27.09.2025</vt:lpstr>
      <vt:lpstr>28.09.2025</vt:lpstr>
      <vt:lpstr>29.09.2025</vt:lpstr>
      <vt:lpstr>30.09.2025</vt:lpstr>
      <vt:lpstr>01.10.2025</vt:lpstr>
      <vt:lpstr>02.10.2025</vt:lpstr>
      <vt:lpstr>03.10.2025</vt:lpstr>
      <vt:lpstr>04.10.2025</vt:lpstr>
      <vt:lpstr>05.10.2025</vt:lpstr>
      <vt:lpstr>06.10.2025</vt:lpstr>
      <vt:lpstr>07.10.2025</vt:lpstr>
      <vt:lpstr>08.10.2025</vt:lpstr>
      <vt:lpstr>09.10.2025</vt:lpstr>
      <vt:lpstr>10.10.2025</vt:lpstr>
      <vt:lpstr>11.10.2025</vt:lpstr>
      <vt:lpstr>12.10.2025</vt:lpstr>
      <vt:lpstr>13.10.2025</vt:lpstr>
      <vt:lpstr>14.10.2025</vt:lpstr>
      <vt:lpstr>15.10.2025</vt:lpstr>
      <vt:lpstr>16.10.2025</vt:lpstr>
      <vt:lpstr>17.10.2025</vt:lpstr>
      <vt:lpstr>18.10.2025</vt:lpstr>
      <vt:lpstr>19.10.2025</vt:lpstr>
      <vt:lpstr>20.10.2025</vt:lpstr>
      <vt:lpstr>21.10.2025</vt:lpstr>
      <vt:lpstr>22.10.2025</vt:lpstr>
      <vt:lpstr>23.10.2025</vt:lpstr>
      <vt:lpstr>24.10.2025</vt:lpstr>
      <vt:lpstr>25.10.2025</vt:lpstr>
      <vt:lpstr>26.10.2025</vt:lpstr>
      <vt:lpstr>27.10.2025</vt:lpstr>
      <vt:lpstr>28.10.2025</vt:lpstr>
      <vt:lpstr>29.10.2025</vt:lpstr>
      <vt:lpstr>30.10.2025</vt:lpstr>
      <vt:lpstr>31.10.2025</vt:lpstr>
      <vt:lpstr>01.11.2025</vt:lpstr>
      <vt:lpstr>02.11.2025</vt:lpstr>
      <vt:lpstr>03.11.2025</vt:lpstr>
      <vt:lpstr>04.11.2025</vt:lpstr>
      <vt:lpstr>05.11.2025</vt:lpstr>
      <vt:lpstr>06.11.2025</vt:lpstr>
      <vt:lpstr>07.11.2025</vt:lpstr>
      <vt:lpstr>8.11.2025</vt:lpstr>
      <vt:lpstr>09.11.2025</vt:lpstr>
      <vt:lpstr>10.11.2025</vt:lpstr>
      <vt:lpstr>11.11.2025</vt:lpstr>
      <vt:lpstr>12.11.2025</vt:lpstr>
      <vt:lpstr>13.11.2025</vt:lpstr>
      <vt:lpstr>14.11.2025</vt:lpstr>
      <vt:lpstr>15.11.2025</vt:lpstr>
      <vt:lpstr>16.11.2025</vt:lpstr>
      <vt:lpstr>17.11.2025</vt:lpstr>
      <vt:lpstr>18.11.2025</vt:lpstr>
      <vt:lpstr>19.11.2025</vt:lpstr>
      <vt:lpstr>20.11.2025</vt:lpstr>
      <vt:lpstr>21.11.2025</vt:lpstr>
      <vt:lpstr>22.11.2025</vt:lpstr>
      <vt:lpstr>23.11.2025</vt:lpstr>
      <vt:lpstr>24.11.2025</vt:lpstr>
      <vt:lpstr>25.11.2025</vt:lpstr>
      <vt:lpstr>26.11.2025</vt:lpstr>
      <vt:lpstr>27.11.2025</vt:lpstr>
      <vt:lpstr>28.11.2025</vt:lpstr>
      <vt:lpstr>29.11.2025</vt:lpstr>
      <vt:lpstr>30.11.2025</vt:lpstr>
    </vt:vector>
  </TitlesOfParts>
  <Company>Al Othaim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Noir Finance Onizah</dc:creator>
  <cp:lastModifiedBy>Noir Finance Onizah</cp:lastModifiedBy>
  <cp:lastPrinted>2025-12-01T13:54:48Z</cp:lastPrinted>
  <dcterms:created xsi:type="dcterms:W3CDTF">2025-07-02T12:39:31Z</dcterms:created>
  <dcterms:modified xsi:type="dcterms:W3CDTF">2026-09-12T16:07:27Z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0x0101004FE82BAC45B3FB4BB47F5B3CED3A651D</vt:lpwstr>
  </property>
</Properties>
</file>