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irFinanceOnizah\Desktop\NOIR 2024 &amp; 2025\"/>
    </mc:Choice>
  </mc:AlternateContent>
  <xr:revisionPtr revIDLastSave="0" documentId="8_{65478162-1F99-455D-8BEE-5D26A83F7955}" xr6:coauthVersionLast="47" xr6:coauthVersionMax="47" xr10:uidLastSave="{00000000-0000-0000-0000-000000000000}"/>
  <bookViews>
    <workbookView xWindow="-120" yWindow="-120" windowWidth="29040" windowHeight="15720" firstSheet="16" activeTab="26" xr2:uid="{00000000-000D-0000-FFFF-FFFF00000000}"/>
  </bookViews>
  <sheets>
    <sheet name="01-02-2025" sheetId="1" r:id="rId1"/>
    <sheet name="02-02-205" sheetId="2" r:id="rId2"/>
    <sheet name="03.02.2025" sheetId="3" r:id="rId3"/>
    <sheet name="04.02.2025" sheetId="4" r:id="rId4"/>
    <sheet name="5.2.2025" sheetId="5" r:id="rId5"/>
    <sheet name="6.2.2025" sheetId="6" r:id="rId6"/>
    <sheet name="7.2.2025" sheetId="7" r:id="rId7"/>
    <sheet name="8.2.2025" sheetId="8" r:id="rId8"/>
    <sheet name="9.2.2025" sheetId="9" r:id="rId9"/>
    <sheet name="10-2-2025" sheetId="10" r:id="rId10"/>
    <sheet name="11.2.2025" sheetId="11" r:id="rId11"/>
    <sheet name="12.2.2025" sheetId="12" r:id="rId12"/>
    <sheet name="13.2.2025" sheetId="13" r:id="rId13"/>
    <sheet name="14.2.2025" sheetId="14" r:id="rId14"/>
    <sheet name="15.2.2025" sheetId="15" r:id="rId15"/>
    <sheet name="16.2.2025" sheetId="16" r:id="rId16"/>
    <sheet name="17.2.2025" sheetId="17" r:id="rId17"/>
    <sheet name="18.2.2025" sheetId="18" r:id="rId18"/>
    <sheet name="19.2.2025" sheetId="19" r:id="rId19"/>
    <sheet name="20-2-2025" sheetId="20" r:id="rId20"/>
    <sheet name="21-2-2025" sheetId="21" r:id="rId21"/>
    <sheet name="22-2-2025" sheetId="22" r:id="rId22"/>
    <sheet name="23.2.2025" sheetId="23" r:id="rId23"/>
    <sheet name="24.2.2025" sheetId="24" r:id="rId24"/>
    <sheet name="25.2.2025" sheetId="25" r:id="rId25"/>
    <sheet name="26.2.2025" sheetId="26" r:id="rId26"/>
    <sheet name="27.2.2025" sheetId="27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7" l="1"/>
  <c r="L8" i="27"/>
  <c r="C7" i="27"/>
  <c r="C6" i="27"/>
  <c r="L6" i="27" s="1"/>
  <c r="D19" i="27"/>
  <c r="D18" i="27"/>
  <c r="D17" i="27"/>
  <c r="D16" i="27"/>
  <c r="D15" i="27"/>
  <c r="D14" i="27"/>
  <c r="D13" i="27"/>
  <c r="D12" i="27"/>
  <c r="L5" i="27"/>
  <c r="P5" i="27" s="1"/>
  <c r="L4" i="27"/>
  <c r="P4" i="27" s="1"/>
  <c r="C8" i="26"/>
  <c r="C7" i="26"/>
  <c r="C6" i="26"/>
  <c r="D19" i="26"/>
  <c r="D18" i="26"/>
  <c r="D17" i="26"/>
  <c r="D16" i="26"/>
  <c r="D15" i="26"/>
  <c r="D14" i="26"/>
  <c r="D13" i="26"/>
  <c r="D12" i="26"/>
  <c r="D20" i="26" s="1"/>
  <c r="N9" i="26"/>
  <c r="K9" i="26"/>
  <c r="J9" i="26"/>
  <c r="I9" i="26"/>
  <c r="H9" i="26"/>
  <c r="G9" i="26"/>
  <c r="F9" i="26"/>
  <c r="E9" i="26"/>
  <c r="D9" i="26"/>
  <c r="C9" i="26"/>
  <c r="B9" i="26"/>
  <c r="L8" i="26"/>
  <c r="L7" i="26"/>
  <c r="L6" i="26"/>
  <c r="L5" i="26"/>
  <c r="P5" i="26" s="1"/>
  <c r="L4" i="26"/>
  <c r="D20" i="27" l="1"/>
  <c r="O8" i="27"/>
  <c r="P8" i="27"/>
  <c r="L7" i="27"/>
  <c r="P6" i="27"/>
  <c r="O6" i="27"/>
  <c r="O5" i="27"/>
  <c r="O4" i="27"/>
  <c r="L9" i="26"/>
  <c r="P6" i="26"/>
  <c r="O6" i="26"/>
  <c r="P7" i="26"/>
  <c r="O7" i="26"/>
  <c r="O8" i="26"/>
  <c r="P8" i="26"/>
  <c r="O4" i="26"/>
  <c r="P4" i="26"/>
  <c r="O5" i="26"/>
  <c r="C8" i="25"/>
  <c r="C7" i="25"/>
  <c r="C6" i="25"/>
  <c r="P7" i="27" l="1"/>
  <c r="O7" i="27"/>
  <c r="P9" i="26"/>
  <c r="O9" i="26"/>
  <c r="D19" i="25"/>
  <c r="D18" i="25"/>
  <c r="D17" i="25"/>
  <c r="D16" i="25"/>
  <c r="D15" i="25"/>
  <c r="D14" i="25"/>
  <c r="D13" i="25"/>
  <c r="D12" i="25"/>
  <c r="N9" i="25"/>
  <c r="K9" i="25"/>
  <c r="J9" i="25"/>
  <c r="I9" i="25"/>
  <c r="H9" i="25"/>
  <c r="G9" i="25"/>
  <c r="F9" i="25"/>
  <c r="E9" i="25"/>
  <c r="D9" i="25"/>
  <c r="B9" i="25"/>
  <c r="L8" i="25"/>
  <c r="L7" i="25"/>
  <c r="L6" i="25"/>
  <c r="L5" i="25"/>
  <c r="O5" i="25" s="1"/>
  <c r="L4" i="25"/>
  <c r="C8" i="24"/>
  <c r="C7" i="24"/>
  <c r="L7" i="24" s="1"/>
  <c r="C6" i="24"/>
  <c r="L6" i="24" s="1"/>
  <c r="D19" i="24"/>
  <c r="D18" i="24"/>
  <c r="D17" i="24"/>
  <c r="D16" i="24"/>
  <c r="D15" i="24"/>
  <c r="D14" i="24"/>
  <c r="D13" i="24"/>
  <c r="D12" i="24"/>
  <c r="D20" i="24" s="1"/>
  <c r="N9" i="24"/>
  <c r="K9" i="24"/>
  <c r="J9" i="24"/>
  <c r="I9" i="24"/>
  <c r="H9" i="24"/>
  <c r="G9" i="24"/>
  <c r="F9" i="24"/>
  <c r="E9" i="24"/>
  <c r="D9" i="24"/>
  <c r="C9" i="24"/>
  <c r="B9" i="24"/>
  <c r="L8" i="24"/>
  <c r="P8" i="24" s="1"/>
  <c r="L5" i="24"/>
  <c r="P5" i="24" s="1"/>
  <c r="L4" i="24"/>
  <c r="C7" i="23"/>
  <c r="L7" i="23" s="1"/>
  <c r="P7" i="23" s="1"/>
  <c r="C6" i="23"/>
  <c r="K8" i="15"/>
  <c r="N8" i="15"/>
  <c r="O8" i="15"/>
  <c r="K9" i="15"/>
  <c r="N9" i="15" s="1"/>
  <c r="O9" i="15"/>
  <c r="K10" i="15"/>
  <c r="N10" i="15" s="1"/>
  <c r="O10" i="15"/>
  <c r="D19" i="23"/>
  <c r="D18" i="23"/>
  <c r="D17" i="23"/>
  <c r="D16" i="23"/>
  <c r="D15" i="23"/>
  <c r="D14" i="23"/>
  <c r="D13" i="23"/>
  <c r="D20" i="23" s="1"/>
  <c r="D12" i="23"/>
  <c r="N9" i="23"/>
  <c r="K9" i="23"/>
  <c r="J9" i="23"/>
  <c r="I9" i="23"/>
  <c r="H9" i="23"/>
  <c r="G9" i="23"/>
  <c r="F9" i="23"/>
  <c r="E9" i="23"/>
  <c r="D9" i="23"/>
  <c r="B9" i="23"/>
  <c r="L8" i="23"/>
  <c r="L5" i="23"/>
  <c r="P5" i="23" s="1"/>
  <c r="L4" i="23"/>
  <c r="C9" i="23" l="1"/>
  <c r="L6" i="23"/>
  <c r="D20" i="25"/>
  <c r="P5" i="25"/>
  <c r="P7" i="25"/>
  <c r="O7" i="25"/>
  <c r="L9" i="25"/>
  <c r="P6" i="25"/>
  <c r="O6" i="25"/>
  <c r="P8" i="25"/>
  <c r="O8" i="25"/>
  <c r="C9" i="25"/>
  <c r="O4" i="25"/>
  <c r="P4" i="25"/>
  <c r="L9" i="24"/>
  <c r="P7" i="24"/>
  <c r="O7" i="24"/>
  <c r="P6" i="24"/>
  <c r="O6" i="24"/>
  <c r="O4" i="24"/>
  <c r="P4" i="24"/>
  <c r="O5" i="24"/>
  <c r="O8" i="24"/>
  <c r="P6" i="23"/>
  <c r="O6" i="23"/>
  <c r="P8" i="23"/>
  <c r="O8" i="23"/>
  <c r="L9" i="23"/>
  <c r="O4" i="23"/>
  <c r="P4" i="23"/>
  <c r="O5" i="23"/>
  <c r="O7" i="23"/>
  <c r="C9" i="22"/>
  <c r="H9" i="22"/>
  <c r="L4" i="22"/>
  <c r="K9" i="22"/>
  <c r="L8" i="22"/>
  <c r="P8" i="22" s="1"/>
  <c r="L6" i="22"/>
  <c r="D19" i="22"/>
  <c r="D18" i="22"/>
  <c r="D17" i="22"/>
  <c r="D16" i="22"/>
  <c r="D15" i="22"/>
  <c r="D14" i="22"/>
  <c r="D13" i="22"/>
  <c r="D12" i="22"/>
  <c r="J9" i="22"/>
  <c r="I9" i="22"/>
  <c r="G9" i="22"/>
  <c r="F9" i="22"/>
  <c r="E9" i="22"/>
  <c r="D9" i="22"/>
  <c r="B9" i="22"/>
  <c r="L7" i="22"/>
  <c r="P7" i="22" s="1"/>
  <c r="L5" i="22"/>
  <c r="P5" i="22" s="1"/>
  <c r="P4" i="22" l="1"/>
  <c r="O4" i="22"/>
  <c r="O9" i="25"/>
  <c r="P9" i="25"/>
  <c r="P9" i="24"/>
  <c r="O9" i="24"/>
  <c r="P9" i="23"/>
  <c r="O9" i="23"/>
  <c r="N9" i="22"/>
  <c r="L9" i="22"/>
  <c r="D20" i="22"/>
  <c r="O6" i="22"/>
  <c r="P6" i="22"/>
  <c r="O7" i="22"/>
  <c r="O8" i="22"/>
  <c r="O5" i="22"/>
  <c r="K9" i="21"/>
  <c r="K8" i="21"/>
  <c r="N8" i="21" s="1"/>
  <c r="O8" i="21"/>
  <c r="C10" i="21"/>
  <c r="K10" i="21" s="1"/>
  <c r="N10" i="21" s="1"/>
  <c r="C6" i="21"/>
  <c r="K6" i="21" s="1"/>
  <c r="D21" i="21"/>
  <c r="D20" i="21"/>
  <c r="D19" i="21"/>
  <c r="D18" i="21"/>
  <c r="D17" i="21"/>
  <c r="D16" i="21"/>
  <c r="D15" i="21"/>
  <c r="D14" i="21"/>
  <c r="J11" i="21"/>
  <c r="I11" i="21"/>
  <c r="H11" i="21"/>
  <c r="G11" i="21"/>
  <c r="F11" i="21"/>
  <c r="E11" i="21"/>
  <c r="D11" i="21"/>
  <c r="B11" i="21"/>
  <c r="K7" i="21"/>
  <c r="O7" i="21" s="1"/>
  <c r="K5" i="21"/>
  <c r="O5" i="21" s="1"/>
  <c r="K4" i="21"/>
  <c r="P9" i="22" l="1"/>
  <c r="O9" i="22"/>
  <c r="O9" i="21"/>
  <c r="N9" i="21"/>
  <c r="D22" i="21"/>
  <c r="C11" i="21"/>
  <c r="M11" i="21"/>
  <c r="K11" i="21"/>
  <c r="O6" i="21"/>
  <c r="N6" i="21"/>
  <c r="O10" i="21"/>
  <c r="N4" i="21"/>
  <c r="O4" i="21"/>
  <c r="N5" i="21"/>
  <c r="N7" i="21"/>
  <c r="O11" i="21" l="1"/>
  <c r="N11" i="21"/>
  <c r="C10" i="20" l="1"/>
  <c r="K10" i="20" s="1"/>
  <c r="O10" i="20" s="1"/>
  <c r="M10" i="20"/>
  <c r="C6" i="20"/>
  <c r="D21" i="20"/>
  <c r="D20" i="20"/>
  <c r="D19" i="20"/>
  <c r="D18" i="20"/>
  <c r="D17" i="20"/>
  <c r="D16" i="20"/>
  <c r="D15" i="20"/>
  <c r="D14" i="20"/>
  <c r="M11" i="20"/>
  <c r="J11" i="20"/>
  <c r="I11" i="20"/>
  <c r="H11" i="20"/>
  <c r="G11" i="20"/>
  <c r="F11" i="20"/>
  <c r="E11" i="20"/>
  <c r="D11" i="20"/>
  <c r="B11" i="20"/>
  <c r="K9" i="20"/>
  <c r="N9" i="20" s="1"/>
  <c r="K8" i="20"/>
  <c r="O8" i="20" s="1"/>
  <c r="K7" i="20"/>
  <c r="O7" i="20" s="1"/>
  <c r="K5" i="20"/>
  <c r="O5" i="20" s="1"/>
  <c r="K4" i="20"/>
  <c r="C6" i="19"/>
  <c r="D21" i="19"/>
  <c r="D20" i="19"/>
  <c r="D19" i="19"/>
  <c r="D18" i="19"/>
  <c r="D17" i="19"/>
  <c r="D16" i="19"/>
  <c r="D15" i="19"/>
  <c r="D14" i="19"/>
  <c r="M11" i="19"/>
  <c r="J11" i="19"/>
  <c r="I11" i="19"/>
  <c r="H11" i="19"/>
  <c r="G11" i="19"/>
  <c r="F11" i="19"/>
  <c r="E11" i="19"/>
  <c r="D11" i="19"/>
  <c r="B11" i="19"/>
  <c r="C11" i="19"/>
  <c r="K9" i="19"/>
  <c r="K8" i="19"/>
  <c r="O8" i="19" s="1"/>
  <c r="K7" i="19"/>
  <c r="O7" i="19" s="1"/>
  <c r="K6" i="19"/>
  <c r="K5" i="19"/>
  <c r="O5" i="19" s="1"/>
  <c r="K4" i="19"/>
  <c r="C6" i="18"/>
  <c r="C10" i="18"/>
  <c r="D21" i="18"/>
  <c r="D20" i="18"/>
  <c r="D19" i="18"/>
  <c r="D18" i="18"/>
  <c r="D17" i="18"/>
  <c r="D16" i="18"/>
  <c r="D15" i="18"/>
  <c r="D14" i="18"/>
  <c r="M11" i="18"/>
  <c r="J11" i="18"/>
  <c r="I11" i="18"/>
  <c r="H11" i="18"/>
  <c r="G11" i="18"/>
  <c r="F11" i="18"/>
  <c r="E11" i="18"/>
  <c r="D11" i="18"/>
  <c r="C11" i="18"/>
  <c r="B11" i="18"/>
  <c r="K10" i="18"/>
  <c r="N10" i="18" s="1"/>
  <c r="K9" i="18"/>
  <c r="O9" i="18" s="1"/>
  <c r="K8" i="18"/>
  <c r="O8" i="18" s="1"/>
  <c r="K7" i="18"/>
  <c r="O7" i="18" s="1"/>
  <c r="K6" i="18"/>
  <c r="O6" i="18" s="1"/>
  <c r="K5" i="18"/>
  <c r="N5" i="18" s="1"/>
  <c r="K4" i="18"/>
  <c r="C11" i="20" l="1"/>
  <c r="K6" i="20"/>
  <c r="O9" i="19"/>
  <c r="N9" i="19"/>
  <c r="D22" i="20"/>
  <c r="N10" i="20"/>
  <c r="K11" i="20"/>
  <c r="O6" i="20"/>
  <c r="N6" i="20"/>
  <c r="N4" i="20"/>
  <c r="N7" i="20"/>
  <c r="O9" i="20"/>
  <c r="O4" i="20"/>
  <c r="N5" i="20"/>
  <c r="N8" i="20"/>
  <c r="D22" i="19"/>
  <c r="O6" i="19"/>
  <c r="N6" i="19"/>
  <c r="K10" i="19"/>
  <c r="N4" i="19"/>
  <c r="O4" i="19"/>
  <c r="N5" i="19"/>
  <c r="N7" i="19"/>
  <c r="N8" i="19"/>
  <c r="D22" i="18"/>
  <c r="O10" i="18"/>
  <c r="K11" i="18"/>
  <c r="O5" i="18"/>
  <c r="N4" i="18"/>
  <c r="O4" i="18"/>
  <c r="O11" i="18" s="1"/>
  <c r="N6" i="18"/>
  <c r="N7" i="18"/>
  <c r="N8" i="18"/>
  <c r="N9" i="18"/>
  <c r="C6" i="17"/>
  <c r="K6" i="17" s="1"/>
  <c r="D21" i="17"/>
  <c r="D20" i="17"/>
  <c r="D19" i="17"/>
  <c r="D18" i="17"/>
  <c r="D17" i="17"/>
  <c r="D16" i="17"/>
  <c r="D15" i="17"/>
  <c r="D14" i="17"/>
  <c r="D22" i="17" s="1"/>
  <c r="M11" i="17"/>
  <c r="J11" i="17"/>
  <c r="I11" i="17"/>
  <c r="H11" i="17"/>
  <c r="G11" i="17"/>
  <c r="F11" i="17"/>
  <c r="E11" i="17"/>
  <c r="D11" i="17"/>
  <c r="B11" i="17"/>
  <c r="K10" i="17"/>
  <c r="K9" i="17"/>
  <c r="O9" i="17" s="1"/>
  <c r="K8" i="17"/>
  <c r="O8" i="17" s="1"/>
  <c r="K7" i="17"/>
  <c r="O7" i="17" s="1"/>
  <c r="K5" i="17"/>
  <c r="O5" i="17" s="1"/>
  <c r="K4" i="17"/>
  <c r="N10" i="17" l="1"/>
  <c r="O10" i="17"/>
  <c r="O11" i="20"/>
  <c r="N11" i="20"/>
  <c r="O10" i="19"/>
  <c r="O11" i="19" s="1"/>
  <c r="N10" i="19"/>
  <c r="N11" i="19" s="1"/>
  <c r="K11" i="19"/>
  <c r="N11" i="18"/>
  <c r="C11" i="17"/>
  <c r="K11" i="17"/>
  <c r="O6" i="17"/>
  <c r="N6" i="17"/>
  <c r="N4" i="17"/>
  <c r="O4" i="17"/>
  <c r="N5" i="17"/>
  <c r="N7" i="17"/>
  <c r="N8" i="17"/>
  <c r="N9" i="17"/>
  <c r="F6" i="16"/>
  <c r="F11" i="16" s="1"/>
  <c r="C6" i="16"/>
  <c r="C11" i="16" s="1"/>
  <c r="D21" i="16"/>
  <c r="D20" i="16"/>
  <c r="D19" i="16"/>
  <c r="D18" i="16"/>
  <c r="D17" i="16"/>
  <c r="D16" i="16"/>
  <c r="D15" i="16"/>
  <c r="D14" i="16"/>
  <c r="M11" i="16"/>
  <c r="J11" i="16"/>
  <c r="I11" i="16"/>
  <c r="H11" i="16"/>
  <c r="G11" i="16"/>
  <c r="E11" i="16"/>
  <c r="D11" i="16"/>
  <c r="B11" i="16"/>
  <c r="K10" i="16"/>
  <c r="K9" i="16"/>
  <c r="O9" i="16" s="1"/>
  <c r="K8" i="16"/>
  <c r="O8" i="16" s="1"/>
  <c r="K7" i="16"/>
  <c r="K6" i="16"/>
  <c r="K5" i="16"/>
  <c r="O5" i="16" s="1"/>
  <c r="K4" i="16"/>
  <c r="O4" i="16" s="1"/>
  <c r="O11" i="17" l="1"/>
  <c r="O10" i="16"/>
  <c r="N10" i="16"/>
  <c r="N11" i="17"/>
  <c r="D22" i="16"/>
  <c r="K11" i="16"/>
  <c r="O6" i="16"/>
  <c r="N6" i="16"/>
  <c r="O7" i="16"/>
  <c r="N7" i="16"/>
  <c r="N4" i="16"/>
  <c r="N5" i="16"/>
  <c r="N8" i="16"/>
  <c r="N9" i="16"/>
  <c r="C6" i="15"/>
  <c r="K6" i="15"/>
  <c r="N6" i="15" s="1"/>
  <c r="C7" i="15"/>
  <c r="C11" i="15" s="1"/>
  <c r="D21" i="15"/>
  <c r="D20" i="15"/>
  <c r="D19" i="15"/>
  <c r="D18" i="15"/>
  <c r="D17" i="15"/>
  <c r="D16" i="15"/>
  <c r="D15" i="15"/>
  <c r="D14" i="15"/>
  <c r="D22" i="15" s="1"/>
  <c r="J11" i="15"/>
  <c r="I11" i="15"/>
  <c r="H11" i="15"/>
  <c r="G11" i="15"/>
  <c r="F11" i="15"/>
  <c r="E11" i="15"/>
  <c r="D11" i="15"/>
  <c r="B11" i="15"/>
  <c r="M11" i="15"/>
  <c r="K5" i="15"/>
  <c r="N5" i="15" s="1"/>
  <c r="K4" i="15"/>
  <c r="K4" i="14"/>
  <c r="K10" i="14"/>
  <c r="O10" i="14" s="1"/>
  <c r="K7" i="14"/>
  <c r="N7" i="14" s="1"/>
  <c r="K6" i="14"/>
  <c r="N6" i="14" s="1"/>
  <c r="K5" i="14"/>
  <c r="M6" i="14"/>
  <c r="M11" i="14"/>
  <c r="C6" i="14"/>
  <c r="H11" i="14"/>
  <c r="K8" i="14"/>
  <c r="N8" i="14" s="1"/>
  <c r="K9" i="14"/>
  <c r="N9" i="14" s="1"/>
  <c r="O9" i="14"/>
  <c r="I11" i="14"/>
  <c r="J11" i="14"/>
  <c r="F7" i="14"/>
  <c r="F11" i="14" s="1"/>
  <c r="C7" i="14"/>
  <c r="C10" i="14"/>
  <c r="D21" i="14"/>
  <c r="D20" i="14"/>
  <c r="D19" i="14"/>
  <c r="D18" i="14"/>
  <c r="D17" i="14"/>
  <c r="D16" i="14"/>
  <c r="D15" i="14"/>
  <c r="D14" i="14"/>
  <c r="D22" i="14" s="1"/>
  <c r="G11" i="14"/>
  <c r="E11" i="14"/>
  <c r="D11" i="14"/>
  <c r="B11" i="14"/>
  <c r="D21" i="13"/>
  <c r="D20" i="13"/>
  <c r="D19" i="13"/>
  <c r="D18" i="13"/>
  <c r="D17" i="13"/>
  <c r="D16" i="13"/>
  <c r="D15" i="13"/>
  <c r="D14" i="13"/>
  <c r="D22" i="13" s="1"/>
  <c r="J11" i="13"/>
  <c r="G11" i="13"/>
  <c r="F11" i="13"/>
  <c r="E11" i="13"/>
  <c r="D11" i="13"/>
  <c r="B11" i="13"/>
  <c r="C10" i="13"/>
  <c r="H9" i="13"/>
  <c r="H8" i="13"/>
  <c r="L8" i="13" s="1"/>
  <c r="C7" i="13"/>
  <c r="H7" i="13" s="1"/>
  <c r="C6" i="13"/>
  <c r="H6" i="13" s="1"/>
  <c r="H5" i="13"/>
  <c r="L5" i="13" s="1"/>
  <c r="H4" i="13"/>
  <c r="L4" i="13" s="1"/>
  <c r="D21" i="12"/>
  <c r="D20" i="12"/>
  <c r="D19" i="12"/>
  <c r="D18" i="12"/>
  <c r="D17" i="12"/>
  <c r="D16" i="12"/>
  <c r="D15" i="12"/>
  <c r="D14" i="12"/>
  <c r="D22" i="12" s="1"/>
  <c r="J11" i="12"/>
  <c r="G11" i="12"/>
  <c r="F11" i="12"/>
  <c r="E11" i="12"/>
  <c r="D11" i="12"/>
  <c r="B11" i="12"/>
  <c r="H10" i="12"/>
  <c r="L10" i="12" s="1"/>
  <c r="H9" i="12"/>
  <c r="L9" i="12" s="1"/>
  <c r="H8" i="12"/>
  <c r="L8" i="12" s="1"/>
  <c r="C7" i="12"/>
  <c r="H7" i="12" s="1"/>
  <c r="C6" i="12"/>
  <c r="H6" i="12" s="1"/>
  <c r="H5" i="12"/>
  <c r="L5" i="12" s="1"/>
  <c r="H4" i="12"/>
  <c r="L4" i="12" s="1"/>
  <c r="C11" i="13" l="1"/>
  <c r="N4" i="14"/>
  <c r="O4" i="14"/>
  <c r="N5" i="14"/>
  <c r="O5" i="14"/>
  <c r="L9" i="13"/>
  <c r="K9" i="13"/>
  <c r="O11" i="16"/>
  <c r="N11" i="16"/>
  <c r="K7" i="15"/>
  <c r="O7" i="15"/>
  <c r="N7" i="15"/>
  <c r="K11" i="15"/>
  <c r="N4" i="15"/>
  <c r="O4" i="15"/>
  <c r="O5" i="15"/>
  <c r="O6" i="15"/>
  <c r="O7" i="14"/>
  <c r="O6" i="14"/>
  <c r="O8" i="14"/>
  <c r="C11" i="14"/>
  <c r="L7" i="13"/>
  <c r="K7" i="13"/>
  <c r="L6" i="13"/>
  <c r="K6" i="13"/>
  <c r="H10" i="13"/>
  <c r="K4" i="13"/>
  <c r="K5" i="13"/>
  <c r="K8" i="13"/>
  <c r="L6" i="12"/>
  <c r="K6" i="12"/>
  <c r="L7" i="12"/>
  <c r="K7" i="12"/>
  <c r="K8" i="12"/>
  <c r="K9" i="12"/>
  <c r="K5" i="12"/>
  <c r="K10" i="12"/>
  <c r="C11" i="12"/>
  <c r="K4" i="12"/>
  <c r="K11" i="12" s="1"/>
  <c r="L11" i="12" l="1"/>
  <c r="O11" i="15"/>
  <c r="N11" i="15"/>
  <c r="L10" i="13"/>
  <c r="L11" i="13" s="1"/>
  <c r="K10" i="13"/>
  <c r="K11" i="13" s="1"/>
  <c r="J5" i="10" l="1"/>
  <c r="J4" i="10"/>
  <c r="I11" i="10" l="1"/>
  <c r="H11" i="10"/>
  <c r="D21" i="11"/>
  <c r="D20" i="11"/>
  <c r="D19" i="11"/>
  <c r="D18" i="11"/>
  <c r="D17" i="11"/>
  <c r="D16" i="11"/>
  <c r="D15" i="11"/>
  <c r="D14" i="11"/>
  <c r="D22" i="11" s="1"/>
  <c r="J11" i="11"/>
  <c r="G11" i="11"/>
  <c r="E11" i="11"/>
  <c r="D11" i="11"/>
  <c r="B11" i="11"/>
  <c r="L10" i="11"/>
  <c r="H10" i="11"/>
  <c r="K10" i="11" s="1"/>
  <c r="H9" i="11"/>
  <c r="L9" i="11" s="1"/>
  <c r="H8" i="11"/>
  <c r="F7" i="11"/>
  <c r="C7" i="11"/>
  <c r="F6" i="11"/>
  <c r="F11" i="11" s="1"/>
  <c r="C6" i="11"/>
  <c r="C11" i="11" s="1"/>
  <c r="H5" i="11"/>
  <c r="L5" i="11" s="1"/>
  <c r="H4" i="11"/>
  <c r="L4" i="11" s="1"/>
  <c r="D21" i="10"/>
  <c r="D20" i="10"/>
  <c r="D19" i="10"/>
  <c r="D18" i="10"/>
  <c r="D17" i="10"/>
  <c r="D16" i="10"/>
  <c r="D15" i="10"/>
  <c r="D14" i="10"/>
  <c r="L11" i="10"/>
  <c r="G11" i="10"/>
  <c r="F11" i="10"/>
  <c r="E11" i="10"/>
  <c r="D11" i="10"/>
  <c r="C11" i="10"/>
  <c r="B11" i="10"/>
  <c r="J10" i="10"/>
  <c r="N10" i="10" s="1"/>
  <c r="J9" i="10"/>
  <c r="N9" i="10" s="1"/>
  <c r="J8" i="10"/>
  <c r="N8" i="10" s="1"/>
  <c r="C7" i="10"/>
  <c r="C6" i="10"/>
  <c r="J6" i="10" s="1"/>
  <c r="N5" i="10"/>
  <c r="M5" i="10"/>
  <c r="M4" i="10"/>
  <c r="D21" i="9"/>
  <c r="D20" i="9"/>
  <c r="D19" i="9"/>
  <c r="D18" i="9"/>
  <c r="D17" i="9"/>
  <c r="D16" i="9"/>
  <c r="D15" i="9"/>
  <c r="D14" i="9"/>
  <c r="D22" i="9" s="1"/>
  <c r="J11" i="9"/>
  <c r="G11" i="9"/>
  <c r="E11" i="9"/>
  <c r="D11" i="9"/>
  <c r="B11" i="9"/>
  <c r="H10" i="9"/>
  <c r="L10" i="9" s="1"/>
  <c r="H9" i="9"/>
  <c r="H8" i="9"/>
  <c r="L8" i="9" s="1"/>
  <c r="C7" i="9"/>
  <c r="H7" i="9" s="1"/>
  <c r="K7" i="9" s="1"/>
  <c r="F6" i="9"/>
  <c r="C6" i="9"/>
  <c r="C11" i="9" s="1"/>
  <c r="H5" i="9"/>
  <c r="L5" i="9" s="1"/>
  <c r="H4" i="9"/>
  <c r="L4" i="9" s="1"/>
  <c r="D21" i="8"/>
  <c r="D20" i="8"/>
  <c r="D19" i="8"/>
  <c r="D18" i="8"/>
  <c r="D17" i="8"/>
  <c r="D16" i="8"/>
  <c r="D15" i="8"/>
  <c r="D14" i="8"/>
  <c r="D22" i="8" s="1"/>
  <c r="J11" i="8"/>
  <c r="G11" i="8"/>
  <c r="F11" i="8"/>
  <c r="E11" i="8"/>
  <c r="D11" i="8"/>
  <c r="B11" i="8"/>
  <c r="H10" i="8"/>
  <c r="L10" i="8" s="1"/>
  <c r="H9" i="8"/>
  <c r="K9" i="8" s="1"/>
  <c r="H8" i="8"/>
  <c r="L8" i="8" s="1"/>
  <c r="C7" i="8"/>
  <c r="H7" i="8" s="1"/>
  <c r="C6" i="8"/>
  <c r="C11" i="8" s="1"/>
  <c r="H5" i="8"/>
  <c r="L5" i="8" s="1"/>
  <c r="H4" i="8"/>
  <c r="K4" i="8" s="1"/>
  <c r="D21" i="7"/>
  <c r="D20" i="7"/>
  <c r="D19" i="7"/>
  <c r="D18" i="7"/>
  <c r="D17" i="7"/>
  <c r="D16" i="7"/>
  <c r="D15" i="7"/>
  <c r="D14" i="7"/>
  <c r="D22" i="7" s="1"/>
  <c r="J11" i="7"/>
  <c r="G11" i="7"/>
  <c r="F11" i="7"/>
  <c r="E11" i="7"/>
  <c r="D11" i="7"/>
  <c r="B11" i="7"/>
  <c r="H10" i="7"/>
  <c r="L10" i="7" s="1"/>
  <c r="C9" i="7"/>
  <c r="H9" i="7" s="1"/>
  <c r="L9" i="7" s="1"/>
  <c r="H8" i="7"/>
  <c r="L8" i="7" s="1"/>
  <c r="C7" i="7"/>
  <c r="H7" i="7" s="1"/>
  <c r="C6" i="7"/>
  <c r="H5" i="7"/>
  <c r="L5" i="7" s="1"/>
  <c r="H4" i="7"/>
  <c r="L4" i="7" s="1"/>
  <c r="H7" i="11" l="1"/>
  <c r="H6" i="11"/>
  <c r="D22" i="10"/>
  <c r="H6" i="9"/>
  <c r="L8" i="11"/>
  <c r="K8" i="11"/>
  <c r="L9" i="9"/>
  <c r="K9" i="9"/>
  <c r="H6" i="7"/>
  <c r="C11" i="7"/>
  <c r="M8" i="10"/>
  <c r="J7" i="10"/>
  <c r="J11" i="10" s="1"/>
  <c r="L4" i="8"/>
  <c r="K9" i="11"/>
  <c r="K4" i="11"/>
  <c r="K5" i="11"/>
  <c r="M6" i="10"/>
  <c r="N6" i="10"/>
  <c r="N7" i="10"/>
  <c r="M7" i="10"/>
  <c r="M9" i="10"/>
  <c r="N4" i="10"/>
  <c r="M10" i="10"/>
  <c r="L11" i="9"/>
  <c r="K6" i="9"/>
  <c r="L6" i="9"/>
  <c r="K5" i="9"/>
  <c r="K10" i="9"/>
  <c r="F11" i="9"/>
  <c r="L7" i="9"/>
  <c r="K4" i="9"/>
  <c r="K8" i="9"/>
  <c r="K7" i="8"/>
  <c r="L7" i="8"/>
  <c r="K8" i="8"/>
  <c r="L9" i="8"/>
  <c r="K10" i="8"/>
  <c r="K5" i="8"/>
  <c r="H6" i="8"/>
  <c r="L6" i="7"/>
  <c r="K6" i="7"/>
  <c r="L7" i="7"/>
  <c r="K7" i="7"/>
  <c r="K9" i="7"/>
  <c r="K10" i="7"/>
  <c r="K4" i="7"/>
  <c r="K11" i="7" s="1"/>
  <c r="K5" i="7"/>
  <c r="K8" i="7"/>
  <c r="K11" i="11" l="1"/>
  <c r="L11" i="7"/>
  <c r="K7" i="11"/>
  <c r="L7" i="11"/>
  <c r="L6" i="11"/>
  <c r="L11" i="11" s="1"/>
  <c r="K6" i="11"/>
  <c r="M11" i="10"/>
  <c r="N11" i="10"/>
  <c r="K11" i="9"/>
  <c r="L6" i="8"/>
  <c r="L11" i="8" s="1"/>
  <c r="K6" i="8"/>
  <c r="K11" i="8" s="1"/>
  <c r="D21" i="6" l="1"/>
  <c r="D20" i="6"/>
  <c r="D19" i="6"/>
  <c r="D18" i="6"/>
  <c r="D17" i="6"/>
  <c r="D16" i="6"/>
  <c r="D15" i="6"/>
  <c r="D14" i="6"/>
  <c r="J11" i="6"/>
  <c r="G11" i="6"/>
  <c r="E11" i="6"/>
  <c r="D11" i="6"/>
  <c r="B11" i="6"/>
  <c r="H10" i="6"/>
  <c r="F9" i="6"/>
  <c r="C9" i="6"/>
  <c r="H8" i="6"/>
  <c r="L8" i="6" s="1"/>
  <c r="C7" i="6"/>
  <c r="H7" i="6" s="1"/>
  <c r="C6" i="6"/>
  <c r="H6" i="6" s="1"/>
  <c r="H5" i="6"/>
  <c r="K5" i="6" s="1"/>
  <c r="H4" i="6"/>
  <c r="D21" i="5"/>
  <c r="D20" i="5"/>
  <c r="D19" i="5"/>
  <c r="D18" i="5"/>
  <c r="D17" i="5"/>
  <c r="D16" i="5"/>
  <c r="D15" i="5"/>
  <c r="D14" i="5"/>
  <c r="J11" i="5"/>
  <c r="G11" i="5"/>
  <c r="F11" i="5"/>
  <c r="E11" i="5"/>
  <c r="D11" i="5"/>
  <c r="B11" i="5"/>
  <c r="H10" i="5"/>
  <c r="L10" i="5" s="1"/>
  <c r="H9" i="5"/>
  <c r="H8" i="5"/>
  <c r="K8" i="5" s="1"/>
  <c r="C7" i="5"/>
  <c r="H7" i="5" s="1"/>
  <c r="C6" i="5"/>
  <c r="H6" i="5" s="1"/>
  <c r="H5" i="5"/>
  <c r="L5" i="5" s="1"/>
  <c r="H4" i="5"/>
  <c r="L4" i="5" s="1"/>
  <c r="D22" i="6" l="1"/>
  <c r="H9" i="6"/>
  <c r="K10" i="6"/>
  <c r="L10" i="6"/>
  <c r="K4" i="6"/>
  <c r="L4" i="6"/>
  <c r="K9" i="5"/>
  <c r="L9" i="5"/>
  <c r="F11" i="6"/>
  <c r="D22" i="5"/>
  <c r="L9" i="6"/>
  <c r="K9" i="6"/>
  <c r="K6" i="6"/>
  <c r="L6" i="6"/>
  <c r="L7" i="6"/>
  <c r="K7" i="6"/>
  <c r="L5" i="6"/>
  <c r="C11" i="6"/>
  <c r="K8" i="6"/>
  <c r="L7" i="5"/>
  <c r="K7" i="5"/>
  <c r="K6" i="5"/>
  <c r="L6" i="5"/>
  <c r="K4" i="5"/>
  <c r="K10" i="5"/>
  <c r="K5" i="5"/>
  <c r="C11" i="5"/>
  <c r="L8" i="5"/>
  <c r="D21" i="4"/>
  <c r="D20" i="4"/>
  <c r="D19" i="4"/>
  <c r="D18" i="4"/>
  <c r="D17" i="4"/>
  <c r="D16" i="4"/>
  <c r="D15" i="4"/>
  <c r="D14" i="4"/>
  <c r="J11" i="4"/>
  <c r="G11" i="4"/>
  <c r="F11" i="4"/>
  <c r="E11" i="4"/>
  <c r="D11" i="4"/>
  <c r="B11" i="4"/>
  <c r="H10" i="4"/>
  <c r="L10" i="4" s="1"/>
  <c r="H9" i="4"/>
  <c r="K9" i="4" s="1"/>
  <c r="H8" i="4"/>
  <c r="K8" i="4" s="1"/>
  <c r="C7" i="4"/>
  <c r="H7" i="4" s="1"/>
  <c r="C6" i="4"/>
  <c r="H6" i="4" s="1"/>
  <c r="H5" i="4"/>
  <c r="L5" i="4" s="1"/>
  <c r="H4" i="4"/>
  <c r="L4" i="4" s="1"/>
  <c r="D21" i="3"/>
  <c r="D20" i="3"/>
  <c r="D19" i="3"/>
  <c r="D18" i="3"/>
  <c r="D17" i="3"/>
  <c r="D16" i="3"/>
  <c r="D15" i="3"/>
  <c r="D14" i="3"/>
  <c r="J11" i="3"/>
  <c r="G11" i="3"/>
  <c r="F11" i="3"/>
  <c r="E11" i="3"/>
  <c r="D11" i="3"/>
  <c r="B11" i="3"/>
  <c r="H10" i="3"/>
  <c r="L10" i="3" s="1"/>
  <c r="H9" i="3"/>
  <c r="L9" i="3" s="1"/>
  <c r="H8" i="3"/>
  <c r="L8" i="3" s="1"/>
  <c r="C7" i="3"/>
  <c r="H7" i="3" s="1"/>
  <c r="C6" i="3"/>
  <c r="H6" i="3" s="1"/>
  <c r="H5" i="3"/>
  <c r="K5" i="3" s="1"/>
  <c r="H4" i="3"/>
  <c r="L4" i="3" s="1"/>
  <c r="L11" i="5" l="1"/>
  <c r="K4" i="4"/>
  <c r="L9" i="4"/>
  <c r="K10" i="4"/>
  <c r="D22" i="4"/>
  <c r="D22" i="3"/>
  <c r="C11" i="4"/>
  <c r="K11" i="6"/>
  <c r="L11" i="6"/>
  <c r="K11" i="5"/>
  <c r="L6" i="4"/>
  <c r="K6" i="4"/>
  <c r="L7" i="4"/>
  <c r="K7" i="4"/>
  <c r="K5" i="4"/>
  <c r="L8" i="4"/>
  <c r="L6" i="3"/>
  <c r="K6" i="3"/>
  <c r="L7" i="3"/>
  <c r="K7" i="3"/>
  <c r="K4" i="3"/>
  <c r="L5" i="3"/>
  <c r="K10" i="3"/>
  <c r="C11" i="3"/>
  <c r="K8" i="3"/>
  <c r="K9" i="3"/>
  <c r="C7" i="2"/>
  <c r="C11" i="2"/>
  <c r="D21" i="2"/>
  <c r="D20" i="2"/>
  <c r="D19" i="2"/>
  <c r="D18" i="2"/>
  <c r="D17" i="2"/>
  <c r="D16" i="2"/>
  <c r="D15" i="2"/>
  <c r="D14" i="2"/>
  <c r="D22" i="2" s="1"/>
  <c r="J11" i="2"/>
  <c r="G11" i="2"/>
  <c r="F11" i="2"/>
  <c r="E11" i="2"/>
  <c r="D11" i="2"/>
  <c r="B11" i="2"/>
  <c r="H10" i="2"/>
  <c r="L10" i="2" s="1"/>
  <c r="H9" i="2"/>
  <c r="L9" i="2" s="1"/>
  <c r="H8" i="2"/>
  <c r="H6" i="2"/>
  <c r="H5" i="2"/>
  <c r="L5" i="2" s="1"/>
  <c r="H4" i="2"/>
  <c r="L4" i="2" s="1"/>
  <c r="C7" i="1"/>
  <c r="H7" i="1" s="1"/>
  <c r="C6" i="1"/>
  <c r="C8" i="1"/>
  <c r="H8" i="1" s="1"/>
  <c r="D21" i="1"/>
  <c r="D20" i="1"/>
  <c r="D19" i="1"/>
  <c r="D18" i="1"/>
  <c r="D17" i="1"/>
  <c r="D16" i="1"/>
  <c r="D15" i="1"/>
  <c r="D14" i="1"/>
  <c r="J11" i="1"/>
  <c r="G11" i="1"/>
  <c r="F11" i="1"/>
  <c r="E11" i="1"/>
  <c r="D11" i="1"/>
  <c r="B11" i="1"/>
  <c r="H10" i="1"/>
  <c r="L10" i="1" s="1"/>
  <c r="H9" i="1"/>
  <c r="K9" i="1" s="1"/>
  <c r="H5" i="1"/>
  <c r="L5" i="1" s="1"/>
  <c r="H4" i="1"/>
  <c r="L4" i="1" s="1"/>
  <c r="K11" i="4" l="1"/>
  <c r="L11" i="3"/>
  <c r="L11" i="4"/>
  <c r="C11" i="1"/>
  <c r="K11" i="3"/>
  <c r="H7" i="2"/>
  <c r="K7" i="2" s="1"/>
  <c r="K4" i="2"/>
  <c r="L6" i="2"/>
  <c r="K6" i="2"/>
  <c r="L7" i="2"/>
  <c r="L8" i="2"/>
  <c r="K8" i="2"/>
  <c r="K5" i="2"/>
  <c r="K9" i="2"/>
  <c r="K10" i="2"/>
  <c r="D22" i="1"/>
  <c r="H6" i="1"/>
  <c r="L7" i="1"/>
  <c r="K7" i="1"/>
  <c r="K8" i="1"/>
  <c r="L8" i="1"/>
  <c r="L9" i="1"/>
  <c r="K10" i="1"/>
  <c r="K4" i="1"/>
  <c r="K5" i="1"/>
  <c r="L6" i="1" l="1"/>
  <c r="K6" i="1"/>
  <c r="K11" i="1" s="1"/>
  <c r="K11" i="2"/>
  <c r="L11" i="2"/>
  <c r="L11" i="1"/>
  <c r="K11" i="14"/>
  <c r="N10" i="14"/>
  <c r="N11" i="14" s="1"/>
  <c r="O11" i="14"/>
  <c r="I9" i="27" l="1"/>
  <c r="E9" i="27"/>
  <c r="P9" i="27"/>
  <c r="O9" i="27"/>
  <c r="G9" i="27"/>
  <c r="C9" i="27"/>
  <c r="H9" i="27"/>
  <c r="D9" i="27"/>
  <c r="J9" i="27"/>
  <c r="L9" i="27"/>
  <c r="F9" i="27"/>
  <c r="B9" i="27"/>
  <c r="N9" i="27"/>
  <c r="K9" i="27"/>
</calcChain>
</file>

<file path=xl/sharedStrings.xml><?xml version="1.0" encoding="utf-8"?>
<sst xmlns="http://schemas.openxmlformats.org/spreadsheetml/2006/main" count="869" uniqueCount="89">
  <si>
    <t xml:space="preserve">               </t>
  </si>
  <si>
    <t>NOIR CINEMA DCS BOX &amp; CONCESSION</t>
  </si>
  <si>
    <t>User</t>
  </si>
  <si>
    <t>Cash</t>
  </si>
  <si>
    <t>Credit Card</t>
  </si>
  <si>
    <t>Online</t>
  </si>
  <si>
    <t>Comp</t>
  </si>
  <si>
    <t>Influncer Voucher</t>
  </si>
  <si>
    <t>Total</t>
  </si>
  <si>
    <t>As per Report Revenue</t>
  </si>
  <si>
    <t>Excess</t>
  </si>
  <si>
    <t>Shortage</t>
  </si>
  <si>
    <t>UNPUNCH</t>
  </si>
  <si>
    <t>KIOSK (Online)</t>
  </si>
  <si>
    <t>Hossam Saif Alharbi</t>
  </si>
  <si>
    <t>Ohoud Saeed Almutairi</t>
  </si>
  <si>
    <t>Saja majid aldegaither</t>
  </si>
  <si>
    <t>Gahala Abdullah Alsultan</t>
  </si>
  <si>
    <t>X</t>
  </si>
  <si>
    <t xml:space="preserve"> </t>
  </si>
  <si>
    <t>Coins</t>
  </si>
  <si>
    <t>Final Deposit Amount</t>
  </si>
  <si>
    <t>01/02//2025</t>
  </si>
  <si>
    <t>Denomination 01/02/2025</t>
  </si>
  <si>
    <t>Ghonim Abdulrahman alghonim</t>
  </si>
  <si>
    <t>Mohammed Almutari</t>
  </si>
  <si>
    <t>02/02//2025</t>
  </si>
  <si>
    <t>Denomination02/02/2025</t>
  </si>
  <si>
    <t xml:space="preserve">LUCKY SEAT OFFER    </t>
  </si>
  <si>
    <t>03/02//2025</t>
  </si>
  <si>
    <t>Ghonim Abdulrahman</t>
  </si>
  <si>
    <t>Nawaf Hamdi Alharbi</t>
  </si>
  <si>
    <t>Denomination03/02/2025</t>
  </si>
  <si>
    <t>04/02//2025</t>
  </si>
  <si>
    <t>Denomination04/02/2025</t>
  </si>
  <si>
    <t>05/02//2025</t>
  </si>
  <si>
    <t>Beshari Ebrahim Alnashmi</t>
  </si>
  <si>
    <t>Denomination05/02/2025</t>
  </si>
  <si>
    <t>06/02//2025</t>
  </si>
  <si>
    <t>Denomination06/02/2025</t>
  </si>
  <si>
    <t>07/02//2025</t>
  </si>
  <si>
    <t>Denomination07/02/2025</t>
  </si>
  <si>
    <t xml:space="preserve">  </t>
  </si>
  <si>
    <t>08/02//2025</t>
  </si>
  <si>
    <t>Denomination08/02/2025</t>
  </si>
  <si>
    <t>09/02//2025</t>
  </si>
  <si>
    <t>Denomination09/02/2025</t>
  </si>
  <si>
    <t>10/02//2025</t>
  </si>
  <si>
    <t>Denomination10/02/2025</t>
  </si>
  <si>
    <t>11/02//2025</t>
  </si>
  <si>
    <t>Denomination11/02/2025</t>
  </si>
  <si>
    <t>Hunger Station</t>
  </si>
  <si>
    <t>Bogo Offer</t>
  </si>
  <si>
    <t>SM Voucher</t>
  </si>
  <si>
    <t>12/02//2025</t>
  </si>
  <si>
    <t>Denomination12/02/2025</t>
  </si>
  <si>
    <t>Denomination13/02/2025</t>
  </si>
  <si>
    <t xml:space="preserve">                                                                                       </t>
  </si>
  <si>
    <t>Denomination14/02/2025</t>
  </si>
  <si>
    <t>14/02//2025</t>
  </si>
  <si>
    <t>buy one
 get one Free offer</t>
  </si>
  <si>
    <t>Denomination15/02/2025</t>
  </si>
  <si>
    <t>15/02//2025</t>
  </si>
  <si>
    <t>Denomination16/02/2025</t>
  </si>
  <si>
    <t>16/02//2025</t>
  </si>
  <si>
    <t>Denomination17/02/2025</t>
  </si>
  <si>
    <t>17/02//2025</t>
  </si>
  <si>
    <t>18/02//2025</t>
  </si>
  <si>
    <t>Denomination18/02/2025</t>
  </si>
  <si>
    <t>Denomination19/02/2025</t>
  </si>
  <si>
    <t>19/02//2025</t>
  </si>
  <si>
    <t>Denomination20/02/2025</t>
  </si>
  <si>
    <t>Ohoud SaeedAlmutair</t>
  </si>
  <si>
    <t>20/02//2025</t>
  </si>
  <si>
    <t>Denomination22/02/2025</t>
  </si>
  <si>
    <t>22/02//2025</t>
  </si>
  <si>
    <t>23/02//2025</t>
  </si>
  <si>
    <t>Denomination23/02/2025</t>
  </si>
  <si>
    <t>foundig day</t>
  </si>
  <si>
    <t>Denomination24/02/2025</t>
  </si>
  <si>
    <t>24/02//2025</t>
  </si>
  <si>
    <t>Ohoud Saeed Almutairi(</t>
  </si>
  <si>
    <t>21/02//2025</t>
  </si>
  <si>
    <t>Denomination25/02/2025</t>
  </si>
  <si>
    <t>25/02//2025</t>
  </si>
  <si>
    <t>Denomination26/02/2025</t>
  </si>
  <si>
    <t>26/02//2025</t>
  </si>
  <si>
    <t>Denomination27/02/2025</t>
  </si>
  <si>
    <t>27/02//2025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</si>
</sst>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&quot; &quot;d&quot;, &quot;yyyy"/>
    <numFmt numFmtId="165" formatCode="[$-409]m\-d\-yyyy"/>
    <numFmt numFmtId="166" formatCode="d\-mmm\-yy;@"/>
    <numFmt numFmtId="167" formatCode="0.000"/>
    <numFmt numFmtId="168" formatCode="d/mmm/yy;@"/>
    <numFmt numFmtId="169" formatCode="#,##0.000&quot; &quot;;&quot; (&quot;#,##0.000&quot;)&quot;;&quot; -&quot;#.0&quot; &quot;;@&quot; &quot;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2"/>
    </font>
    <font>
      <sz val="11"/>
      <color rgb="FFFF0000"/>
      <name val="Arial Narrow"/>
      <family val="2"/>
    </font>
    <font>
      <sz val="11"/>
      <color theme="1"/>
      <name val="Arial Narrow"/>
      <family val="2"/>
    </font>
    <font>
      <b/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48A54"/>
        <bgColor rgb="FF948A54"/>
      </patternFill>
    </fill>
    <fill>
      <patternFill patternType="solid">
        <fgColor theme="4" tint="0.59999389629810485"/>
        <bgColor rgb="FFB3A2C7"/>
      </patternFill>
    </fill>
    <fill>
      <patternFill patternType="solid">
        <fgColor rgb="FFFFFF00"/>
        <bgColor rgb="FFFFFF00"/>
      </patternFill>
    </fill>
    <fill>
      <patternFill patternType="solid">
        <fgColor rgb="FFFCD5B5"/>
        <bgColor rgb="FFFCD5B5"/>
      </patternFill>
    </fill>
    <fill>
      <patternFill patternType="solid">
        <fgColor rgb="FFFFFF00"/>
        <bgColor rgb="FF00B0F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6663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168" fontId="8" fillId="0" borderId="0"/>
  </cellStyleXfs>
  <cellXfs count="56">
    <xf numFmtId="0" fontId="0" fillId="0" borderId="0" xfId="0"/>
    <xf numFmtId="164" fontId="4" fillId="0" borderId="0" xfId="1" applyNumberFormat="1" applyFont="1" applyAlignment="1">
      <alignment horizontal="center"/>
    </xf>
    <xf numFmtId="165" fontId="5" fillId="2" borderId="0" xfId="1" applyNumberFormat="1" applyFont="1" applyFill="1"/>
    <xf numFmtId="0" fontId="1" fillId="0" borderId="0" xfId="0" applyFont="1"/>
    <xf numFmtId="0" fontId="5" fillId="0" borderId="0" xfId="1" applyFont="1"/>
    <xf numFmtId="167" fontId="4" fillId="4" borderId="4" xfId="1" applyNumberFormat="1" applyFont="1" applyFill="1" applyBorder="1" applyAlignment="1">
      <alignment horizontal="center" vertical="center" wrapText="1"/>
    </xf>
    <xf numFmtId="167" fontId="4" fillId="4" borderId="5" xfId="1" applyNumberFormat="1" applyFont="1" applyFill="1" applyBorder="1" applyAlignment="1">
      <alignment horizontal="center" vertical="center" wrapText="1"/>
    </xf>
    <xf numFmtId="167" fontId="4" fillId="4" borderId="7" xfId="1" applyNumberFormat="1" applyFont="1" applyFill="1" applyBorder="1" applyAlignment="1">
      <alignment horizontal="center" vertical="center" wrapText="1"/>
    </xf>
    <xf numFmtId="167" fontId="7" fillId="0" borderId="8" xfId="0" applyNumberFormat="1" applyFont="1" applyBorder="1" applyAlignment="1">
      <alignment vertical="center"/>
    </xf>
    <xf numFmtId="167" fontId="9" fillId="2" borderId="9" xfId="2" applyNumberFormat="1" applyFont="1" applyFill="1" applyBorder="1"/>
    <xf numFmtId="167" fontId="10" fillId="0" borderId="9" xfId="2" applyNumberFormat="1" applyFont="1" applyBorder="1" applyAlignment="1">
      <alignment horizontal="right"/>
    </xf>
    <xf numFmtId="167" fontId="4" fillId="0" borderId="9" xfId="2" applyNumberFormat="1" applyFont="1" applyBorder="1"/>
    <xf numFmtId="167" fontId="4" fillId="0" borderId="10" xfId="2" applyNumberFormat="1" applyFont="1" applyBorder="1"/>
    <xf numFmtId="0" fontId="10" fillId="0" borderId="0" xfId="0" applyFont="1"/>
    <xf numFmtId="167" fontId="4" fillId="6" borderId="11" xfId="1" applyNumberFormat="1" applyFont="1" applyFill="1" applyBorder="1"/>
    <xf numFmtId="167" fontId="4" fillId="6" borderId="12" xfId="2" applyNumberFormat="1" applyFont="1" applyFill="1" applyBorder="1"/>
    <xf numFmtId="167" fontId="4" fillId="7" borderId="12" xfId="2" applyNumberFormat="1" applyFont="1" applyFill="1" applyBorder="1" applyAlignment="1">
      <alignment horizontal="center" vertical="center"/>
    </xf>
    <xf numFmtId="0" fontId="11" fillId="0" borderId="0" xfId="1" applyFont="1" applyAlignment="1">
      <alignment horizontal="center"/>
    </xf>
    <xf numFmtId="167" fontId="5" fillId="0" borderId="0" xfId="1" applyNumberFormat="1" applyFont="1"/>
    <xf numFmtId="0" fontId="5" fillId="0" borderId="13" xfId="1" applyFont="1" applyBorder="1"/>
    <xf numFmtId="0" fontId="5" fillId="0" borderId="14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169" fontId="5" fillId="0" borderId="15" xfId="2" applyNumberFormat="1" applyFont="1" applyBorder="1"/>
    <xf numFmtId="0" fontId="5" fillId="0" borderId="16" xfId="1" applyFont="1" applyBorder="1"/>
    <xf numFmtId="0" fontId="5" fillId="0" borderId="17" xfId="1" applyFont="1" applyBorder="1" applyAlignment="1">
      <alignment horizontal="center"/>
    </xf>
    <xf numFmtId="0" fontId="5" fillId="0" borderId="16" xfId="1" applyFont="1" applyBorder="1" applyAlignment="1">
      <alignment horizontal="right"/>
    </xf>
    <xf numFmtId="0" fontId="5" fillId="0" borderId="18" xfId="1" applyFont="1" applyBorder="1" applyAlignment="1">
      <alignment horizontal="center"/>
    </xf>
    <xf numFmtId="169" fontId="1" fillId="0" borderId="0" xfId="0" applyNumberFormat="1" applyFont="1"/>
    <xf numFmtId="0" fontId="2" fillId="0" borderId="0" xfId="0" applyFont="1"/>
    <xf numFmtId="1" fontId="5" fillId="0" borderId="21" xfId="1" applyNumberFormat="1" applyFont="1" applyBorder="1" applyAlignment="1">
      <alignment horizontal="left" indent="3"/>
    </xf>
    <xf numFmtId="169" fontId="6" fillId="5" borderId="22" xfId="1" applyNumberFormat="1" applyFont="1" applyFill="1" applyBorder="1"/>
    <xf numFmtId="0" fontId="0" fillId="0" borderId="9" xfId="0" applyBorder="1"/>
    <xf numFmtId="0" fontId="0" fillId="0" borderId="9" xfId="0" applyBorder="1" applyAlignment="1">
      <alignment wrapText="1"/>
    </xf>
    <xf numFmtId="169" fontId="0" fillId="0" borderId="0" xfId="0" applyNumberFormat="1"/>
    <xf numFmtId="167" fontId="4" fillId="5" borderId="6" xfId="1" applyNumberFormat="1" applyFont="1" applyFill="1" applyBorder="1" applyAlignment="1">
      <alignment horizontal="center" vertical="center" wrapText="1"/>
    </xf>
    <xf numFmtId="0" fontId="0" fillId="9" borderId="9" xfId="0" applyFill="1" applyBorder="1"/>
    <xf numFmtId="0" fontId="1" fillId="0" borderId="0" xfId="0" applyFont="1" applyAlignment="1">
      <alignment horizontal="center"/>
    </xf>
    <xf numFmtId="0" fontId="4" fillId="8" borderId="9" xfId="0" applyFont="1" applyFill="1" applyBorder="1" applyAlignment="1">
      <alignment horizontal="center" wrapText="1"/>
    </xf>
    <xf numFmtId="167" fontId="4" fillId="6" borderId="12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/>
    <xf numFmtId="167" fontId="9" fillId="2" borderId="9" xfId="2" applyNumberFormat="1" applyFont="1" applyFill="1" applyBorder="1" applyAlignment="1">
      <alignment horizontal="right"/>
    </xf>
    <xf numFmtId="0" fontId="0" fillId="0" borderId="0" xfId="0" applyAlignment="1">
      <alignment wrapText="1"/>
    </xf>
    <xf numFmtId="166" fontId="6" fillId="3" borderId="24" xfId="1" applyNumberFormat="1" applyFont="1" applyFill="1" applyBorder="1" applyAlignment="1">
      <alignment horizontal="center"/>
    </xf>
    <xf numFmtId="166" fontId="6" fillId="3" borderId="0" xfId="1" applyNumberFormat="1" applyFont="1" applyFill="1" applyAlignment="1">
      <alignment horizontal="center"/>
    </xf>
    <xf numFmtId="166" fontId="6" fillId="3" borderId="25" xfId="1" applyNumberFormat="1" applyFont="1" applyFill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/>
    </xf>
    <xf numFmtId="0" fontId="6" fillId="0" borderId="20" xfId="1" applyFont="1" applyBorder="1" applyAlignment="1">
      <alignment horizontal="center"/>
    </xf>
    <xf numFmtId="166" fontId="6" fillId="3" borderId="1" xfId="1" applyNumberFormat="1" applyFont="1" applyFill="1" applyBorder="1" applyAlignment="1">
      <alignment horizontal="center"/>
    </xf>
    <xf numFmtId="166" fontId="6" fillId="3" borderId="2" xfId="1" applyNumberFormat="1" applyFont="1" applyFill="1" applyBorder="1" applyAlignment="1">
      <alignment horizontal="center"/>
    </xf>
    <xf numFmtId="166" fontId="6" fillId="3" borderId="3" xfId="1" applyNumberFormat="1" applyFont="1" applyFill="1" applyBorder="1" applyAlignment="1">
      <alignment horizontal="center"/>
    </xf>
    <xf numFmtId="167" fontId="4" fillId="5" borderId="6" xfId="1" applyNumberFormat="1" applyFont="1" applyFill="1" applyBorder="1" applyAlignment="1">
      <alignment horizontal="center" vertical="center" wrapText="1"/>
    </xf>
    <xf numFmtId="166" fontId="6" fillId="3" borderId="23" xfId="1" applyNumberFormat="1" applyFont="1" applyFill="1" applyBorder="1" applyAlignment="1">
      <alignment horizontal="center"/>
    </xf>
  </cellXfs>
  <cellStyles count="3">
    <cellStyle name="Excel Built-in Normal" xfId="1" xr:uid="{00000000-0005-0000-0000-000000000000}"/>
    <cellStyle name="Excel_BuiltIn_Comma" xfId="2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66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workbookViewId="0">
      <selection activeCell="H18" sqref="H18"/>
    </sheetView>
  </sheetViews>
  <sheetFormatPr defaultRowHeight="15"/>
  <cols>
    <col min="1" max="1" width="30" customWidth="1"/>
    <col min="3" max="4" width="9.42578125" bestFit="1" customWidth="1"/>
  </cols>
  <sheetData>
    <row r="1" spans="1:12" ht="17.25" thickBot="1">
      <c r="A1" s="1" t="s">
        <v>22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2" ht="17.25" thickBot="1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3"/>
    </row>
    <row r="3" spans="1:12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6" t="s">
        <v>8</v>
      </c>
      <c r="I3" s="54"/>
      <c r="J3" s="6" t="s">
        <v>9</v>
      </c>
      <c r="K3" s="6" t="s">
        <v>10</v>
      </c>
      <c r="L3" s="7" t="s">
        <v>11</v>
      </c>
    </row>
    <row r="4" spans="1:12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10">
        <f>+G4+F4+E4+D4+C4+B4</f>
        <v>0</v>
      </c>
      <c r="I4" s="54"/>
      <c r="J4" s="9">
        <v>0</v>
      </c>
      <c r="K4" s="11">
        <f>IF(H4&gt;J4,H4-J4,0)</f>
        <v>0</v>
      </c>
      <c r="L4" s="12">
        <f>IF(J4&gt;H4,J4-H4,0)</f>
        <v>0</v>
      </c>
    </row>
    <row r="5" spans="1:12" ht="16.5">
      <c r="A5" s="8" t="s">
        <v>13</v>
      </c>
      <c r="B5" s="9">
        <v>0</v>
      </c>
      <c r="C5" s="9">
        <v>256</v>
      </c>
      <c r="D5" s="9">
        <v>0</v>
      </c>
      <c r="E5" s="9">
        <v>0</v>
      </c>
      <c r="F5" s="9">
        <v>0</v>
      </c>
      <c r="G5" s="9">
        <v>0</v>
      </c>
      <c r="H5" s="10">
        <f t="shared" ref="H5:H10" si="0">+G5+F5+E5+D5+C5+B5</f>
        <v>256</v>
      </c>
      <c r="I5" s="54"/>
      <c r="J5" s="9">
        <v>256</v>
      </c>
      <c r="K5" s="11">
        <f>IF(H5&gt;J5,H5-J5,0)</f>
        <v>0</v>
      </c>
      <c r="L5" s="12">
        <f>IF(J5&gt;H5,J5-H5,0)</f>
        <v>0</v>
      </c>
    </row>
    <row r="6" spans="1:12" ht="16.5">
      <c r="A6" s="31" t="s">
        <v>17</v>
      </c>
      <c r="B6" s="9">
        <v>0</v>
      </c>
      <c r="C6" s="9">
        <f>134+20+20+20+143</f>
        <v>337</v>
      </c>
      <c r="D6" s="9">
        <v>0</v>
      </c>
      <c r="E6" s="9">
        <v>0</v>
      </c>
      <c r="F6" s="9">
        <v>0</v>
      </c>
      <c r="G6" s="9">
        <v>0</v>
      </c>
      <c r="H6" s="10">
        <f t="shared" si="0"/>
        <v>337</v>
      </c>
      <c r="I6" s="54"/>
      <c r="J6" s="9">
        <v>337</v>
      </c>
      <c r="K6" s="11">
        <f>IF(H6&gt;J6,H6-J6,0)</f>
        <v>0</v>
      </c>
      <c r="L6" s="12">
        <f>IF(J6&gt;H6,J6-H6,0)</f>
        <v>0</v>
      </c>
    </row>
    <row r="7" spans="1:12" ht="16.5">
      <c r="A7" s="31" t="s">
        <v>24</v>
      </c>
      <c r="B7" s="9">
        <v>274</v>
      </c>
      <c r="C7" s="9">
        <f>6+14+20+137+19+32+20+15+20+20+104+276+254+64+82</f>
        <v>1083</v>
      </c>
      <c r="D7" s="9">
        <v>0</v>
      </c>
      <c r="E7" s="9">
        <v>0</v>
      </c>
      <c r="F7" s="9">
        <v>32</v>
      </c>
      <c r="G7" s="9">
        <v>0</v>
      </c>
      <c r="H7" s="10">
        <f t="shared" si="0"/>
        <v>1389</v>
      </c>
      <c r="I7" s="54"/>
      <c r="J7" s="9">
        <v>1389</v>
      </c>
      <c r="K7" s="11">
        <f>IF(H7&gt;J7,H7-J7,0)</f>
        <v>0</v>
      </c>
      <c r="L7" s="12">
        <f>IF(J7&gt;H7,J7-H7,0)</f>
        <v>0</v>
      </c>
    </row>
    <row r="8" spans="1:12" s="13" customFormat="1" ht="16.5">
      <c r="A8" s="31" t="s">
        <v>25</v>
      </c>
      <c r="B8" s="9">
        <v>131</v>
      </c>
      <c r="C8" s="9">
        <f>20+180+25+32</f>
        <v>257</v>
      </c>
      <c r="D8" s="9">
        <v>20</v>
      </c>
      <c r="E8" s="9">
        <v>0</v>
      </c>
      <c r="F8" s="9">
        <v>0</v>
      </c>
      <c r="G8" s="9">
        <v>0</v>
      </c>
      <c r="H8" s="10">
        <f t="shared" si="0"/>
        <v>408</v>
      </c>
      <c r="I8" s="54"/>
      <c r="J8" s="9">
        <v>408</v>
      </c>
      <c r="K8" s="11">
        <f t="shared" ref="K8" si="1">IF(H8&gt;J8,H8-J8,0)</f>
        <v>0</v>
      </c>
      <c r="L8" s="12">
        <f t="shared" ref="L8:L10" si="2">IF(J8&gt;H8,J8-H8,0)</f>
        <v>0</v>
      </c>
    </row>
    <row r="9" spans="1:12" s="13" customFormat="1" ht="16.5" hidden="1">
      <c r="A9" t="s">
        <v>16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10">
        <f>+G9+F9+E9+D9+C9+B9</f>
        <v>0</v>
      </c>
      <c r="I9" s="54"/>
      <c r="J9" s="9">
        <v>0</v>
      </c>
      <c r="K9" s="11">
        <f>IF(H9&gt;J9,H9-J9,0)</f>
        <v>0</v>
      </c>
      <c r="L9" s="12">
        <f t="shared" si="2"/>
        <v>0</v>
      </c>
    </row>
    <row r="10" spans="1:12" ht="16.5" hidden="1">
      <c r="A10" t="s">
        <v>17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10">
        <f t="shared" si="0"/>
        <v>0</v>
      </c>
      <c r="I10" s="54"/>
      <c r="J10" s="9">
        <v>0</v>
      </c>
      <c r="K10" s="11">
        <f t="shared" ref="K10" si="3">IF(H10&gt;J10,H10-J10,0)</f>
        <v>0</v>
      </c>
      <c r="L10" s="12">
        <f t="shared" si="2"/>
        <v>0</v>
      </c>
    </row>
    <row r="11" spans="1:12" ht="17.25" thickBot="1">
      <c r="A11" s="14"/>
      <c r="B11" s="15">
        <f t="shared" ref="B11:G11" si="4">SUM(B4:B10)</f>
        <v>405</v>
      </c>
      <c r="C11" s="15">
        <f t="shared" si="4"/>
        <v>1933</v>
      </c>
      <c r="D11" s="15">
        <f t="shared" si="4"/>
        <v>20</v>
      </c>
      <c r="E11" s="15">
        <f t="shared" si="4"/>
        <v>0</v>
      </c>
      <c r="F11" s="15">
        <f t="shared" si="4"/>
        <v>32</v>
      </c>
      <c r="G11" s="15">
        <f t="shared" si="4"/>
        <v>0</v>
      </c>
      <c r="H11" s="15">
        <v>0</v>
      </c>
      <c r="I11" s="16"/>
      <c r="J11" s="15">
        <f>SUM(J4:J10)</f>
        <v>2390</v>
      </c>
      <c r="K11" s="15">
        <f>SUM(K4:K10)</f>
        <v>0</v>
      </c>
      <c r="L11" s="15">
        <f>SUM(L4:L10)</f>
        <v>0</v>
      </c>
    </row>
    <row r="12" spans="1:12" ht="17.25" thickBot="1">
      <c r="A12" s="17"/>
      <c r="B12" s="18"/>
      <c r="C12" s="18"/>
      <c r="D12" s="3"/>
      <c r="E12" s="18"/>
      <c r="F12" s="18"/>
      <c r="G12" s="18"/>
      <c r="H12" s="18"/>
      <c r="I12" s="3"/>
      <c r="J12" s="3"/>
      <c r="K12" s="3"/>
      <c r="L12" s="3"/>
    </row>
    <row r="13" spans="1:12" ht="17.25" thickBot="1">
      <c r="A13" s="46" t="s">
        <v>23</v>
      </c>
      <c r="B13" s="47"/>
      <c r="C13" s="47"/>
      <c r="D13" s="48"/>
      <c r="E13" s="18"/>
      <c r="F13" s="18"/>
      <c r="G13" s="18"/>
      <c r="K13" s="3"/>
      <c r="L13" s="3"/>
    </row>
    <row r="14" spans="1:12" ht="16.5">
      <c r="A14" s="19">
        <v>500</v>
      </c>
      <c r="B14" s="20" t="s">
        <v>18</v>
      </c>
      <c r="C14" s="21">
        <v>0</v>
      </c>
      <c r="D14" s="22">
        <f>A14*C14</f>
        <v>0</v>
      </c>
      <c r="F14" s="3"/>
      <c r="G14" s="3"/>
      <c r="K14" s="3"/>
      <c r="L14" s="3"/>
    </row>
    <row r="15" spans="1:12" ht="16.5">
      <c r="A15" s="23">
        <v>100</v>
      </c>
      <c r="B15" s="24" t="s">
        <v>18</v>
      </c>
      <c r="C15" s="21">
        <v>2</v>
      </c>
      <c r="D15" s="22">
        <f t="shared" ref="D15" si="5">A15*C15</f>
        <v>200</v>
      </c>
      <c r="E15" s="3"/>
      <c r="F15" s="3"/>
      <c r="G15" s="3"/>
      <c r="K15" s="3"/>
      <c r="L15" s="3"/>
    </row>
    <row r="16" spans="1:12" ht="16.5">
      <c r="A16" s="23">
        <v>50</v>
      </c>
      <c r="B16" s="24" t="s">
        <v>18</v>
      </c>
      <c r="C16" s="21">
        <v>0</v>
      </c>
      <c r="D16" s="22">
        <f>A16*C16</f>
        <v>0</v>
      </c>
      <c r="E16" s="3"/>
      <c r="F16" s="3"/>
      <c r="G16" s="3"/>
      <c r="K16" s="3"/>
      <c r="L16" s="3"/>
    </row>
    <row r="17" spans="1:21" ht="16.5">
      <c r="A17" s="23">
        <v>20</v>
      </c>
      <c r="B17" s="24" t="s">
        <v>18</v>
      </c>
      <c r="C17" s="21">
        <v>0</v>
      </c>
      <c r="D17" s="22">
        <f>A17*C17</f>
        <v>0</v>
      </c>
      <c r="E17" s="3"/>
      <c r="F17" s="3"/>
      <c r="G17" s="3"/>
      <c r="K17" s="3"/>
      <c r="L17" s="3"/>
      <c r="P17" s="13"/>
      <c r="Q17" s="13"/>
      <c r="R17" s="13"/>
      <c r="S17" s="13"/>
    </row>
    <row r="18" spans="1:21" ht="16.5">
      <c r="A18" s="23">
        <v>10</v>
      </c>
      <c r="B18" s="24" t="s">
        <v>18</v>
      </c>
      <c r="C18" s="21">
        <v>4</v>
      </c>
      <c r="D18" s="22">
        <f>A18*C18</f>
        <v>40</v>
      </c>
      <c r="E18" s="3"/>
      <c r="F18" s="3"/>
    </row>
    <row r="19" spans="1:21" ht="16.5">
      <c r="A19" s="23">
        <v>5</v>
      </c>
      <c r="B19" s="24" t="s">
        <v>18</v>
      </c>
      <c r="C19" s="21">
        <v>30</v>
      </c>
      <c r="D19" s="22">
        <f>A19*C19</f>
        <v>150</v>
      </c>
      <c r="E19" s="3"/>
      <c r="F19" s="3"/>
      <c r="G19" s="3"/>
      <c r="N19" t="s">
        <v>19</v>
      </c>
      <c r="U19" s="13"/>
    </row>
    <row r="20" spans="1:21" ht="16.5">
      <c r="A20" s="25" t="s">
        <v>20</v>
      </c>
      <c r="B20" s="26" t="s">
        <v>18</v>
      </c>
      <c r="C20" s="21">
        <v>15</v>
      </c>
      <c r="D20" s="22">
        <f>+C20*1</f>
        <v>15</v>
      </c>
      <c r="E20" s="3"/>
      <c r="F20" s="3"/>
      <c r="H20" s="3"/>
      <c r="I20" s="3"/>
      <c r="J20" s="3"/>
      <c r="K20" s="27"/>
      <c r="L20" s="3"/>
    </row>
    <row r="21" spans="1:21" ht="16.5">
      <c r="A21" s="25"/>
      <c r="B21" s="26"/>
      <c r="C21" s="21">
        <v>0</v>
      </c>
      <c r="D21" s="22">
        <f>+C21*0.025</f>
        <v>0</v>
      </c>
      <c r="E21" s="3"/>
      <c r="F21" s="3"/>
      <c r="G21" s="3"/>
      <c r="H21" s="28"/>
      <c r="J21" s="3"/>
      <c r="K21" s="3"/>
      <c r="L21" s="3"/>
      <c r="P21" s="13"/>
    </row>
    <row r="22" spans="1:21" ht="16.5">
      <c r="A22" s="49" t="s">
        <v>21</v>
      </c>
      <c r="B22" s="50"/>
      <c r="C22" s="29"/>
      <c r="D22" s="30">
        <f>SUM(D14:D21)</f>
        <v>405</v>
      </c>
      <c r="E22" s="3"/>
      <c r="F22" s="3"/>
      <c r="G22" s="3"/>
      <c r="H22" s="3"/>
      <c r="I22" s="3"/>
      <c r="J22" s="3"/>
      <c r="K22" s="3"/>
      <c r="L22" s="3"/>
    </row>
    <row r="23" spans="1:21" s="13" customFormat="1" ht="16.5">
      <c r="A23"/>
      <c r="B23"/>
      <c r="C23"/>
      <c r="D23"/>
      <c r="E23"/>
      <c r="F23"/>
      <c r="G23"/>
      <c r="H23"/>
      <c r="I23"/>
      <c r="J23"/>
      <c r="K23"/>
      <c r="L23"/>
      <c r="M23"/>
      <c r="P23"/>
      <c r="Q23"/>
      <c r="R23"/>
      <c r="S23"/>
      <c r="T23"/>
      <c r="U23"/>
    </row>
    <row r="24" spans="1:21" ht="16.5">
      <c r="U24" s="13"/>
    </row>
    <row r="25" spans="1:21" ht="16.5">
      <c r="Q25" s="13"/>
      <c r="R25" s="13"/>
      <c r="S25" s="13"/>
      <c r="T25" s="13"/>
    </row>
    <row r="26" spans="1:21" ht="16.5">
      <c r="P26" s="13"/>
    </row>
    <row r="27" spans="1:21" ht="18" customHeight="1"/>
  </sheetData>
  <mergeCells count="4">
    <mergeCell ref="A2:L2"/>
    <mergeCell ref="I3:I10"/>
    <mergeCell ref="A13:D13"/>
    <mergeCell ref="A22:B2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workbookViewId="0">
      <selection activeCell="A7" sqref="A7"/>
    </sheetView>
  </sheetViews>
  <sheetFormatPr defaultRowHeight="15"/>
  <cols>
    <col min="1" max="1" width="30" customWidth="1"/>
    <col min="3" max="4" width="9.42578125" bestFit="1" customWidth="1"/>
  </cols>
  <sheetData>
    <row r="1" spans="1:12" ht="17.25" thickBot="1">
      <c r="A1" s="1" t="s">
        <v>26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2" ht="17.25" thickBot="1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3"/>
    </row>
    <row r="3" spans="1:12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6" t="s">
        <v>8</v>
      </c>
      <c r="I3" s="54"/>
      <c r="J3" s="6" t="s">
        <v>9</v>
      </c>
      <c r="K3" s="6" t="s">
        <v>10</v>
      </c>
      <c r="L3" s="7" t="s">
        <v>11</v>
      </c>
    </row>
    <row r="4" spans="1:12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10">
        <f>+G4+F4+E4+D4+C4+B4</f>
        <v>0</v>
      </c>
      <c r="I4" s="54"/>
      <c r="J4" s="9">
        <v>27</v>
      </c>
      <c r="K4" s="11">
        <f>IF(H4&gt;J4,H4-J4,0)</f>
        <v>0</v>
      </c>
      <c r="L4" s="12">
        <f>IF(J4&gt;H4,J4-H4,0)</f>
        <v>27</v>
      </c>
    </row>
    <row r="5" spans="1:12" ht="16.5">
      <c r="A5" s="8" t="s">
        <v>13</v>
      </c>
      <c r="B5" s="9">
        <v>0</v>
      </c>
      <c r="C5" s="9">
        <v>0</v>
      </c>
      <c r="D5" s="9">
        <v>256</v>
      </c>
      <c r="E5" s="9">
        <v>0</v>
      </c>
      <c r="F5" s="9">
        <v>0</v>
      </c>
      <c r="G5" s="9">
        <v>0</v>
      </c>
      <c r="H5" s="10">
        <f t="shared" ref="H5:H10" si="0">+G5+F5+E5+D5+C5+B5</f>
        <v>256</v>
      </c>
      <c r="I5" s="54"/>
      <c r="J5" s="9">
        <v>256</v>
      </c>
      <c r="K5" s="11">
        <f>IF(H5&gt;J5,H5-J5,0)</f>
        <v>0</v>
      </c>
      <c r="L5" s="12">
        <f>IF(J5&gt;H5,J5-H5,0)</f>
        <v>0</v>
      </c>
    </row>
    <row r="6" spans="1:12" ht="16.5">
      <c r="A6" s="31" t="s">
        <v>14</v>
      </c>
      <c r="B6" s="9">
        <v>109</v>
      </c>
      <c r="C6" s="9">
        <v>32</v>
      </c>
      <c r="D6" s="9">
        <v>0</v>
      </c>
      <c r="E6" s="9">
        <v>0</v>
      </c>
      <c r="F6" s="9">
        <v>0</v>
      </c>
      <c r="G6" s="9">
        <v>0</v>
      </c>
      <c r="H6" s="10">
        <f t="shared" si="0"/>
        <v>141</v>
      </c>
      <c r="I6" s="54"/>
      <c r="J6" s="9">
        <v>141</v>
      </c>
      <c r="K6" s="11">
        <f>IF(H6&gt;J6,H6-J6,0)</f>
        <v>0</v>
      </c>
      <c r="L6" s="12">
        <f>IF(J6&gt;H6,J6-H6,0)</f>
        <v>0</v>
      </c>
    </row>
    <row r="7" spans="1:12" ht="16.5">
      <c r="A7" s="31" t="s">
        <v>15</v>
      </c>
      <c r="B7" s="9">
        <v>216</v>
      </c>
      <c r="C7" s="9">
        <f>212+123+19+40+116+26+12+24+44+26+20+191+26+20+180</f>
        <v>1079</v>
      </c>
      <c r="D7" s="9">
        <v>0</v>
      </c>
      <c r="E7" s="9">
        <v>0</v>
      </c>
      <c r="F7" s="9">
        <v>96</v>
      </c>
      <c r="G7" s="9">
        <v>0</v>
      </c>
      <c r="H7" s="10">
        <f t="shared" si="0"/>
        <v>1391</v>
      </c>
      <c r="I7" s="54"/>
      <c r="J7" s="9">
        <v>1391</v>
      </c>
      <c r="K7" s="11">
        <f>IF(H7&gt;J7,H7-J7,0)</f>
        <v>0</v>
      </c>
      <c r="L7" s="12">
        <f>IF(J7&gt;H7,J7-H7,0)</f>
        <v>0</v>
      </c>
    </row>
    <row r="8" spans="1:12" s="13" customFormat="1" ht="16.5" hidden="1">
      <c r="A8" t="s">
        <v>25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10">
        <f t="shared" si="0"/>
        <v>0</v>
      </c>
      <c r="I8" s="54"/>
      <c r="J8" s="9">
        <v>0</v>
      </c>
      <c r="K8" s="11">
        <f t="shared" ref="K8" si="1">IF(H8&gt;J8,H8-J8,0)</f>
        <v>0</v>
      </c>
      <c r="L8" s="12">
        <f t="shared" ref="L8:L10" si="2">IF(J8&gt;H8,J8-H8,0)</f>
        <v>0</v>
      </c>
    </row>
    <row r="9" spans="1:12" s="13" customFormat="1" ht="16.5" hidden="1">
      <c r="A9" t="s">
        <v>16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10">
        <f>+G9+F9+E9+D9+C9+B9</f>
        <v>0</v>
      </c>
      <c r="I9" s="54"/>
      <c r="J9" s="9">
        <v>0</v>
      </c>
      <c r="K9" s="11">
        <f>IF(H9&gt;J9,H9-J9,0)</f>
        <v>0</v>
      </c>
      <c r="L9" s="12">
        <f t="shared" si="2"/>
        <v>0</v>
      </c>
    </row>
    <row r="10" spans="1:12" ht="16.5" hidden="1">
      <c r="A10" t="s">
        <v>17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10">
        <f t="shared" si="0"/>
        <v>0</v>
      </c>
      <c r="I10" s="54"/>
      <c r="J10" s="9">
        <v>0</v>
      </c>
      <c r="K10" s="11">
        <f t="shared" ref="K10" si="3">IF(H10&gt;J10,H10-J10,0)</f>
        <v>0</v>
      </c>
      <c r="L10" s="12">
        <f t="shared" si="2"/>
        <v>0</v>
      </c>
    </row>
    <row r="11" spans="1:12" ht="17.25" thickBot="1">
      <c r="A11" s="14"/>
      <c r="B11" s="15">
        <f t="shared" ref="B11:G11" si="4">SUM(B4:B10)</f>
        <v>325</v>
      </c>
      <c r="C11" s="15">
        <f t="shared" si="4"/>
        <v>1111</v>
      </c>
      <c r="D11" s="15">
        <f t="shared" si="4"/>
        <v>256</v>
      </c>
      <c r="E11" s="15">
        <f t="shared" si="4"/>
        <v>0</v>
      </c>
      <c r="F11" s="15">
        <f t="shared" si="4"/>
        <v>96</v>
      </c>
      <c r="G11" s="15">
        <f t="shared" si="4"/>
        <v>0</v>
      </c>
      <c r="H11" s="15">
        <v>0</v>
      </c>
      <c r="I11" s="16"/>
      <c r="J11" s="15">
        <f>SUM(J4:J10)</f>
        <v>1815</v>
      </c>
      <c r="K11" s="15">
        <f>SUM(K4:K10)</f>
        <v>0</v>
      </c>
      <c r="L11" s="15">
        <f>SUM(L4:L10)</f>
        <v>27</v>
      </c>
    </row>
    <row r="12" spans="1:12" ht="17.25" thickBot="1">
      <c r="A12" s="17"/>
      <c r="B12" s="18"/>
      <c r="C12" s="18"/>
      <c r="D12" s="3"/>
      <c r="E12" s="18"/>
      <c r="F12" s="18"/>
      <c r="G12" s="18"/>
      <c r="H12" s="18"/>
      <c r="I12" s="3"/>
      <c r="J12" s="3"/>
      <c r="K12" s="3"/>
      <c r="L12" s="3"/>
    </row>
    <row r="13" spans="1:12" ht="17.25" thickBot="1">
      <c r="A13" s="46" t="s">
        <v>27</v>
      </c>
      <c r="B13" s="47"/>
      <c r="C13" s="47"/>
      <c r="D13" s="48"/>
      <c r="E13" s="18"/>
      <c r="F13" s="18"/>
      <c r="G13" s="18"/>
      <c r="K13" s="3"/>
      <c r="L13" s="3"/>
    </row>
    <row r="14" spans="1:12" ht="16.5">
      <c r="A14" s="19">
        <v>500</v>
      </c>
      <c r="B14" s="20" t="s">
        <v>18</v>
      </c>
      <c r="C14" s="21">
        <v>0</v>
      </c>
      <c r="D14" s="22">
        <f>A14*C14</f>
        <v>0</v>
      </c>
      <c r="F14" s="3"/>
      <c r="G14" s="3"/>
      <c r="K14" s="3"/>
      <c r="L14" s="3"/>
    </row>
    <row r="15" spans="1:12" ht="16.5">
      <c r="A15" s="23">
        <v>100</v>
      </c>
      <c r="B15" s="24" t="s">
        <v>18</v>
      </c>
      <c r="C15" s="21">
        <v>0</v>
      </c>
      <c r="D15" s="22">
        <f t="shared" ref="D15" si="5">A15*C15</f>
        <v>0</v>
      </c>
      <c r="E15" s="3"/>
      <c r="F15" s="3"/>
      <c r="G15" s="3"/>
      <c r="K15" s="3"/>
      <c r="L15" s="3"/>
    </row>
    <row r="16" spans="1:12" ht="16.5">
      <c r="A16" s="23">
        <v>50</v>
      </c>
      <c r="B16" s="24" t="s">
        <v>18</v>
      </c>
      <c r="C16" s="21">
        <v>2</v>
      </c>
      <c r="D16" s="22">
        <f>A16*C16</f>
        <v>100</v>
      </c>
      <c r="E16" s="3"/>
      <c r="F16" s="3"/>
      <c r="G16" s="3"/>
      <c r="K16" s="3"/>
      <c r="L16" s="3"/>
    </row>
    <row r="17" spans="1:21" ht="16.5">
      <c r="A17" s="23">
        <v>20</v>
      </c>
      <c r="B17" s="24" t="s">
        <v>18</v>
      </c>
      <c r="C17" s="21">
        <v>0</v>
      </c>
      <c r="D17" s="22">
        <f>A17*C17</f>
        <v>0</v>
      </c>
      <c r="E17" s="3"/>
      <c r="F17" s="3"/>
      <c r="G17" s="3"/>
      <c r="K17" s="3"/>
      <c r="L17" s="3"/>
      <c r="P17" s="13"/>
      <c r="Q17" s="13"/>
      <c r="R17" s="13"/>
      <c r="S17" s="13"/>
    </row>
    <row r="18" spans="1:21" ht="16.5">
      <c r="A18" s="23">
        <v>10</v>
      </c>
      <c r="B18" s="24" t="s">
        <v>18</v>
      </c>
      <c r="C18" s="21">
        <v>12</v>
      </c>
      <c r="D18" s="22">
        <f>A18*C18</f>
        <v>120</v>
      </c>
      <c r="E18" s="3"/>
      <c r="F18" s="3"/>
    </row>
    <row r="19" spans="1:21" ht="16.5">
      <c r="A19" s="23">
        <v>5</v>
      </c>
      <c r="B19" s="24" t="s">
        <v>18</v>
      </c>
      <c r="C19" s="21">
        <v>19</v>
      </c>
      <c r="D19" s="22">
        <f>A19*C19</f>
        <v>95</v>
      </c>
      <c r="E19" s="3"/>
      <c r="F19" s="3"/>
      <c r="G19" s="3"/>
      <c r="N19" t="s">
        <v>19</v>
      </c>
      <c r="U19" s="13"/>
    </row>
    <row r="20" spans="1:21" ht="16.5">
      <c r="A20" s="25" t="s">
        <v>20</v>
      </c>
      <c r="B20" s="26" t="s">
        <v>18</v>
      </c>
      <c r="C20" s="21">
        <v>10</v>
      </c>
      <c r="D20" s="22">
        <f>+C20*1</f>
        <v>10</v>
      </c>
      <c r="E20" s="3"/>
      <c r="F20" s="3"/>
      <c r="H20" s="3"/>
      <c r="I20" s="3"/>
      <c r="J20" s="3"/>
      <c r="K20" s="27"/>
      <c r="L20" s="3"/>
    </row>
    <row r="21" spans="1:21" ht="16.5">
      <c r="A21" s="25"/>
      <c r="B21" s="26"/>
      <c r="C21" s="21">
        <v>0</v>
      </c>
      <c r="D21" s="22">
        <f>+C21*0.025</f>
        <v>0</v>
      </c>
      <c r="E21" s="3"/>
      <c r="F21" s="3"/>
      <c r="G21" s="3"/>
      <c r="H21" s="28"/>
      <c r="J21" s="3"/>
      <c r="K21" s="3"/>
      <c r="L21" s="3"/>
      <c r="P21" s="13"/>
    </row>
    <row r="22" spans="1:21" ht="16.5">
      <c r="A22" s="49" t="s">
        <v>21</v>
      </c>
      <c r="B22" s="50"/>
      <c r="C22" s="29"/>
      <c r="D22" s="30">
        <f>SUM(D14:D21)</f>
        <v>325</v>
      </c>
      <c r="E22" s="3"/>
      <c r="F22" s="3"/>
      <c r="G22" s="3"/>
      <c r="H22" s="3"/>
      <c r="I22" s="3"/>
      <c r="J22" s="3"/>
      <c r="K22" s="3"/>
      <c r="L22" s="3"/>
    </row>
    <row r="23" spans="1:21" s="13" customFormat="1" ht="16.5">
      <c r="A23"/>
      <c r="B23"/>
      <c r="C23"/>
      <c r="D23"/>
      <c r="E23"/>
      <c r="F23"/>
      <c r="G23"/>
      <c r="H23"/>
      <c r="I23"/>
      <c r="J23"/>
      <c r="K23"/>
      <c r="L23"/>
      <c r="M23"/>
      <c r="P23"/>
      <c r="Q23"/>
      <c r="R23"/>
      <c r="S23"/>
      <c r="T23"/>
      <c r="U23"/>
    </row>
    <row r="24" spans="1:21" ht="16.5">
      <c r="U24" s="13"/>
    </row>
    <row r="25" spans="1:21" ht="16.5">
      <c r="Q25" s="13"/>
      <c r="R25" s="13"/>
      <c r="S25" s="13"/>
      <c r="T25" s="13"/>
    </row>
    <row r="26" spans="1:21" ht="16.5">
      <c r="P26" s="13"/>
    </row>
    <row r="27" spans="1:21" ht="18" customHeight="1"/>
  </sheetData>
  <mergeCells count="4">
    <mergeCell ref="A2:L2"/>
    <mergeCell ref="I3:I10"/>
    <mergeCell ref="A13:D13"/>
    <mergeCell ref="A22:B22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7"/>
  <sheetViews>
    <sheetView workbookViewId="0">
      <selection activeCell="H20" sqref="H20"/>
    </sheetView>
  </sheetViews>
  <sheetFormatPr defaultRowHeight="15"/>
  <cols>
    <col min="1" max="1" width="30" customWidth="1"/>
    <col min="3" max="4" width="9.42578125" bestFit="1" customWidth="1"/>
  </cols>
  <sheetData>
    <row r="1" spans="1:12" ht="17.25" thickBot="1">
      <c r="A1" s="1" t="s">
        <v>29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2" ht="17.25" thickBot="1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3"/>
    </row>
    <row r="3" spans="1:12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6" t="s">
        <v>8</v>
      </c>
      <c r="I3" s="54"/>
      <c r="J3" s="6" t="s">
        <v>9</v>
      </c>
      <c r="K3" s="6" t="s">
        <v>10</v>
      </c>
      <c r="L3" s="7" t="s">
        <v>11</v>
      </c>
    </row>
    <row r="4" spans="1:12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10">
        <f>+G4+F4+E4+D4+C4+B4</f>
        <v>0</v>
      </c>
      <c r="I4" s="54"/>
      <c r="J4" s="9">
        <v>58</v>
      </c>
      <c r="K4" s="11">
        <f>IF(H4&gt;J4,H4-J4,0)</f>
        <v>0</v>
      </c>
      <c r="L4" s="12">
        <f>IF(J4&gt;H4,J4-H4,0)</f>
        <v>58</v>
      </c>
    </row>
    <row r="5" spans="1:12" ht="16.5">
      <c r="A5" s="8" t="s">
        <v>13</v>
      </c>
      <c r="B5" s="9">
        <v>0</v>
      </c>
      <c r="C5" s="9">
        <v>0</v>
      </c>
      <c r="D5" s="9">
        <v>64</v>
      </c>
      <c r="E5" s="9">
        <v>0</v>
      </c>
      <c r="F5" s="9">
        <v>0</v>
      </c>
      <c r="G5" s="9">
        <v>0</v>
      </c>
      <c r="H5" s="10">
        <f t="shared" ref="H5:H10" si="0">+G5+F5+E5+D5+C5+B5</f>
        <v>64</v>
      </c>
      <c r="I5" s="54"/>
      <c r="J5" s="9">
        <v>64</v>
      </c>
      <c r="K5" s="11">
        <f>IF(H5&gt;J5,H5-J5,0)</f>
        <v>0</v>
      </c>
      <c r="L5" s="12">
        <f>IF(J5&gt;H5,J5-H5,0)</f>
        <v>0</v>
      </c>
    </row>
    <row r="6" spans="1:12" ht="16.5">
      <c r="A6" s="31" t="s">
        <v>30</v>
      </c>
      <c r="B6" s="9">
        <v>104</v>
      </c>
      <c r="C6" s="9">
        <f>64+26+15+27+26+26+131+79+24+40</f>
        <v>458</v>
      </c>
      <c r="D6" s="9">
        <v>0</v>
      </c>
      <c r="E6" s="9">
        <v>0</v>
      </c>
      <c r="F6" s="9">
        <v>0</v>
      </c>
      <c r="G6" s="9">
        <v>0</v>
      </c>
      <c r="H6" s="10">
        <f t="shared" si="0"/>
        <v>562</v>
      </c>
      <c r="I6" s="54"/>
      <c r="J6" s="9">
        <v>522</v>
      </c>
      <c r="K6" s="11">
        <f>IF(H6&gt;J6,H6-J6,0)</f>
        <v>40</v>
      </c>
      <c r="L6" s="12">
        <f>IF(J6&gt;H6,J6-H6,0)</f>
        <v>0</v>
      </c>
    </row>
    <row r="7" spans="1:12" ht="16.5">
      <c r="A7" s="31" t="s">
        <v>31</v>
      </c>
      <c r="B7" s="9">
        <v>32</v>
      </c>
      <c r="C7" s="9">
        <f>20+84+53+24</f>
        <v>181</v>
      </c>
      <c r="D7" s="9">
        <v>0</v>
      </c>
      <c r="E7" s="9">
        <v>0</v>
      </c>
      <c r="F7" s="9">
        <v>0</v>
      </c>
      <c r="G7" s="9">
        <v>0</v>
      </c>
      <c r="H7" s="10">
        <f t="shared" si="0"/>
        <v>213</v>
      </c>
      <c r="I7" s="54"/>
      <c r="J7" s="9">
        <v>213</v>
      </c>
      <c r="K7" s="11">
        <f>IF(H7&gt;J7,H7-J7,0)</f>
        <v>0</v>
      </c>
      <c r="L7" s="12">
        <f>IF(J7&gt;H7,J7-H7,0)</f>
        <v>0</v>
      </c>
    </row>
    <row r="8" spans="1:12" s="13" customFormat="1" ht="16.5" hidden="1">
      <c r="A8" t="s">
        <v>25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10">
        <f t="shared" si="0"/>
        <v>0</v>
      </c>
      <c r="I8" s="54"/>
      <c r="J8" s="9">
        <v>0</v>
      </c>
      <c r="K8" s="11">
        <f t="shared" ref="K8" si="1">IF(H8&gt;J8,H8-J8,0)</f>
        <v>0</v>
      </c>
      <c r="L8" s="12">
        <f t="shared" ref="L8:L10" si="2">IF(J8&gt;H8,J8-H8,0)</f>
        <v>0</v>
      </c>
    </row>
    <row r="9" spans="1:12" s="13" customFormat="1" ht="16.5" hidden="1">
      <c r="A9" t="s">
        <v>16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10">
        <f>+G9+F9+E9+D9+C9+B9</f>
        <v>0</v>
      </c>
      <c r="I9" s="54"/>
      <c r="J9" s="9">
        <v>0</v>
      </c>
      <c r="K9" s="11">
        <f>IF(H9&gt;J9,H9-J9,0)</f>
        <v>0</v>
      </c>
      <c r="L9" s="12">
        <f t="shared" si="2"/>
        <v>0</v>
      </c>
    </row>
    <row r="10" spans="1:12" ht="16.5" hidden="1">
      <c r="A10" t="s">
        <v>17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10">
        <f t="shared" si="0"/>
        <v>0</v>
      </c>
      <c r="I10" s="54"/>
      <c r="J10" s="9">
        <v>0</v>
      </c>
      <c r="K10" s="11">
        <f t="shared" ref="K10" si="3">IF(H10&gt;J10,H10-J10,0)</f>
        <v>0</v>
      </c>
      <c r="L10" s="12">
        <f t="shared" si="2"/>
        <v>0</v>
      </c>
    </row>
    <row r="11" spans="1:12" ht="17.25" thickBot="1">
      <c r="A11" s="14"/>
      <c r="B11" s="15">
        <f t="shared" ref="B11:G11" si="4">SUM(B4:B10)</f>
        <v>136</v>
      </c>
      <c r="C11" s="15">
        <f t="shared" si="4"/>
        <v>639</v>
      </c>
      <c r="D11" s="15">
        <f t="shared" si="4"/>
        <v>64</v>
      </c>
      <c r="E11" s="15">
        <f t="shared" si="4"/>
        <v>0</v>
      </c>
      <c r="F11" s="15">
        <f t="shared" si="4"/>
        <v>0</v>
      </c>
      <c r="G11" s="15">
        <f t="shared" si="4"/>
        <v>0</v>
      </c>
      <c r="H11" s="15">
        <v>0</v>
      </c>
      <c r="I11" s="16"/>
      <c r="J11" s="15">
        <f>SUM(J4:J10)</f>
        <v>857</v>
      </c>
      <c r="K11" s="15">
        <f>SUM(K4:K10)</f>
        <v>40</v>
      </c>
      <c r="L11" s="15">
        <f>SUM(L4:L10)</f>
        <v>58</v>
      </c>
    </row>
    <row r="12" spans="1:12" ht="17.25" thickBot="1">
      <c r="A12" s="17"/>
      <c r="B12" s="18"/>
      <c r="C12" s="18"/>
      <c r="D12" s="3"/>
      <c r="E12" s="18"/>
      <c r="F12" s="18"/>
      <c r="G12" s="18"/>
      <c r="H12" s="18"/>
      <c r="I12" s="3"/>
      <c r="J12" s="3"/>
      <c r="K12" s="3"/>
      <c r="L12" s="3"/>
    </row>
    <row r="13" spans="1:12" ht="17.25" thickBot="1">
      <c r="A13" s="46" t="s">
        <v>32</v>
      </c>
      <c r="B13" s="47"/>
      <c r="C13" s="47"/>
      <c r="D13" s="48"/>
      <c r="E13" s="18"/>
      <c r="F13" s="18"/>
      <c r="G13" s="18"/>
      <c r="K13" s="3"/>
      <c r="L13" s="3"/>
    </row>
    <row r="14" spans="1:12" ht="16.5">
      <c r="A14" s="19">
        <v>500</v>
      </c>
      <c r="B14" s="20" t="s">
        <v>18</v>
      </c>
      <c r="C14" s="21">
        <v>0</v>
      </c>
      <c r="D14" s="22">
        <f>A14*C14</f>
        <v>0</v>
      </c>
      <c r="F14" s="3"/>
      <c r="G14" s="3"/>
      <c r="K14" s="3"/>
      <c r="L14" s="3"/>
    </row>
    <row r="15" spans="1:12" ht="16.5">
      <c r="A15" s="23">
        <v>100</v>
      </c>
      <c r="B15" s="24">
        <v>1</v>
      </c>
      <c r="C15" s="21">
        <v>1</v>
      </c>
      <c r="D15" s="22">
        <f t="shared" ref="D15" si="5">A15*C15</f>
        <v>100</v>
      </c>
      <c r="E15" s="3"/>
      <c r="F15" s="3"/>
      <c r="G15" s="3"/>
      <c r="K15" s="3"/>
      <c r="L15" s="3"/>
    </row>
    <row r="16" spans="1:12" ht="16.5">
      <c r="A16" s="23">
        <v>50</v>
      </c>
      <c r="B16" s="24" t="s">
        <v>18</v>
      </c>
      <c r="C16" s="21">
        <v>0</v>
      </c>
      <c r="D16" s="22">
        <f>A16*C16</f>
        <v>0</v>
      </c>
      <c r="E16" s="3"/>
      <c r="F16" s="3"/>
      <c r="G16" s="3"/>
      <c r="K16" s="3"/>
      <c r="L16" s="3"/>
    </row>
    <row r="17" spans="1:21" ht="16.5">
      <c r="A17" s="23">
        <v>20</v>
      </c>
      <c r="B17" s="24" t="s">
        <v>18</v>
      </c>
      <c r="C17" s="21">
        <v>0</v>
      </c>
      <c r="D17" s="22">
        <f>A17*C17</f>
        <v>0</v>
      </c>
      <c r="E17" s="3"/>
      <c r="F17" s="3"/>
      <c r="G17" s="3"/>
      <c r="K17" s="3"/>
      <c r="L17" s="3"/>
      <c r="P17" s="13"/>
      <c r="Q17" s="13"/>
      <c r="R17" s="13"/>
      <c r="S17" s="13"/>
    </row>
    <row r="18" spans="1:21" ht="16.5">
      <c r="A18" s="23">
        <v>10</v>
      </c>
      <c r="B18" s="24" t="s">
        <v>18</v>
      </c>
      <c r="C18" s="21">
        <v>0</v>
      </c>
      <c r="D18" s="22">
        <f>A18*C18</f>
        <v>0</v>
      </c>
      <c r="E18" s="3"/>
      <c r="F18" s="3"/>
    </row>
    <row r="19" spans="1:21" ht="16.5">
      <c r="A19" s="23">
        <v>5</v>
      </c>
      <c r="B19" s="24" t="s">
        <v>18</v>
      </c>
      <c r="C19" s="21">
        <v>5</v>
      </c>
      <c r="D19" s="22">
        <f>A19*C19</f>
        <v>25</v>
      </c>
      <c r="E19" s="3"/>
      <c r="F19" s="3"/>
      <c r="G19" s="3"/>
      <c r="N19" t="s">
        <v>19</v>
      </c>
      <c r="U19" s="13"/>
    </row>
    <row r="20" spans="1:21" ht="16.5">
      <c r="A20" s="25" t="s">
        <v>20</v>
      </c>
      <c r="B20" s="26" t="s">
        <v>18</v>
      </c>
      <c r="C20" s="21">
        <v>11</v>
      </c>
      <c r="D20" s="22">
        <f>+C20*1</f>
        <v>11</v>
      </c>
      <c r="E20" s="3"/>
      <c r="F20" s="3"/>
      <c r="H20" s="3"/>
      <c r="I20" s="3"/>
      <c r="J20" s="3"/>
      <c r="K20" s="27"/>
      <c r="L20" s="3"/>
    </row>
    <row r="21" spans="1:21" ht="16.5">
      <c r="A21" s="25"/>
      <c r="B21" s="26"/>
      <c r="C21" s="21">
        <v>0</v>
      </c>
      <c r="D21" s="22">
        <f>+C21*0.025</f>
        <v>0</v>
      </c>
      <c r="E21" s="3"/>
      <c r="F21" s="3"/>
      <c r="G21" s="3"/>
      <c r="H21" s="28"/>
      <c r="J21" s="3"/>
      <c r="K21" s="3"/>
      <c r="L21" s="3"/>
      <c r="P21" s="13"/>
    </row>
    <row r="22" spans="1:21" ht="16.5">
      <c r="A22" s="49" t="s">
        <v>21</v>
      </c>
      <c r="B22" s="50"/>
      <c r="C22" s="29"/>
      <c r="D22" s="30">
        <f>SUM(D14:D21)</f>
        <v>136</v>
      </c>
      <c r="E22" s="3"/>
      <c r="F22" s="3"/>
      <c r="G22" s="3"/>
      <c r="H22" s="3"/>
      <c r="I22" s="3"/>
      <c r="J22" s="3"/>
      <c r="K22" s="3"/>
      <c r="L22" s="3"/>
    </row>
    <row r="23" spans="1:21" s="13" customFormat="1" ht="16.5">
      <c r="A23"/>
      <c r="B23"/>
      <c r="C23"/>
      <c r="D23"/>
      <c r="E23"/>
      <c r="F23"/>
      <c r="G23"/>
      <c r="H23"/>
      <c r="I23"/>
      <c r="J23"/>
      <c r="K23"/>
      <c r="L23"/>
      <c r="M23"/>
      <c r="P23"/>
      <c r="Q23"/>
      <c r="R23"/>
      <c r="S23"/>
      <c r="T23"/>
      <c r="U23"/>
    </row>
    <row r="24" spans="1:21" ht="16.5">
      <c r="U24" s="13"/>
    </row>
    <row r="25" spans="1:21" ht="16.5">
      <c r="Q25" s="13"/>
      <c r="R25" s="13"/>
      <c r="S25" s="13"/>
      <c r="T25" s="13"/>
    </row>
    <row r="26" spans="1:21" ht="16.5">
      <c r="P26" s="13"/>
    </row>
    <row r="27" spans="1:21" ht="18" customHeight="1"/>
  </sheetData>
  <mergeCells count="4">
    <mergeCell ref="A2:L2"/>
    <mergeCell ref="I3:I10"/>
    <mergeCell ref="A13:D13"/>
    <mergeCell ref="A22:B22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7"/>
  <sheetViews>
    <sheetView workbookViewId="0">
      <selection activeCell="G17" sqref="G17"/>
    </sheetView>
  </sheetViews>
  <sheetFormatPr defaultRowHeight="15"/>
  <cols>
    <col min="1" max="1" width="30" customWidth="1"/>
    <col min="3" max="4" width="9.42578125" bestFit="1" customWidth="1"/>
  </cols>
  <sheetData>
    <row r="1" spans="1:12" ht="17.25" thickBot="1">
      <c r="A1" s="1" t="s">
        <v>33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2" ht="17.25" thickBot="1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3"/>
    </row>
    <row r="3" spans="1:12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6" t="s">
        <v>8</v>
      </c>
      <c r="I3" s="54"/>
      <c r="J3" s="6" t="s">
        <v>9</v>
      </c>
      <c r="K3" s="6" t="s">
        <v>10</v>
      </c>
      <c r="L3" s="7" t="s">
        <v>11</v>
      </c>
    </row>
    <row r="4" spans="1:12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10">
        <f>+G4+F4+E4+D4+C4+B4</f>
        <v>0</v>
      </c>
      <c r="I4" s="54"/>
      <c r="J4" s="9">
        <v>0</v>
      </c>
      <c r="K4" s="11">
        <f>IF(H4&gt;J4,H4-J4,0)</f>
        <v>0</v>
      </c>
      <c r="L4" s="12">
        <f>IF(J4&gt;H4,J4-H4,0)</f>
        <v>0</v>
      </c>
    </row>
    <row r="5" spans="1:12" ht="16.5">
      <c r="A5" s="8" t="s">
        <v>13</v>
      </c>
      <c r="B5" s="9">
        <v>0</v>
      </c>
      <c r="C5" s="9">
        <v>0</v>
      </c>
      <c r="D5" s="9">
        <v>276</v>
      </c>
      <c r="E5" s="9">
        <v>0</v>
      </c>
      <c r="F5" s="9">
        <v>0</v>
      </c>
      <c r="G5" s="9">
        <v>0</v>
      </c>
      <c r="H5" s="10">
        <f t="shared" ref="H5:H10" si="0">+G5+F5+E5+D5+C5+B5</f>
        <v>276</v>
      </c>
      <c r="I5" s="54"/>
      <c r="J5" s="9">
        <v>276</v>
      </c>
      <c r="K5" s="11">
        <f>IF(H5&gt;J5,H5-J5,0)</f>
        <v>0</v>
      </c>
      <c r="L5" s="12">
        <f>IF(J5&gt;H5,J5-H5,0)</f>
        <v>0</v>
      </c>
    </row>
    <row r="6" spans="1:12" ht="16.5">
      <c r="A6" s="31" t="s">
        <v>17</v>
      </c>
      <c r="B6" s="9">
        <v>374</v>
      </c>
      <c r="C6" s="9">
        <f>20+7+26+124+20+84+20+64+40+110+26+20+197+20+96+86+20+24+24+282+66+12+26+20+109+40+1+26</f>
        <v>1610</v>
      </c>
      <c r="D6" s="9">
        <v>0</v>
      </c>
      <c r="E6" s="9">
        <v>0</v>
      </c>
      <c r="F6" s="9">
        <v>64</v>
      </c>
      <c r="G6" s="9">
        <v>0</v>
      </c>
      <c r="H6" s="10">
        <f t="shared" si="0"/>
        <v>2048</v>
      </c>
      <c r="I6" s="54"/>
      <c r="J6" s="9">
        <v>2048</v>
      </c>
      <c r="K6" s="11">
        <f>IF(H6&gt;J6,H6-J6,0)</f>
        <v>0</v>
      </c>
      <c r="L6" s="12">
        <f>IF(J6&gt;H6,J6-H6,0)</f>
        <v>0</v>
      </c>
    </row>
    <row r="7" spans="1:12" ht="16.5">
      <c r="A7" s="31" t="s">
        <v>14</v>
      </c>
      <c r="B7" s="9">
        <v>80</v>
      </c>
      <c r="C7" s="9">
        <f>20+26+24+20+20+20</f>
        <v>130</v>
      </c>
      <c r="D7" s="9">
        <v>0</v>
      </c>
      <c r="E7" s="9">
        <v>0</v>
      </c>
      <c r="F7" s="9">
        <v>0</v>
      </c>
      <c r="G7" s="9">
        <v>0</v>
      </c>
      <c r="H7" s="10">
        <f t="shared" si="0"/>
        <v>210</v>
      </c>
      <c r="I7" s="54"/>
      <c r="J7" s="9">
        <v>210</v>
      </c>
      <c r="K7" s="11">
        <f>IF(H7&gt;J7,H7-J7,0)</f>
        <v>0</v>
      </c>
      <c r="L7" s="12">
        <f>IF(J7&gt;H7,J7-H7,0)</f>
        <v>0</v>
      </c>
    </row>
    <row r="8" spans="1:12" s="13" customFormat="1" ht="16.5" hidden="1">
      <c r="A8" t="s">
        <v>25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10">
        <f t="shared" si="0"/>
        <v>0</v>
      </c>
      <c r="I8" s="54"/>
      <c r="J8" s="9">
        <v>0</v>
      </c>
      <c r="K8" s="11">
        <f t="shared" ref="K8" si="1">IF(H8&gt;J8,H8-J8,0)</f>
        <v>0</v>
      </c>
      <c r="L8" s="12">
        <f t="shared" ref="L8:L10" si="2">IF(J8&gt;H8,J8-H8,0)</f>
        <v>0</v>
      </c>
    </row>
    <row r="9" spans="1:12" s="13" customFormat="1" ht="16.5" hidden="1">
      <c r="A9" t="s">
        <v>16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10">
        <f>+G9+F9+E9+D9+C9+B9</f>
        <v>0</v>
      </c>
      <c r="I9" s="54"/>
      <c r="J9" s="9">
        <v>0</v>
      </c>
      <c r="K9" s="11">
        <f>IF(H9&gt;J9,H9-J9,0)</f>
        <v>0</v>
      </c>
      <c r="L9" s="12">
        <f t="shared" si="2"/>
        <v>0</v>
      </c>
    </row>
    <row r="10" spans="1:12" ht="16.5" hidden="1">
      <c r="A10" t="s">
        <v>17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10">
        <f t="shared" si="0"/>
        <v>0</v>
      </c>
      <c r="I10" s="54"/>
      <c r="J10" s="9">
        <v>0</v>
      </c>
      <c r="K10" s="11">
        <f t="shared" ref="K10" si="3">IF(H10&gt;J10,H10-J10,0)</f>
        <v>0</v>
      </c>
      <c r="L10" s="12">
        <f t="shared" si="2"/>
        <v>0</v>
      </c>
    </row>
    <row r="11" spans="1:12" ht="17.25" thickBot="1">
      <c r="A11" s="14"/>
      <c r="B11" s="15">
        <f t="shared" ref="B11:G11" si="4">SUM(B4:B10)</f>
        <v>454</v>
      </c>
      <c r="C11" s="15">
        <f t="shared" si="4"/>
        <v>1740</v>
      </c>
      <c r="D11" s="15">
        <f t="shared" si="4"/>
        <v>276</v>
      </c>
      <c r="E11" s="15">
        <f t="shared" si="4"/>
        <v>0</v>
      </c>
      <c r="F11" s="15">
        <f t="shared" si="4"/>
        <v>64</v>
      </c>
      <c r="G11" s="15">
        <f t="shared" si="4"/>
        <v>0</v>
      </c>
      <c r="H11" s="15">
        <v>0</v>
      </c>
      <c r="I11" s="16"/>
      <c r="J11" s="15">
        <f>SUM(J4:J10)</f>
        <v>2534</v>
      </c>
      <c r="K11" s="15">
        <f>SUM(K4:K10)</f>
        <v>0</v>
      </c>
      <c r="L11" s="15">
        <f>SUM(L4:L10)</f>
        <v>0</v>
      </c>
    </row>
    <row r="12" spans="1:12" ht="17.25" thickBot="1">
      <c r="A12" s="17"/>
      <c r="B12" s="18"/>
      <c r="C12" s="18"/>
      <c r="D12" s="3"/>
      <c r="E12" s="18"/>
      <c r="F12" s="18"/>
      <c r="G12" s="18"/>
      <c r="H12" s="18"/>
      <c r="I12" s="3"/>
      <c r="J12" s="3"/>
      <c r="K12" s="3"/>
      <c r="L12" s="3"/>
    </row>
    <row r="13" spans="1:12" ht="17.25" thickBot="1">
      <c r="A13" s="46" t="s">
        <v>34</v>
      </c>
      <c r="B13" s="47"/>
      <c r="C13" s="47"/>
      <c r="D13" s="48"/>
      <c r="E13" s="18"/>
      <c r="F13" s="18"/>
      <c r="G13" s="18"/>
      <c r="K13" s="3"/>
      <c r="L13" s="3"/>
    </row>
    <row r="14" spans="1:12" ht="16.5">
      <c r="A14" s="19">
        <v>500</v>
      </c>
      <c r="B14" s="20" t="s">
        <v>18</v>
      </c>
      <c r="C14" s="21">
        <v>0</v>
      </c>
      <c r="D14" s="22">
        <f>A14*C14</f>
        <v>0</v>
      </c>
      <c r="F14" s="3"/>
      <c r="G14" s="3"/>
      <c r="K14" s="3"/>
      <c r="L14" s="3"/>
    </row>
    <row r="15" spans="1:12" ht="16.5">
      <c r="A15" s="23">
        <v>100</v>
      </c>
      <c r="B15" s="24">
        <v>1</v>
      </c>
      <c r="C15" s="21">
        <v>3</v>
      </c>
      <c r="D15" s="22">
        <f t="shared" ref="D15" si="5">A15*C15</f>
        <v>300</v>
      </c>
      <c r="E15" s="3"/>
      <c r="F15" s="3"/>
      <c r="G15" s="3"/>
      <c r="K15" s="3"/>
      <c r="L15" s="3"/>
    </row>
    <row r="16" spans="1:12" ht="16.5">
      <c r="A16" s="23">
        <v>50</v>
      </c>
      <c r="B16" s="24" t="s">
        <v>18</v>
      </c>
      <c r="C16" s="21">
        <v>2</v>
      </c>
      <c r="D16" s="22">
        <f>A16*C16</f>
        <v>100</v>
      </c>
      <c r="E16" s="3"/>
      <c r="F16" s="3"/>
      <c r="G16" s="3"/>
      <c r="K16" s="3"/>
      <c r="L16" s="3"/>
    </row>
    <row r="17" spans="1:21" ht="16.5">
      <c r="A17" s="23">
        <v>20</v>
      </c>
      <c r="B17" s="24" t="s">
        <v>18</v>
      </c>
      <c r="C17" s="21">
        <v>0</v>
      </c>
      <c r="D17" s="22">
        <f>A17*C17</f>
        <v>0</v>
      </c>
      <c r="E17" s="3"/>
      <c r="F17" s="3"/>
      <c r="G17" s="3"/>
      <c r="K17" s="3"/>
      <c r="L17" s="3"/>
      <c r="P17" s="13"/>
      <c r="Q17" s="13"/>
      <c r="R17" s="13"/>
      <c r="S17" s="13"/>
    </row>
    <row r="18" spans="1:21" ht="16.5">
      <c r="A18" s="23">
        <v>10</v>
      </c>
      <c r="B18" s="24" t="s">
        <v>18</v>
      </c>
      <c r="C18" s="21">
        <v>2</v>
      </c>
      <c r="D18" s="22">
        <f>A18*C18</f>
        <v>20</v>
      </c>
      <c r="E18" s="3"/>
      <c r="F18" s="3"/>
    </row>
    <row r="19" spans="1:21" ht="16.5">
      <c r="A19" s="23">
        <v>5</v>
      </c>
      <c r="B19" s="24" t="s">
        <v>18</v>
      </c>
      <c r="C19" s="21">
        <v>6</v>
      </c>
      <c r="D19" s="22">
        <f>A19*C19</f>
        <v>30</v>
      </c>
      <c r="E19" s="3"/>
      <c r="F19" s="3"/>
      <c r="G19" s="3"/>
      <c r="N19" t="s">
        <v>19</v>
      </c>
      <c r="U19" s="13"/>
    </row>
    <row r="20" spans="1:21" ht="16.5">
      <c r="A20" s="25" t="s">
        <v>20</v>
      </c>
      <c r="B20" s="26" t="s">
        <v>18</v>
      </c>
      <c r="C20" s="21">
        <v>4</v>
      </c>
      <c r="D20" s="22">
        <f>+C20*1</f>
        <v>4</v>
      </c>
      <c r="E20" s="3"/>
      <c r="F20" s="3"/>
      <c r="H20" s="3"/>
      <c r="I20" s="3"/>
      <c r="J20" s="3"/>
      <c r="K20" s="27"/>
      <c r="L20" s="3"/>
    </row>
    <row r="21" spans="1:21" ht="16.5">
      <c r="A21" s="25"/>
      <c r="B21" s="26"/>
      <c r="C21" s="21">
        <v>0</v>
      </c>
      <c r="D21" s="22">
        <f>+C21*0.025</f>
        <v>0</v>
      </c>
      <c r="E21" s="3"/>
      <c r="F21" s="3"/>
      <c r="G21" s="3"/>
      <c r="H21" s="28"/>
      <c r="J21" s="3"/>
      <c r="K21" s="3"/>
      <c r="L21" s="3"/>
      <c r="P21" s="13"/>
    </row>
    <row r="22" spans="1:21" ht="16.5">
      <c r="A22" s="49" t="s">
        <v>21</v>
      </c>
      <c r="B22" s="50"/>
      <c r="C22" s="29"/>
      <c r="D22" s="30">
        <f>SUM(D14:D21)</f>
        <v>454</v>
      </c>
      <c r="E22" s="3"/>
      <c r="F22" s="3"/>
      <c r="G22" s="3"/>
      <c r="H22" s="3"/>
      <c r="I22" s="3"/>
      <c r="J22" s="3"/>
      <c r="K22" s="3"/>
      <c r="L22" s="3"/>
    </row>
    <row r="23" spans="1:21" s="13" customFormat="1" ht="16.5">
      <c r="A23"/>
      <c r="B23"/>
      <c r="C23"/>
      <c r="D23"/>
      <c r="E23"/>
      <c r="F23"/>
      <c r="G23"/>
      <c r="H23"/>
      <c r="I23"/>
      <c r="J23"/>
      <c r="K23"/>
      <c r="L23"/>
      <c r="M23"/>
      <c r="P23"/>
      <c r="Q23"/>
      <c r="R23"/>
      <c r="S23"/>
      <c r="T23"/>
      <c r="U23"/>
    </row>
    <row r="24" spans="1:21" ht="16.5">
      <c r="U24" s="13"/>
    </row>
    <row r="25" spans="1:21" ht="16.5">
      <c r="Q25" s="13"/>
      <c r="R25" s="13"/>
      <c r="S25" s="13"/>
      <c r="T25" s="13"/>
    </row>
    <row r="26" spans="1:21" ht="16.5">
      <c r="P26" s="13"/>
    </row>
    <row r="27" spans="1:21" ht="18" customHeight="1"/>
  </sheetData>
  <mergeCells count="4">
    <mergeCell ref="A2:L2"/>
    <mergeCell ref="I3:I10"/>
    <mergeCell ref="A13:D13"/>
    <mergeCell ref="A22:B22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7"/>
  <sheetViews>
    <sheetView workbookViewId="0">
      <selection activeCell="H28" sqref="H28"/>
    </sheetView>
  </sheetViews>
  <sheetFormatPr defaultRowHeight="15"/>
  <cols>
    <col min="1" max="1" width="30" customWidth="1"/>
    <col min="3" max="4" width="9.42578125" bestFit="1" customWidth="1"/>
  </cols>
  <sheetData>
    <row r="1" spans="1:12" ht="17.25" thickBot="1">
      <c r="A1" s="1" t="s">
        <v>35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2" ht="17.25" thickBot="1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3"/>
    </row>
    <row r="3" spans="1:12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6" t="s">
        <v>8</v>
      </c>
      <c r="I3" s="54"/>
      <c r="J3" s="6" t="s">
        <v>9</v>
      </c>
      <c r="K3" s="6" t="s">
        <v>10</v>
      </c>
      <c r="L3" s="7" t="s">
        <v>11</v>
      </c>
    </row>
    <row r="4" spans="1:12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10">
        <f>+G4+F4+E4+D4+C4+B4</f>
        <v>0</v>
      </c>
      <c r="I4" s="54"/>
      <c r="J4" s="9">
        <v>0</v>
      </c>
      <c r="K4" s="11">
        <f>IF(H4&gt;J4,H4-J4,0)</f>
        <v>0</v>
      </c>
      <c r="L4" s="12">
        <f>IF(J4&gt;H4,J4-H4,0)</f>
        <v>0</v>
      </c>
    </row>
    <row r="5" spans="1:12" ht="16.5">
      <c r="A5" s="8" t="s">
        <v>13</v>
      </c>
      <c r="B5" s="9">
        <v>0</v>
      </c>
      <c r="C5" s="9">
        <v>0</v>
      </c>
      <c r="D5" s="9">
        <v>192</v>
      </c>
      <c r="E5" s="9">
        <v>0</v>
      </c>
      <c r="F5" s="9">
        <v>0</v>
      </c>
      <c r="G5" s="9">
        <v>0</v>
      </c>
      <c r="H5" s="10">
        <f t="shared" ref="H5:H10" si="0">+G5+F5+E5+D5+C5+B5</f>
        <v>192</v>
      </c>
      <c r="I5" s="54"/>
      <c r="J5" s="9">
        <v>192</v>
      </c>
      <c r="K5" s="11">
        <f>IF(H5&gt;J5,H5-J5,0)</f>
        <v>0</v>
      </c>
      <c r="L5" s="12">
        <f>IF(J5&gt;H5,J5-H5,0)</f>
        <v>0</v>
      </c>
    </row>
    <row r="6" spans="1:12" ht="16.5">
      <c r="A6" s="31" t="s">
        <v>31</v>
      </c>
      <c r="B6" s="9">
        <v>116</v>
      </c>
      <c r="C6" s="9">
        <f>44+27+221+120+40+31+64+115+20+12+145+14+4+24+128+80+96+144+160</f>
        <v>1489</v>
      </c>
      <c r="D6" s="9">
        <v>0</v>
      </c>
      <c r="E6" s="9">
        <v>0</v>
      </c>
      <c r="F6" s="9">
        <v>64</v>
      </c>
      <c r="G6" s="9">
        <v>0</v>
      </c>
      <c r="H6" s="10">
        <f t="shared" si="0"/>
        <v>1669</v>
      </c>
      <c r="I6" s="54"/>
      <c r="J6" s="9">
        <v>1669</v>
      </c>
      <c r="K6" s="11">
        <f>IF(H6&gt;J6,H6-J6,0)</f>
        <v>0</v>
      </c>
      <c r="L6" s="12">
        <f>IF(J6&gt;H6,J6-H6,0)</f>
        <v>0</v>
      </c>
    </row>
    <row r="7" spans="1:12" ht="16.5">
      <c r="A7" s="32" t="s">
        <v>36</v>
      </c>
      <c r="B7" s="9">
        <v>360</v>
      </c>
      <c r="C7" s="9">
        <f>64+20+20+12+20+26+20+78</f>
        <v>260</v>
      </c>
      <c r="D7" s="9">
        <v>0</v>
      </c>
      <c r="E7" s="9">
        <v>0</v>
      </c>
      <c r="F7" s="9">
        <v>0</v>
      </c>
      <c r="G7" s="9">
        <v>0</v>
      </c>
      <c r="H7" s="10">
        <f t="shared" si="0"/>
        <v>620</v>
      </c>
      <c r="I7" s="54"/>
      <c r="J7" s="9">
        <v>620</v>
      </c>
      <c r="K7" s="11">
        <f>IF(H7&gt;J7,H7-J7,0)</f>
        <v>0</v>
      </c>
      <c r="L7" s="12">
        <f>IF(J7&gt;H7,J7-H7,0)</f>
        <v>0</v>
      </c>
    </row>
    <row r="8" spans="1:12" s="13" customFormat="1" ht="16.5" hidden="1">
      <c r="A8" t="s">
        <v>25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10">
        <f t="shared" si="0"/>
        <v>0</v>
      </c>
      <c r="I8" s="54"/>
      <c r="J8" s="9">
        <v>0</v>
      </c>
      <c r="K8" s="11">
        <f t="shared" ref="K8" si="1">IF(H8&gt;J8,H8-J8,0)</f>
        <v>0</v>
      </c>
      <c r="L8" s="12">
        <f t="shared" ref="L8:L10" si="2">IF(J8&gt;H8,J8-H8,0)</f>
        <v>0</v>
      </c>
    </row>
    <row r="9" spans="1:12" s="13" customFormat="1" ht="16.5" hidden="1">
      <c r="A9" t="s">
        <v>16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10">
        <f>+G9+F9+E9+D9+C9+B9</f>
        <v>0</v>
      </c>
      <c r="I9" s="54"/>
      <c r="J9" s="9">
        <v>0</v>
      </c>
      <c r="K9" s="11">
        <f>IF(H9&gt;J9,H9-J9,0)</f>
        <v>0</v>
      </c>
      <c r="L9" s="12">
        <f t="shared" si="2"/>
        <v>0</v>
      </c>
    </row>
    <row r="10" spans="1:12" ht="16.5" hidden="1">
      <c r="A10" t="s">
        <v>17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10">
        <f t="shared" si="0"/>
        <v>0</v>
      </c>
      <c r="I10" s="54"/>
      <c r="J10" s="9">
        <v>0</v>
      </c>
      <c r="K10" s="11">
        <f t="shared" ref="K10" si="3">IF(H10&gt;J10,H10-J10,0)</f>
        <v>0</v>
      </c>
      <c r="L10" s="12">
        <f t="shared" si="2"/>
        <v>0</v>
      </c>
    </row>
    <row r="11" spans="1:12" ht="17.25" thickBot="1">
      <c r="A11" s="14"/>
      <c r="B11" s="15">
        <f t="shared" ref="B11:G11" si="4">SUM(B4:B10)</f>
        <v>476</v>
      </c>
      <c r="C11" s="15">
        <f t="shared" si="4"/>
        <v>1749</v>
      </c>
      <c r="D11" s="15">
        <f t="shared" si="4"/>
        <v>192</v>
      </c>
      <c r="E11" s="15">
        <f t="shared" si="4"/>
        <v>0</v>
      </c>
      <c r="F11" s="15">
        <f t="shared" si="4"/>
        <v>64</v>
      </c>
      <c r="G11" s="15">
        <f t="shared" si="4"/>
        <v>0</v>
      </c>
      <c r="H11" s="15">
        <v>0</v>
      </c>
      <c r="I11" s="16"/>
      <c r="J11" s="15">
        <f>SUM(J4:J10)</f>
        <v>2481</v>
      </c>
      <c r="K11" s="15">
        <f>SUM(K4:K10)</f>
        <v>0</v>
      </c>
      <c r="L11" s="15">
        <f>SUM(L4:L10)</f>
        <v>0</v>
      </c>
    </row>
    <row r="12" spans="1:12" ht="17.25" thickBot="1">
      <c r="A12" s="17"/>
      <c r="B12" s="18"/>
      <c r="C12" s="18"/>
      <c r="D12" s="3"/>
      <c r="E12" s="18"/>
      <c r="F12" s="18"/>
      <c r="G12" s="18"/>
      <c r="H12" s="18"/>
      <c r="I12" s="3"/>
      <c r="J12" s="3"/>
      <c r="K12" s="3"/>
      <c r="L12" s="3"/>
    </row>
    <row r="13" spans="1:12" ht="17.25" thickBot="1">
      <c r="A13" s="46" t="s">
        <v>37</v>
      </c>
      <c r="B13" s="47"/>
      <c r="C13" s="47"/>
      <c r="D13" s="48"/>
      <c r="E13" s="18"/>
      <c r="F13" s="18"/>
      <c r="G13" s="18"/>
      <c r="K13" s="3"/>
      <c r="L13" s="3"/>
    </row>
    <row r="14" spans="1:12" ht="16.5">
      <c r="A14" s="19">
        <v>500</v>
      </c>
      <c r="B14" s="20" t="s">
        <v>18</v>
      </c>
      <c r="C14" s="21">
        <v>0</v>
      </c>
      <c r="D14" s="22">
        <f>A14*C14</f>
        <v>0</v>
      </c>
      <c r="F14" s="3"/>
      <c r="G14" s="3"/>
      <c r="K14" s="3"/>
      <c r="L14" s="3"/>
    </row>
    <row r="15" spans="1:12" ht="16.5">
      <c r="A15" s="23">
        <v>100</v>
      </c>
      <c r="B15" s="24">
        <v>1</v>
      </c>
      <c r="C15" s="21">
        <v>1</v>
      </c>
      <c r="D15" s="22">
        <f t="shared" ref="D15" si="5">A15*C15</f>
        <v>100</v>
      </c>
      <c r="E15" s="3"/>
      <c r="F15" s="3"/>
      <c r="G15" s="3"/>
      <c r="K15" s="3"/>
      <c r="L15" s="3"/>
    </row>
    <row r="16" spans="1:12" ht="16.5">
      <c r="A16" s="23">
        <v>50</v>
      </c>
      <c r="B16" s="24" t="s">
        <v>18</v>
      </c>
      <c r="C16" s="21">
        <v>1</v>
      </c>
      <c r="D16" s="22">
        <f>A16*C16</f>
        <v>50</v>
      </c>
      <c r="E16" s="3"/>
      <c r="F16" s="3"/>
      <c r="G16" s="3"/>
      <c r="K16" s="3"/>
      <c r="L16" s="3"/>
    </row>
    <row r="17" spans="1:21" ht="16.5">
      <c r="A17" s="23">
        <v>20</v>
      </c>
      <c r="B17" s="24" t="s">
        <v>18</v>
      </c>
      <c r="C17" s="21">
        <v>1</v>
      </c>
      <c r="D17" s="22">
        <f>A17*C17</f>
        <v>20</v>
      </c>
      <c r="E17" s="3"/>
      <c r="F17" s="3"/>
      <c r="G17" s="3"/>
      <c r="K17" s="3"/>
      <c r="L17" s="3"/>
      <c r="P17" s="13"/>
      <c r="Q17" s="13"/>
      <c r="R17" s="13"/>
      <c r="S17" s="13"/>
    </row>
    <row r="18" spans="1:21" ht="16.5">
      <c r="A18" s="23">
        <v>10</v>
      </c>
      <c r="B18" s="24" t="s">
        <v>18</v>
      </c>
      <c r="C18" s="21">
        <v>3</v>
      </c>
      <c r="D18" s="22">
        <f>A18*C18</f>
        <v>30</v>
      </c>
      <c r="E18" s="3"/>
      <c r="F18" s="3"/>
    </row>
    <row r="19" spans="1:21" ht="16.5">
      <c r="A19" s="23">
        <v>5</v>
      </c>
      <c r="B19" s="24" t="s">
        <v>18</v>
      </c>
      <c r="C19" s="21">
        <v>52</v>
      </c>
      <c r="D19" s="22">
        <f>A19*C19</f>
        <v>260</v>
      </c>
      <c r="E19" s="3"/>
      <c r="F19" s="3"/>
      <c r="G19" s="3"/>
      <c r="N19" t="s">
        <v>19</v>
      </c>
      <c r="U19" s="13"/>
    </row>
    <row r="20" spans="1:21" ht="16.5">
      <c r="A20" s="25" t="s">
        <v>20</v>
      </c>
      <c r="B20" s="26" t="s">
        <v>18</v>
      </c>
      <c r="C20" s="21">
        <v>16</v>
      </c>
      <c r="D20" s="22">
        <f>+C20*1</f>
        <v>16</v>
      </c>
      <c r="E20" s="3"/>
      <c r="F20" s="3"/>
      <c r="H20" s="3"/>
      <c r="I20" s="3"/>
      <c r="J20" s="3"/>
      <c r="K20" s="27"/>
      <c r="L20" s="3"/>
    </row>
    <row r="21" spans="1:21" ht="16.5">
      <c r="A21" s="25"/>
      <c r="B21" s="26"/>
      <c r="C21" s="21">
        <v>0</v>
      </c>
      <c r="D21" s="22">
        <f>+C21*0.025</f>
        <v>0</v>
      </c>
      <c r="E21" s="3"/>
      <c r="F21" s="3"/>
      <c r="G21" s="3"/>
      <c r="H21" s="28"/>
      <c r="J21" s="3"/>
      <c r="K21" s="3"/>
      <c r="L21" s="3"/>
      <c r="P21" s="13"/>
    </row>
    <row r="22" spans="1:21" ht="16.5">
      <c r="A22" s="49" t="s">
        <v>21</v>
      </c>
      <c r="B22" s="50"/>
      <c r="C22" s="29"/>
      <c r="D22" s="30">
        <f>SUM(D14:D21)</f>
        <v>476</v>
      </c>
      <c r="E22" s="3"/>
      <c r="F22" s="3"/>
      <c r="G22" s="3"/>
      <c r="H22" s="3"/>
      <c r="I22" s="3"/>
      <c r="J22" s="3"/>
      <c r="K22" s="3"/>
      <c r="L22" s="3"/>
    </row>
    <row r="23" spans="1:21" s="13" customFormat="1" ht="16.5">
      <c r="A23"/>
      <c r="B23"/>
      <c r="C23"/>
      <c r="D23"/>
      <c r="E23"/>
      <c r="F23"/>
      <c r="G23"/>
      <c r="H23"/>
      <c r="I23"/>
      <c r="J23"/>
      <c r="K23"/>
      <c r="L23"/>
      <c r="M23"/>
      <c r="P23"/>
      <c r="Q23"/>
      <c r="R23"/>
      <c r="S23"/>
      <c r="T23"/>
      <c r="U23"/>
    </row>
    <row r="24" spans="1:21" ht="16.5">
      <c r="U24" s="13"/>
    </row>
    <row r="25" spans="1:21" ht="16.5">
      <c r="Q25" s="13"/>
      <c r="R25" s="13"/>
      <c r="S25" s="13"/>
      <c r="T25" s="13"/>
    </row>
    <row r="26" spans="1:21" ht="16.5">
      <c r="P26" s="13"/>
    </row>
    <row r="27" spans="1:21" ht="18" customHeight="1"/>
  </sheetData>
  <mergeCells count="4">
    <mergeCell ref="A2:L2"/>
    <mergeCell ref="I3:I10"/>
    <mergeCell ref="A13:D13"/>
    <mergeCell ref="A22:B22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7"/>
  <sheetViews>
    <sheetView workbookViewId="0">
      <selection activeCell="R14" sqref="R14"/>
    </sheetView>
  </sheetViews>
  <sheetFormatPr defaultRowHeight="15"/>
  <cols>
    <col min="1" max="1" width="30" customWidth="1"/>
    <col min="3" max="4" width="9.42578125" bestFit="1" customWidth="1"/>
  </cols>
  <sheetData>
    <row r="1" spans="1:12" ht="17.25" thickBot="1">
      <c r="A1" s="1" t="s">
        <v>38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2" ht="17.25" thickBot="1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3"/>
    </row>
    <row r="3" spans="1:12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6" t="s">
        <v>8</v>
      </c>
      <c r="I3" s="54"/>
      <c r="J3" s="6" t="s">
        <v>9</v>
      </c>
      <c r="K3" s="6" t="s">
        <v>10</v>
      </c>
      <c r="L3" s="7" t="s">
        <v>11</v>
      </c>
    </row>
    <row r="4" spans="1:12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10">
        <f>+G4+F4+E4+D4+C4+B4</f>
        <v>0</v>
      </c>
      <c r="I4" s="54"/>
      <c r="J4" s="9">
        <v>108</v>
      </c>
      <c r="K4" s="11">
        <f>IF(H4&gt;J4,H4-J4,0)</f>
        <v>0</v>
      </c>
      <c r="L4" s="12">
        <f>IF(J4&gt;H4,J4-H4,0)</f>
        <v>108</v>
      </c>
    </row>
    <row r="5" spans="1:12" ht="16.5">
      <c r="A5" s="8" t="s">
        <v>13</v>
      </c>
      <c r="B5" s="9">
        <v>0</v>
      </c>
      <c r="C5" s="9">
        <v>0</v>
      </c>
      <c r="D5" s="9">
        <v>384</v>
      </c>
      <c r="E5" s="9">
        <v>0</v>
      </c>
      <c r="F5" s="9">
        <v>0</v>
      </c>
      <c r="G5" s="9">
        <v>0</v>
      </c>
      <c r="H5" s="10">
        <f t="shared" ref="H5:H10" si="0">+G5+F5+E5+D5+C5+B5</f>
        <v>384</v>
      </c>
      <c r="I5" s="54"/>
      <c r="J5" s="9">
        <v>384</v>
      </c>
      <c r="K5" s="11">
        <f>IF(H5&gt;J5,H5-J5,0)</f>
        <v>0</v>
      </c>
      <c r="L5" s="12">
        <f>IF(J5&gt;H5,J5-H5,0)</f>
        <v>0</v>
      </c>
    </row>
    <row r="6" spans="1:12" ht="16.5">
      <c r="A6" s="31" t="s">
        <v>17</v>
      </c>
      <c r="B6" s="9">
        <v>14</v>
      </c>
      <c r="C6" s="9">
        <f>21+168+26+26+134+64+20+20+135+148+52+257+7+186+50+116+20+32+116+102+10+90+35+42+51+69</f>
        <v>1997</v>
      </c>
      <c r="D6" s="9">
        <v>0</v>
      </c>
      <c r="E6" s="9">
        <v>0</v>
      </c>
      <c r="F6" s="9">
        <v>0</v>
      </c>
      <c r="G6" s="9">
        <v>0</v>
      </c>
      <c r="H6" s="10">
        <f t="shared" si="0"/>
        <v>2011</v>
      </c>
      <c r="I6" s="54"/>
      <c r="J6" s="9">
        <v>1991</v>
      </c>
      <c r="K6" s="11">
        <f>IF(H6&gt;J6,H6-J6,0)</f>
        <v>20</v>
      </c>
      <c r="L6" s="12">
        <f>IF(J6&gt;H6,J6-H6,0)</f>
        <v>0</v>
      </c>
    </row>
    <row r="7" spans="1:12" ht="16.5">
      <c r="A7" s="31" t="s">
        <v>30</v>
      </c>
      <c r="B7" s="9">
        <v>32</v>
      </c>
      <c r="C7" s="9">
        <f>102+40+47+20+24+52+52+27+20+32+51+250</f>
        <v>717</v>
      </c>
      <c r="D7" s="9">
        <v>0</v>
      </c>
      <c r="E7" s="9">
        <v>0</v>
      </c>
      <c r="F7" s="9">
        <v>0</v>
      </c>
      <c r="G7" s="9">
        <v>0</v>
      </c>
      <c r="H7" s="10">
        <f t="shared" si="0"/>
        <v>749</v>
      </c>
      <c r="I7" s="54"/>
      <c r="J7" s="9">
        <v>749</v>
      </c>
      <c r="K7" s="11">
        <f>IF(H7&gt;J7,H7-J7,0)</f>
        <v>0</v>
      </c>
      <c r="L7" s="12">
        <f>IF(J7&gt;H7,J7-H7,0)</f>
        <v>0</v>
      </c>
    </row>
    <row r="8" spans="1:12" s="13" customFormat="1" ht="16.5" hidden="1">
      <c r="A8" t="s">
        <v>25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10">
        <f t="shared" si="0"/>
        <v>0</v>
      </c>
      <c r="I8" s="54"/>
      <c r="J8" s="9">
        <v>0</v>
      </c>
      <c r="K8" s="11">
        <f t="shared" ref="K8" si="1">IF(H8&gt;J8,H8-J8,0)</f>
        <v>0</v>
      </c>
      <c r="L8" s="12">
        <f t="shared" ref="L8:L10" si="2">IF(J8&gt;H8,J8-H8,0)</f>
        <v>0</v>
      </c>
    </row>
    <row r="9" spans="1:12" s="13" customFormat="1" ht="16.5">
      <c r="A9" s="31" t="s">
        <v>25</v>
      </c>
      <c r="B9" s="9">
        <v>132</v>
      </c>
      <c r="C9" s="9">
        <f>232+32+40+20+106+51+20+24+32+40+24+763+104+20+24+20+42+95+142+20+26+7+20</f>
        <v>1904</v>
      </c>
      <c r="D9" s="9">
        <v>0</v>
      </c>
      <c r="E9" s="9">
        <v>0</v>
      </c>
      <c r="F9" s="9">
        <f>96+160</f>
        <v>256</v>
      </c>
      <c r="G9" s="9">
        <v>0</v>
      </c>
      <c r="H9" s="10">
        <f>+G9+F9+E9+D9+C9+B9</f>
        <v>2292</v>
      </c>
      <c r="I9" s="54"/>
      <c r="J9" s="9">
        <v>2292</v>
      </c>
      <c r="K9" s="11">
        <f>IF(H9&gt;J9,H9-J9,0)</f>
        <v>0</v>
      </c>
      <c r="L9" s="12">
        <f t="shared" si="2"/>
        <v>0</v>
      </c>
    </row>
    <row r="10" spans="1:12" ht="16.5" hidden="1">
      <c r="A10" t="s">
        <v>17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10">
        <f t="shared" si="0"/>
        <v>0</v>
      </c>
      <c r="I10" s="54"/>
      <c r="J10" s="9">
        <v>0</v>
      </c>
      <c r="K10" s="11">
        <f t="shared" ref="K10" si="3">IF(H10&gt;J10,H10-J10,0)</f>
        <v>0</v>
      </c>
      <c r="L10" s="12">
        <f t="shared" si="2"/>
        <v>0</v>
      </c>
    </row>
    <row r="11" spans="1:12" ht="17.25" thickBot="1">
      <c r="A11" s="14"/>
      <c r="B11" s="15">
        <f t="shared" ref="B11:G11" si="4">SUM(B4:B10)</f>
        <v>178</v>
      </c>
      <c r="C11" s="15">
        <f t="shared" si="4"/>
        <v>4618</v>
      </c>
      <c r="D11" s="15">
        <f t="shared" si="4"/>
        <v>384</v>
      </c>
      <c r="E11" s="15">
        <f t="shared" si="4"/>
        <v>0</v>
      </c>
      <c r="F11" s="15">
        <f t="shared" si="4"/>
        <v>256</v>
      </c>
      <c r="G11" s="15">
        <f t="shared" si="4"/>
        <v>0</v>
      </c>
      <c r="H11" s="15">
        <v>0</v>
      </c>
      <c r="I11" s="16"/>
      <c r="J11" s="15">
        <f>SUM(J4:J10)</f>
        <v>5524</v>
      </c>
      <c r="K11" s="15">
        <f>SUM(K4:K10)</f>
        <v>20</v>
      </c>
      <c r="L11" s="15">
        <f>SUM(L4:L10)</f>
        <v>108</v>
      </c>
    </row>
    <row r="12" spans="1:12" ht="17.25" thickBot="1">
      <c r="A12" s="17"/>
      <c r="B12" s="18"/>
      <c r="C12" s="18"/>
      <c r="D12" s="3"/>
      <c r="E12" s="18"/>
      <c r="F12" s="18"/>
      <c r="G12" s="18"/>
      <c r="H12" s="18"/>
      <c r="I12" s="3"/>
      <c r="J12" s="3"/>
      <c r="K12" s="3"/>
      <c r="L12" s="3"/>
    </row>
    <row r="13" spans="1:12" ht="17.25" thickBot="1">
      <c r="A13" s="46" t="s">
        <v>39</v>
      </c>
      <c r="B13" s="47"/>
      <c r="C13" s="47"/>
      <c r="D13" s="48"/>
      <c r="E13" s="18"/>
      <c r="F13" s="18"/>
      <c r="G13" s="18"/>
      <c r="K13" s="3"/>
      <c r="L13" s="3"/>
    </row>
    <row r="14" spans="1:12" ht="16.5">
      <c r="A14" s="19">
        <v>500</v>
      </c>
      <c r="B14" s="20" t="s">
        <v>18</v>
      </c>
      <c r="C14" s="21">
        <v>0</v>
      </c>
      <c r="D14" s="22">
        <f>A14*C14</f>
        <v>0</v>
      </c>
      <c r="F14" s="3"/>
      <c r="G14" s="3"/>
      <c r="K14" s="3"/>
      <c r="L14" s="3"/>
    </row>
    <row r="15" spans="1:12" ht="16.5">
      <c r="A15" s="23">
        <v>100</v>
      </c>
      <c r="B15" s="24">
        <v>1</v>
      </c>
      <c r="C15" s="21">
        <v>0</v>
      </c>
      <c r="D15" s="22">
        <f t="shared" ref="D15" si="5">A15*C15</f>
        <v>0</v>
      </c>
      <c r="E15" s="3"/>
      <c r="F15" s="3"/>
      <c r="G15" s="3"/>
      <c r="K15" s="3"/>
      <c r="L15" s="3"/>
    </row>
    <row r="16" spans="1:12" ht="16.5">
      <c r="A16" s="23">
        <v>50</v>
      </c>
      <c r="B16" s="24" t="s">
        <v>18</v>
      </c>
      <c r="C16" s="21">
        <v>0</v>
      </c>
      <c r="D16" s="22">
        <f>A16*C16</f>
        <v>0</v>
      </c>
      <c r="E16" s="3"/>
      <c r="F16" s="3"/>
      <c r="G16" s="3"/>
      <c r="K16" s="3"/>
      <c r="L16" s="3"/>
    </row>
    <row r="17" spans="1:21" ht="16.5">
      <c r="A17" s="23">
        <v>20</v>
      </c>
      <c r="B17" s="24" t="s">
        <v>18</v>
      </c>
      <c r="C17" s="21">
        <v>0</v>
      </c>
      <c r="D17" s="22">
        <f>A17*C17</f>
        <v>0</v>
      </c>
      <c r="E17" s="3"/>
      <c r="F17" s="3"/>
      <c r="G17" s="3"/>
      <c r="K17" s="3"/>
      <c r="L17" s="3"/>
      <c r="P17" s="13"/>
      <c r="Q17" s="13"/>
      <c r="R17" s="13"/>
      <c r="S17" s="13"/>
    </row>
    <row r="18" spans="1:21" ht="16.5">
      <c r="A18" s="23">
        <v>10</v>
      </c>
      <c r="B18" s="24" t="s">
        <v>18</v>
      </c>
      <c r="C18" s="21">
        <v>6</v>
      </c>
      <c r="D18" s="22">
        <f>A18*C18</f>
        <v>60</v>
      </c>
      <c r="E18" s="3"/>
      <c r="F18" s="3"/>
    </row>
    <row r="19" spans="1:21" ht="16.5">
      <c r="A19" s="23">
        <v>5</v>
      </c>
      <c r="B19" s="24" t="s">
        <v>18</v>
      </c>
      <c r="C19" s="21">
        <v>22</v>
      </c>
      <c r="D19" s="22">
        <f>A19*C19</f>
        <v>110</v>
      </c>
      <c r="E19" s="3"/>
      <c r="F19" s="3"/>
      <c r="G19" s="3"/>
      <c r="N19" t="s">
        <v>19</v>
      </c>
      <c r="U19" s="13"/>
    </row>
    <row r="20" spans="1:21" ht="16.5">
      <c r="A20" s="25" t="s">
        <v>20</v>
      </c>
      <c r="B20" s="26" t="s">
        <v>18</v>
      </c>
      <c r="C20" s="21">
        <v>8</v>
      </c>
      <c r="D20" s="22">
        <f>+C20*1</f>
        <v>8</v>
      </c>
      <c r="E20" s="3"/>
      <c r="F20" s="3"/>
      <c r="H20" s="3"/>
      <c r="I20" s="3"/>
      <c r="J20" s="3"/>
      <c r="K20" s="33" t="s">
        <v>19</v>
      </c>
      <c r="L20" s="3"/>
    </row>
    <row r="21" spans="1:21" ht="16.5">
      <c r="A21" s="25"/>
      <c r="B21" s="26"/>
      <c r="C21" s="21">
        <v>0</v>
      </c>
      <c r="D21" s="22">
        <f>+C21*0.025</f>
        <v>0</v>
      </c>
      <c r="E21" s="3"/>
      <c r="F21" s="3"/>
      <c r="G21" s="3"/>
      <c r="H21" s="28"/>
      <c r="J21" s="3"/>
      <c r="K21" s="3"/>
      <c r="L21" s="3"/>
      <c r="P21" s="13"/>
    </row>
    <row r="22" spans="1:21" ht="16.5">
      <c r="A22" s="49" t="s">
        <v>21</v>
      </c>
      <c r="B22" s="50"/>
      <c r="C22" s="29"/>
      <c r="D22" s="30">
        <f>SUM(D14:D21)</f>
        <v>178</v>
      </c>
      <c r="E22" s="3"/>
      <c r="F22" s="3"/>
      <c r="G22" s="3"/>
      <c r="H22" s="3"/>
      <c r="I22" s="3"/>
      <c r="J22" s="3"/>
      <c r="K22" s="3"/>
      <c r="L22" s="3"/>
    </row>
    <row r="23" spans="1:21" s="13" customFormat="1" ht="16.5">
      <c r="A23"/>
      <c r="B23"/>
      <c r="C23"/>
      <c r="D23"/>
      <c r="E23"/>
      <c r="F23"/>
      <c r="G23"/>
      <c r="H23"/>
      <c r="I23"/>
      <c r="J23"/>
      <c r="K23"/>
      <c r="L23"/>
      <c r="M23"/>
      <c r="P23"/>
      <c r="Q23"/>
      <c r="R23"/>
      <c r="S23"/>
      <c r="T23"/>
      <c r="U23"/>
    </row>
    <row r="24" spans="1:21" ht="16.5">
      <c r="U24" s="13"/>
    </row>
    <row r="25" spans="1:21" ht="16.5">
      <c r="Q25" s="13"/>
      <c r="R25" s="13"/>
      <c r="S25" s="13"/>
      <c r="T25" s="13"/>
    </row>
    <row r="26" spans="1:21" ht="16.5">
      <c r="P26" s="13"/>
    </row>
    <row r="27" spans="1:21" ht="18" customHeight="1"/>
  </sheetData>
  <mergeCells count="4">
    <mergeCell ref="A2:L2"/>
    <mergeCell ref="I3:I10"/>
    <mergeCell ref="A13:D13"/>
    <mergeCell ref="A22:B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73B1-44BE-4821-9219-D68B77C31A39}">
  <dimension ref="A1:U27"/>
  <sheetViews>
    <sheetView workbookViewId="0">
      <selection activeCell="I20" sqref="I20"/>
    </sheetView>
  </sheetViews>
  <sheetFormatPr defaultRowHeight="15"/>
  <cols>
    <col min="1" max="1" width="30" customWidth="1"/>
    <col min="3" max="4" width="9.42578125" bestFit="1" customWidth="1"/>
  </cols>
  <sheetData>
    <row r="1" spans="1:12" ht="17.25" thickBot="1">
      <c r="A1" s="1" t="s">
        <v>40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2" ht="17.25" thickBot="1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3"/>
    </row>
    <row r="3" spans="1:12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53</v>
      </c>
      <c r="G3" s="6" t="s">
        <v>7</v>
      </c>
      <c r="H3" s="6" t="s">
        <v>8</v>
      </c>
      <c r="I3" s="54"/>
      <c r="J3" s="6" t="s">
        <v>9</v>
      </c>
      <c r="K3" s="6" t="s">
        <v>10</v>
      </c>
      <c r="L3" s="7" t="s">
        <v>11</v>
      </c>
    </row>
    <row r="4" spans="1:12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10">
        <f>+G4+F4+E4+D4+C4+B4</f>
        <v>0</v>
      </c>
      <c r="I4" s="54"/>
      <c r="J4" s="9">
        <v>-52</v>
      </c>
      <c r="K4" s="11">
        <f>IF(H4&gt;J4,H4-J4,0)</f>
        <v>52</v>
      </c>
      <c r="L4" s="12">
        <f>IF(J4&gt;H4,J4-H4,0)</f>
        <v>0</v>
      </c>
    </row>
    <row r="5" spans="1:12" ht="16.5">
      <c r="A5" s="8" t="s">
        <v>13</v>
      </c>
      <c r="B5" s="9">
        <v>0</v>
      </c>
      <c r="C5" s="9">
        <v>0</v>
      </c>
      <c r="D5" s="9">
        <v>202</v>
      </c>
      <c r="E5" s="9">
        <v>0</v>
      </c>
      <c r="F5" s="9">
        <v>0</v>
      </c>
      <c r="G5" s="9">
        <v>0</v>
      </c>
      <c r="H5" s="10">
        <f t="shared" ref="H5:H10" si="0">+G5+F5+E5+D5+C5+B5</f>
        <v>202</v>
      </c>
      <c r="I5" s="54"/>
      <c r="J5" s="9">
        <v>202</v>
      </c>
      <c r="K5" s="11">
        <f>IF(H5&gt;J5,H5-J5,0)</f>
        <v>0</v>
      </c>
      <c r="L5" s="12">
        <f>IF(J5&gt;H5,J5-H5,0)</f>
        <v>0</v>
      </c>
    </row>
    <row r="6" spans="1:12" ht="16.5">
      <c r="A6" s="32" t="s">
        <v>36</v>
      </c>
      <c r="B6" s="9">
        <v>48</v>
      </c>
      <c r="C6" s="9">
        <f>206+96+26+48+42+24+20+20+15+7+10+20+160+54+27+64+7+26+124+15+84+20+40</f>
        <v>1155</v>
      </c>
      <c r="D6" s="9">
        <v>0</v>
      </c>
      <c r="E6" s="9">
        <v>0</v>
      </c>
      <c r="F6" s="9">
        <v>0</v>
      </c>
      <c r="G6" s="9">
        <v>0</v>
      </c>
      <c r="H6" s="10">
        <f t="shared" si="0"/>
        <v>1203</v>
      </c>
      <c r="I6" s="54"/>
      <c r="J6" s="9">
        <v>1203</v>
      </c>
      <c r="K6" s="11">
        <f>IF(H6&gt;J6,H6-J6,0)</f>
        <v>0</v>
      </c>
      <c r="L6" s="12">
        <f>IF(J6&gt;H6,J6-H6,0)</f>
        <v>0</v>
      </c>
    </row>
    <row r="7" spans="1:12" ht="16.5">
      <c r="A7" s="31" t="s">
        <v>30</v>
      </c>
      <c r="B7" s="9">
        <v>264</v>
      </c>
      <c r="C7" s="9">
        <f>104+71+71+40+168+6+20+20+20+20</f>
        <v>540</v>
      </c>
      <c r="D7" s="9">
        <v>0</v>
      </c>
      <c r="E7" s="9">
        <v>0</v>
      </c>
      <c r="F7" s="9">
        <v>0</v>
      </c>
      <c r="G7" s="9">
        <v>0</v>
      </c>
      <c r="H7" s="10">
        <f t="shared" si="0"/>
        <v>804</v>
      </c>
      <c r="I7" s="54"/>
      <c r="J7" s="9">
        <v>784</v>
      </c>
      <c r="K7" s="11">
        <f>IF(H7&gt;J7,H7-J7,0)</f>
        <v>20</v>
      </c>
      <c r="L7" s="12">
        <f>IF(J7&gt;H7,J7-H7,0)</f>
        <v>0</v>
      </c>
    </row>
    <row r="8" spans="1:12" s="13" customFormat="1" ht="16.5" hidden="1">
      <c r="A8" t="s">
        <v>25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10">
        <f t="shared" si="0"/>
        <v>0</v>
      </c>
      <c r="I8" s="54"/>
      <c r="J8" s="9">
        <v>0</v>
      </c>
      <c r="K8" s="11">
        <f t="shared" ref="K8" si="1">IF(H8&gt;J8,H8-J8,0)</f>
        <v>0</v>
      </c>
      <c r="L8" s="12">
        <f t="shared" ref="L8:L10" si="2">IF(J8&gt;H8,J8-H8,0)</f>
        <v>0</v>
      </c>
    </row>
    <row r="9" spans="1:12" s="13" customFormat="1" ht="16.5">
      <c r="A9" s="31" t="s">
        <v>25</v>
      </c>
      <c r="B9" s="9">
        <v>226</v>
      </c>
      <c r="C9" s="9">
        <f>86+32+32+46+44+20+30+20+52+128+24+24+14+14+192+46+32+26+20+26+26</f>
        <v>934</v>
      </c>
      <c r="D9" s="9">
        <v>24</v>
      </c>
      <c r="E9" s="9">
        <v>0</v>
      </c>
      <c r="F9" s="9">
        <v>84</v>
      </c>
      <c r="G9" s="9">
        <v>0</v>
      </c>
      <c r="H9" s="10">
        <f>+G9+F9+E9+D9+C9+B9</f>
        <v>1268</v>
      </c>
      <c r="I9" s="54"/>
      <c r="J9" s="9">
        <v>1224</v>
      </c>
      <c r="K9" s="11">
        <f>IF(H9&gt;J9,H9-J9,0)</f>
        <v>44</v>
      </c>
      <c r="L9" s="12">
        <f t="shared" si="2"/>
        <v>0</v>
      </c>
    </row>
    <row r="10" spans="1:12" ht="16.5" hidden="1">
      <c r="A10" t="s">
        <v>17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10">
        <f t="shared" si="0"/>
        <v>0</v>
      </c>
      <c r="I10" s="54"/>
      <c r="J10" s="9">
        <v>0</v>
      </c>
      <c r="K10" s="11">
        <f t="shared" ref="K10" si="3">IF(H10&gt;J10,H10-J10,0)</f>
        <v>0</v>
      </c>
      <c r="L10" s="12">
        <f t="shared" si="2"/>
        <v>0</v>
      </c>
    </row>
    <row r="11" spans="1:12" ht="17.25" thickBot="1">
      <c r="A11" s="14"/>
      <c r="B11" s="15">
        <f t="shared" ref="B11:G11" si="4">SUM(B4:B10)</f>
        <v>538</v>
      </c>
      <c r="C11" s="15">
        <f t="shared" si="4"/>
        <v>2629</v>
      </c>
      <c r="D11" s="15">
        <f t="shared" si="4"/>
        <v>226</v>
      </c>
      <c r="E11" s="15">
        <f t="shared" si="4"/>
        <v>0</v>
      </c>
      <c r="F11" s="15">
        <f t="shared" si="4"/>
        <v>84</v>
      </c>
      <c r="G11" s="15">
        <f t="shared" si="4"/>
        <v>0</v>
      </c>
      <c r="H11" s="15">
        <v>0</v>
      </c>
      <c r="I11" s="16"/>
      <c r="J11" s="15">
        <f>SUM(J4:J10)</f>
        <v>3361</v>
      </c>
      <c r="K11" s="15">
        <f>SUM(K4:K10)</f>
        <v>116</v>
      </c>
      <c r="L11" s="15">
        <f>SUM(L4:L10)</f>
        <v>0</v>
      </c>
    </row>
    <row r="12" spans="1:12" ht="17.25" thickBot="1">
      <c r="A12" s="17"/>
      <c r="B12" s="18"/>
      <c r="C12" s="18"/>
      <c r="D12" s="3"/>
      <c r="E12" s="18"/>
      <c r="F12" s="18"/>
      <c r="G12" s="18"/>
      <c r="H12" s="18"/>
      <c r="I12" s="3"/>
      <c r="J12" s="3"/>
      <c r="K12" s="3"/>
      <c r="L12" s="3"/>
    </row>
    <row r="13" spans="1:12" ht="17.25" thickBot="1">
      <c r="A13" s="46" t="s">
        <v>41</v>
      </c>
      <c r="B13" s="47"/>
      <c r="C13" s="47"/>
      <c r="D13" s="48"/>
      <c r="E13" s="18"/>
      <c r="F13" s="18"/>
      <c r="G13" s="18"/>
      <c r="K13" s="3"/>
      <c r="L13" s="3"/>
    </row>
    <row r="14" spans="1:12" ht="16.5">
      <c r="A14" s="19">
        <v>500</v>
      </c>
      <c r="B14" s="20" t="s">
        <v>18</v>
      </c>
      <c r="C14" s="21">
        <v>0</v>
      </c>
      <c r="D14" s="22">
        <f>A14*C14</f>
        <v>0</v>
      </c>
      <c r="F14" s="3"/>
      <c r="G14" s="3"/>
      <c r="K14" s="3"/>
      <c r="L14" s="3"/>
    </row>
    <row r="15" spans="1:12" ht="16.5">
      <c r="A15" s="23">
        <v>100</v>
      </c>
      <c r="B15" s="24">
        <v>1</v>
      </c>
      <c r="C15" s="21">
        <v>0</v>
      </c>
      <c r="D15" s="22">
        <f t="shared" ref="D15" si="5">A15*C15</f>
        <v>0</v>
      </c>
      <c r="E15" s="3"/>
      <c r="F15" s="3"/>
      <c r="G15" s="3"/>
      <c r="K15" s="3"/>
      <c r="L15" s="3"/>
    </row>
    <row r="16" spans="1:12" ht="16.5">
      <c r="A16" s="23">
        <v>50</v>
      </c>
      <c r="B16" s="24" t="s">
        <v>18</v>
      </c>
      <c r="C16" s="21">
        <v>2</v>
      </c>
      <c r="D16" s="22">
        <f>A16*C16</f>
        <v>100</v>
      </c>
      <c r="E16" s="3"/>
      <c r="F16" s="3"/>
      <c r="G16" s="3"/>
      <c r="K16" s="3"/>
      <c r="L16" s="3"/>
    </row>
    <row r="17" spans="1:21" ht="16.5">
      <c r="A17" s="23">
        <v>20</v>
      </c>
      <c r="B17" s="24" t="s">
        <v>18</v>
      </c>
      <c r="C17" s="21">
        <v>0</v>
      </c>
      <c r="D17" s="22">
        <f>A17*C17</f>
        <v>0</v>
      </c>
      <c r="E17" s="3"/>
      <c r="F17" s="3"/>
      <c r="G17" s="3"/>
      <c r="K17" s="3"/>
      <c r="L17" s="3"/>
      <c r="P17" s="13"/>
      <c r="Q17" s="13"/>
      <c r="R17" s="13"/>
      <c r="S17" s="13"/>
    </row>
    <row r="18" spans="1:21" ht="16.5">
      <c r="A18" s="23">
        <v>10</v>
      </c>
      <c r="B18" s="24" t="s">
        <v>18</v>
      </c>
      <c r="C18" s="21">
        <v>27</v>
      </c>
      <c r="D18" s="22">
        <f>A18*C18</f>
        <v>270</v>
      </c>
      <c r="E18" s="3"/>
      <c r="F18" s="3"/>
    </row>
    <row r="19" spans="1:21" ht="16.5">
      <c r="A19" s="23">
        <v>5</v>
      </c>
      <c r="B19" s="24" t="s">
        <v>18</v>
      </c>
      <c r="C19" s="21">
        <v>32</v>
      </c>
      <c r="D19" s="22">
        <f>A19*C19</f>
        <v>160</v>
      </c>
      <c r="E19" s="3"/>
      <c r="F19" s="3"/>
      <c r="G19" s="3"/>
      <c r="N19" t="s">
        <v>19</v>
      </c>
      <c r="U19" s="13"/>
    </row>
    <row r="20" spans="1:21" ht="16.5">
      <c r="A20" s="25" t="s">
        <v>20</v>
      </c>
      <c r="B20" s="26" t="s">
        <v>18</v>
      </c>
      <c r="C20" s="21">
        <v>8</v>
      </c>
      <c r="D20" s="22">
        <f>+C20*1</f>
        <v>8</v>
      </c>
      <c r="E20" s="3"/>
      <c r="F20" s="3"/>
      <c r="H20" s="3"/>
      <c r="I20" s="3"/>
      <c r="J20" s="3"/>
      <c r="K20" s="33" t="s">
        <v>19</v>
      </c>
      <c r="L20" s="3"/>
    </row>
    <row r="21" spans="1:21" ht="16.5">
      <c r="A21" s="25"/>
      <c r="B21" s="26"/>
      <c r="C21" s="21">
        <v>0</v>
      </c>
      <c r="D21" s="22">
        <f>+C21*0.025</f>
        <v>0</v>
      </c>
      <c r="E21" s="3"/>
      <c r="F21" s="3"/>
      <c r="G21" s="3"/>
      <c r="H21" s="28"/>
      <c r="J21" s="3"/>
      <c r="K21" s="3"/>
      <c r="L21" s="3"/>
      <c r="P21" s="13"/>
    </row>
    <row r="22" spans="1:21" ht="16.5">
      <c r="A22" s="49" t="s">
        <v>21</v>
      </c>
      <c r="B22" s="50"/>
      <c r="C22" s="29"/>
      <c r="D22" s="30">
        <f>SUM(D14:D21)</f>
        <v>538</v>
      </c>
      <c r="E22" s="3"/>
      <c r="F22" s="3"/>
      <c r="G22" s="3"/>
      <c r="H22" s="3"/>
      <c r="I22" s="3"/>
      <c r="J22" s="3"/>
      <c r="K22" s="3"/>
      <c r="L22" s="3"/>
      <c r="Q22" t="s">
        <v>42</v>
      </c>
    </row>
    <row r="23" spans="1:21" s="13" customFormat="1" ht="16.5">
      <c r="A23"/>
      <c r="B23"/>
      <c r="C23"/>
      <c r="D23"/>
      <c r="E23"/>
      <c r="F23"/>
      <c r="G23"/>
      <c r="H23"/>
      <c r="I23"/>
      <c r="J23"/>
      <c r="K23"/>
      <c r="L23"/>
      <c r="M23"/>
      <c r="P23"/>
      <c r="Q23"/>
      <c r="R23"/>
      <c r="S23"/>
      <c r="T23"/>
      <c r="U23"/>
    </row>
    <row r="24" spans="1:21" ht="16.5">
      <c r="U24" s="13"/>
    </row>
    <row r="25" spans="1:21" ht="16.5">
      <c r="Q25" s="13"/>
      <c r="R25" s="13"/>
      <c r="S25" s="13"/>
      <c r="T25" s="13"/>
    </row>
    <row r="26" spans="1:21" ht="16.5">
      <c r="P26" s="13"/>
    </row>
    <row r="27" spans="1:21" ht="18" customHeight="1"/>
  </sheetData>
  <mergeCells count="4">
    <mergeCell ref="A2:L2"/>
    <mergeCell ref="I3:I10"/>
    <mergeCell ref="A13:D13"/>
    <mergeCell ref="A22:B22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B1074-E359-4D28-853F-B082BB674086}">
  <dimension ref="A1:O27"/>
  <sheetViews>
    <sheetView workbookViewId="0">
      <selection activeCell="J11" sqref="J11"/>
    </sheetView>
  </sheetViews>
  <sheetFormatPr defaultRowHeight="15"/>
  <cols>
    <col min="1" max="1" width="30" customWidth="1"/>
    <col min="3" max="4" width="9.42578125" bestFit="1" customWidth="1"/>
  </cols>
  <sheetData>
    <row r="1" spans="1:12" ht="17.25" thickBot="1">
      <c r="A1" s="1" t="s">
        <v>43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2" ht="17.25" thickBot="1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3"/>
    </row>
    <row r="3" spans="1:12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6" t="s">
        <v>8</v>
      </c>
      <c r="I3" s="54"/>
      <c r="J3" s="6" t="s">
        <v>9</v>
      </c>
      <c r="K3" s="6" t="s">
        <v>10</v>
      </c>
      <c r="L3" s="7" t="s">
        <v>11</v>
      </c>
    </row>
    <row r="4" spans="1:12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10">
        <f>+G4+F4+E4+D4+C4+B4</f>
        <v>0</v>
      </c>
      <c r="I4" s="54"/>
      <c r="J4" s="9">
        <v>82</v>
      </c>
      <c r="K4" s="11">
        <f>IF(H4&gt;J4,H4-J4,0)</f>
        <v>0</v>
      </c>
      <c r="L4" s="12">
        <f>IF(J4&gt;H4,J4-H4,0)</f>
        <v>82</v>
      </c>
    </row>
    <row r="5" spans="1:12" ht="16.5">
      <c r="A5" s="8" t="s">
        <v>13</v>
      </c>
      <c r="B5" s="9">
        <v>0</v>
      </c>
      <c r="C5" s="9">
        <v>0</v>
      </c>
      <c r="D5" s="9">
        <v>192</v>
      </c>
      <c r="E5" s="9">
        <v>0</v>
      </c>
      <c r="F5" s="9">
        <v>0</v>
      </c>
      <c r="G5" s="9">
        <v>0</v>
      </c>
      <c r="H5" s="10">
        <f t="shared" ref="H5:H10" si="0">+G5+F5+E5+D5+C5+B5</f>
        <v>192</v>
      </c>
      <c r="I5" s="54"/>
      <c r="J5" s="9">
        <v>192</v>
      </c>
      <c r="K5" s="11">
        <f>IF(H5&gt;J5,H5-J5,0)</f>
        <v>0</v>
      </c>
      <c r="L5" s="12">
        <f>IF(J5&gt;H5,J5-H5,0)</f>
        <v>0</v>
      </c>
    </row>
    <row r="6" spans="1:12" ht="16.5">
      <c r="A6" s="31" t="s">
        <v>31</v>
      </c>
      <c r="B6" s="9">
        <v>260</v>
      </c>
      <c r="C6" s="9">
        <f>26+14+20+12+20+20+24+7+20</f>
        <v>163</v>
      </c>
      <c r="D6" s="9">
        <v>0</v>
      </c>
      <c r="E6" s="9">
        <v>0</v>
      </c>
      <c r="F6" s="9">
        <v>64</v>
      </c>
      <c r="G6" s="9">
        <v>0</v>
      </c>
      <c r="H6" s="10">
        <f t="shared" si="0"/>
        <v>487</v>
      </c>
      <c r="I6" s="54"/>
      <c r="J6" s="9">
        <v>487</v>
      </c>
      <c r="K6" s="11">
        <f>IF(H6&gt;J6,H6-J6,0)</f>
        <v>0</v>
      </c>
      <c r="L6" s="12">
        <f>IF(J6&gt;H6,J6-H6,0)</f>
        <v>0</v>
      </c>
    </row>
    <row r="7" spans="1:12" ht="16.5">
      <c r="A7" s="31" t="s">
        <v>17</v>
      </c>
      <c r="B7" s="9">
        <v>111</v>
      </c>
      <c r="C7" s="9">
        <f>12+103+20+20+20+47+26+20+52+20+20+96+204+20+15+16+164+96+52+32+32+104</f>
        <v>1191</v>
      </c>
      <c r="D7" s="9">
        <v>0</v>
      </c>
      <c r="E7" s="9">
        <v>0</v>
      </c>
      <c r="F7" s="9">
        <v>0</v>
      </c>
      <c r="G7" s="9">
        <v>0</v>
      </c>
      <c r="H7" s="10">
        <f t="shared" si="0"/>
        <v>1302</v>
      </c>
      <c r="I7" s="54"/>
      <c r="J7" s="9">
        <v>1302</v>
      </c>
      <c r="K7" s="11">
        <f>IF(H7&gt;J7,H7-J7,0)</f>
        <v>0</v>
      </c>
      <c r="L7" s="12">
        <f>IF(J7&gt;H7,J7-H7,0)</f>
        <v>0</v>
      </c>
    </row>
    <row r="8" spans="1:12" s="13" customFormat="1" ht="16.5" hidden="1">
      <c r="A8" t="s">
        <v>25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10">
        <f t="shared" si="0"/>
        <v>0</v>
      </c>
      <c r="I8" s="54"/>
      <c r="J8" s="9">
        <v>0</v>
      </c>
      <c r="K8" s="11">
        <f t="shared" ref="K8" si="1">IF(H8&gt;J8,H8-J8,0)</f>
        <v>0</v>
      </c>
      <c r="L8" s="12">
        <f t="shared" ref="L8:L10" si="2">IF(J8&gt;H8,J8-H8,0)</f>
        <v>0</v>
      </c>
    </row>
    <row r="9" spans="1:12" s="13" customFormat="1" ht="16.5" hidden="1">
      <c r="A9" s="31" t="s">
        <v>25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10">
        <f>+G9+F9+E9+D9+C9+B9</f>
        <v>0</v>
      </c>
      <c r="I9" s="54"/>
      <c r="J9" s="9">
        <v>0</v>
      </c>
      <c r="K9" s="11">
        <f>IF(H9&gt;J9,H9-J9,0)</f>
        <v>0</v>
      </c>
      <c r="L9" s="12">
        <f t="shared" si="2"/>
        <v>0</v>
      </c>
    </row>
    <row r="10" spans="1:12" ht="16.5" hidden="1">
      <c r="A10" t="s">
        <v>17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10">
        <f t="shared" si="0"/>
        <v>0</v>
      </c>
      <c r="I10" s="54"/>
      <c r="J10" s="9">
        <v>0</v>
      </c>
      <c r="K10" s="11">
        <f t="shared" ref="K10" si="3">IF(H10&gt;J10,H10-J10,0)</f>
        <v>0</v>
      </c>
      <c r="L10" s="12">
        <f t="shared" si="2"/>
        <v>0</v>
      </c>
    </row>
    <row r="11" spans="1:12" ht="17.25" thickBot="1">
      <c r="A11" s="14"/>
      <c r="B11" s="15">
        <f t="shared" ref="B11:G11" si="4">SUM(B4:B10)</f>
        <v>371</v>
      </c>
      <c r="C11" s="15">
        <f t="shared" si="4"/>
        <v>1354</v>
      </c>
      <c r="D11" s="15">
        <f t="shared" si="4"/>
        <v>192</v>
      </c>
      <c r="E11" s="15">
        <f t="shared" si="4"/>
        <v>0</v>
      </c>
      <c r="F11" s="15">
        <f t="shared" si="4"/>
        <v>64</v>
      </c>
      <c r="G11" s="15">
        <f t="shared" si="4"/>
        <v>0</v>
      </c>
      <c r="H11" s="15">
        <v>0</v>
      </c>
      <c r="I11" s="16"/>
      <c r="J11" s="15">
        <f>SUM(J4:J10)</f>
        <v>2063</v>
      </c>
      <c r="K11" s="15">
        <f>SUM(K4:K10)</f>
        <v>0</v>
      </c>
      <c r="L11" s="15">
        <f>SUM(L4:L10)</f>
        <v>82</v>
      </c>
    </row>
    <row r="12" spans="1:12" ht="17.25" thickBot="1">
      <c r="A12" s="17"/>
      <c r="B12" s="18"/>
      <c r="C12" s="18"/>
      <c r="D12" s="3"/>
      <c r="E12" s="18"/>
      <c r="F12" s="18"/>
      <c r="G12" s="18"/>
      <c r="H12" s="18"/>
      <c r="I12" s="3"/>
      <c r="J12" s="3"/>
      <c r="K12" s="3"/>
      <c r="L12" s="3"/>
    </row>
    <row r="13" spans="1:12" ht="17.25" thickBot="1">
      <c r="A13" s="46" t="s">
        <v>44</v>
      </c>
      <c r="B13" s="47"/>
      <c r="C13" s="47"/>
      <c r="D13" s="48"/>
      <c r="E13" s="18"/>
      <c r="F13" s="18"/>
      <c r="G13" s="18"/>
      <c r="K13" s="3"/>
      <c r="L13" s="3"/>
    </row>
    <row r="14" spans="1:12" ht="16.5">
      <c r="A14" s="19">
        <v>500</v>
      </c>
      <c r="B14" s="20" t="s">
        <v>18</v>
      </c>
      <c r="C14" s="21">
        <v>0</v>
      </c>
      <c r="D14" s="22">
        <f>A14*C14</f>
        <v>0</v>
      </c>
      <c r="F14" s="3"/>
      <c r="G14" s="3"/>
      <c r="K14" s="3"/>
      <c r="L14" s="3"/>
    </row>
    <row r="15" spans="1:12" ht="16.5">
      <c r="A15" s="23">
        <v>100</v>
      </c>
      <c r="B15" s="24">
        <v>1</v>
      </c>
      <c r="C15" s="21">
        <v>2</v>
      </c>
      <c r="D15" s="22">
        <f t="shared" ref="D15" si="5">A15*C15</f>
        <v>200</v>
      </c>
      <c r="E15" s="3"/>
      <c r="F15" s="3"/>
      <c r="G15" s="3"/>
      <c r="K15" s="3"/>
      <c r="L15" s="3"/>
    </row>
    <row r="16" spans="1:12" ht="16.5">
      <c r="A16" s="23">
        <v>50</v>
      </c>
      <c r="B16" s="24" t="s">
        <v>18</v>
      </c>
      <c r="C16" s="21">
        <v>0</v>
      </c>
      <c r="D16" s="22">
        <f>A16*C16</f>
        <v>0</v>
      </c>
      <c r="E16" s="3"/>
      <c r="F16" s="3"/>
      <c r="G16" s="3"/>
    </row>
    <row r="17" spans="1:15" ht="16.5">
      <c r="A17" s="23">
        <v>20</v>
      </c>
      <c r="B17" s="24" t="s">
        <v>18</v>
      </c>
      <c r="C17" s="21">
        <v>0</v>
      </c>
      <c r="D17" s="22">
        <f>A17*C17</f>
        <v>0</v>
      </c>
      <c r="E17" s="3"/>
      <c r="F17" s="3"/>
      <c r="G17" s="3"/>
      <c r="K17" s="13"/>
      <c r="L17" s="13"/>
      <c r="M17" s="13"/>
    </row>
    <row r="18" spans="1:15" ht="16.5">
      <c r="A18" s="23">
        <v>10</v>
      </c>
      <c r="B18" s="24" t="s">
        <v>18</v>
      </c>
      <c r="C18" s="21">
        <v>12</v>
      </c>
      <c r="D18" s="22">
        <f>A18*C18</f>
        <v>120</v>
      </c>
      <c r="E18" s="3"/>
      <c r="F18" s="3"/>
    </row>
    <row r="19" spans="1:15" ht="16.5">
      <c r="A19" s="23">
        <v>5</v>
      </c>
      <c r="B19" s="24" t="s">
        <v>18</v>
      </c>
      <c r="C19" s="21">
        <v>9</v>
      </c>
      <c r="D19" s="22">
        <f>A19*C19</f>
        <v>45</v>
      </c>
      <c r="E19" s="3"/>
      <c r="F19" s="3"/>
      <c r="G19" s="3"/>
      <c r="O19" s="13"/>
    </row>
    <row r="20" spans="1:15" ht="16.5">
      <c r="A20" s="25" t="s">
        <v>20</v>
      </c>
      <c r="B20" s="26" t="s">
        <v>18</v>
      </c>
      <c r="C20" s="21">
        <v>6</v>
      </c>
      <c r="D20" s="22">
        <f>+C20*1</f>
        <v>6</v>
      </c>
      <c r="E20" s="3"/>
      <c r="F20" s="3"/>
      <c r="H20" s="3"/>
      <c r="I20" s="3"/>
      <c r="J20" s="3"/>
    </row>
    <row r="21" spans="1:15" ht="16.5">
      <c r="A21" s="25"/>
      <c r="B21" s="26"/>
      <c r="C21" s="21">
        <v>0</v>
      </c>
      <c r="D21" s="22">
        <f>+C21*0.025</f>
        <v>0</v>
      </c>
      <c r="E21" s="3"/>
      <c r="F21" s="3"/>
      <c r="G21" s="3"/>
      <c r="H21" s="28"/>
      <c r="J21" s="3"/>
    </row>
    <row r="22" spans="1:15" ht="16.5">
      <c r="A22" s="49" t="s">
        <v>21</v>
      </c>
      <c r="B22" s="50"/>
      <c r="C22" s="29"/>
      <c r="D22" s="30">
        <f>SUM(D14:D21)</f>
        <v>371</v>
      </c>
      <c r="E22" s="3"/>
      <c r="F22" s="3"/>
      <c r="G22" s="3"/>
      <c r="H22" s="3"/>
      <c r="I22" s="3"/>
      <c r="J22" s="3"/>
      <c r="K22" t="s">
        <v>42</v>
      </c>
    </row>
    <row r="23" spans="1:15" s="13" customFormat="1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ht="16.5">
      <c r="O24" s="13"/>
    </row>
    <row r="25" spans="1:15" ht="16.5">
      <c r="K25" s="13"/>
      <c r="L25" s="13"/>
      <c r="M25" s="13"/>
      <c r="N25" s="13"/>
    </row>
    <row r="27" spans="1:15" ht="18" customHeight="1"/>
  </sheetData>
  <mergeCells count="4">
    <mergeCell ref="A2:L2"/>
    <mergeCell ref="I3:I10"/>
    <mergeCell ref="A13:D13"/>
    <mergeCell ref="A22:B2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237F-65E5-4478-8D57-564FA15490DB}">
  <dimension ref="A1:U27"/>
  <sheetViews>
    <sheetView workbookViewId="0">
      <selection activeCell="D22" sqref="D22"/>
    </sheetView>
  </sheetViews>
  <sheetFormatPr defaultRowHeight="15"/>
  <cols>
    <col min="1" max="1" width="30" customWidth="1"/>
    <col min="3" max="4" width="9.42578125" bestFit="1" customWidth="1"/>
  </cols>
  <sheetData>
    <row r="1" spans="1:12" ht="17.25" thickBot="1">
      <c r="A1" s="1" t="s">
        <v>45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2" ht="17.25" thickBot="1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3"/>
    </row>
    <row r="3" spans="1:12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6" t="s">
        <v>8</v>
      </c>
      <c r="I3" s="54"/>
      <c r="J3" s="6" t="s">
        <v>9</v>
      </c>
      <c r="K3" s="6" t="s">
        <v>10</v>
      </c>
      <c r="L3" s="7" t="s">
        <v>11</v>
      </c>
    </row>
    <row r="4" spans="1:12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10">
        <f>+G4+F4+E4+D4+C4+B4</f>
        <v>0</v>
      </c>
      <c r="I4" s="54"/>
      <c r="J4" s="9">
        <v>0</v>
      </c>
      <c r="K4" s="11">
        <f>IF(H4&gt;J4,H4-J4,0)</f>
        <v>0</v>
      </c>
      <c r="L4" s="12">
        <f>IF(J4&gt;H4,J4-H4,0)</f>
        <v>0</v>
      </c>
    </row>
    <row r="5" spans="1:12" ht="16.5">
      <c r="A5" s="8" t="s">
        <v>13</v>
      </c>
      <c r="B5" s="9">
        <v>0</v>
      </c>
      <c r="C5" s="9">
        <v>0</v>
      </c>
      <c r="D5" s="9">
        <v>64</v>
      </c>
      <c r="E5" s="9">
        <v>0</v>
      </c>
      <c r="F5" s="9">
        <v>0</v>
      </c>
      <c r="G5" s="9">
        <v>0</v>
      </c>
      <c r="H5" s="10">
        <f t="shared" ref="H5:H10" si="0">+G5+F5+E5+D5+C5+B5</f>
        <v>64</v>
      </c>
      <c r="I5" s="54"/>
      <c r="J5" s="9">
        <v>64</v>
      </c>
      <c r="K5" s="11">
        <f>IF(H5&gt;J5,H5-J5,0)</f>
        <v>0</v>
      </c>
      <c r="L5" s="12">
        <f>IF(J5&gt;H5,J5-H5,0)</f>
        <v>0</v>
      </c>
    </row>
    <row r="6" spans="1:12" ht="16.5">
      <c r="A6" s="31" t="s">
        <v>31</v>
      </c>
      <c r="B6" s="9">
        <v>60</v>
      </c>
      <c r="C6" s="9">
        <f>20+32</f>
        <v>52</v>
      </c>
      <c r="D6" s="9">
        <v>20</v>
      </c>
      <c r="E6" s="9">
        <v>0</v>
      </c>
      <c r="F6" s="9">
        <f>96+32</f>
        <v>128</v>
      </c>
      <c r="G6" s="9">
        <v>0</v>
      </c>
      <c r="H6" s="10">
        <f t="shared" si="0"/>
        <v>260</v>
      </c>
      <c r="I6" s="54"/>
      <c r="J6" s="9">
        <v>260</v>
      </c>
      <c r="K6" s="11">
        <f>IF(H6&gt;J6,H6-J6,0)</f>
        <v>0</v>
      </c>
      <c r="L6" s="12">
        <f>IF(J6&gt;H6,J6-H6,0)</f>
        <v>0</v>
      </c>
    </row>
    <row r="7" spans="1:12" ht="16.5">
      <c r="A7" s="32" t="s">
        <v>36</v>
      </c>
      <c r="B7" s="9">
        <v>0</v>
      </c>
      <c r="C7" s="9">
        <f>84+26+20+14+27+20+40+124</f>
        <v>355</v>
      </c>
      <c r="D7" s="9">
        <v>0</v>
      </c>
      <c r="E7" s="9">
        <v>0</v>
      </c>
      <c r="F7" s="9">
        <v>64</v>
      </c>
      <c r="G7" s="9">
        <v>0</v>
      </c>
      <c r="H7" s="10">
        <f t="shared" si="0"/>
        <v>419</v>
      </c>
      <c r="I7" s="54"/>
      <c r="J7" s="9">
        <v>419</v>
      </c>
      <c r="K7" s="11">
        <f>IF(H7&gt;J7,H7-J7,0)</f>
        <v>0</v>
      </c>
      <c r="L7" s="12">
        <f>IF(J7&gt;H7,J7-H7,0)</f>
        <v>0</v>
      </c>
    </row>
    <row r="8" spans="1:12" s="13" customFormat="1" ht="16.5" hidden="1">
      <c r="A8" t="s">
        <v>25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10">
        <f t="shared" si="0"/>
        <v>0</v>
      </c>
      <c r="I8" s="54"/>
      <c r="J8" s="9">
        <v>0</v>
      </c>
      <c r="K8" s="11">
        <f t="shared" ref="K8" si="1">IF(H8&gt;J8,H8-J8,0)</f>
        <v>0</v>
      </c>
      <c r="L8" s="12">
        <f t="shared" ref="L8:L10" si="2">IF(J8&gt;H8,J8-H8,0)</f>
        <v>0</v>
      </c>
    </row>
    <row r="9" spans="1:12" s="13" customFormat="1" ht="16.5" hidden="1">
      <c r="A9" s="31" t="s">
        <v>25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10">
        <f>+G9+F9+E9+D9+C9+B9</f>
        <v>0</v>
      </c>
      <c r="I9" s="54"/>
      <c r="J9" s="9">
        <v>0</v>
      </c>
      <c r="K9" s="11">
        <f>IF(H9&gt;J9,H9-J9,0)</f>
        <v>0</v>
      </c>
      <c r="L9" s="12">
        <f t="shared" si="2"/>
        <v>0</v>
      </c>
    </row>
    <row r="10" spans="1:12" ht="16.5" hidden="1">
      <c r="A10" t="s">
        <v>17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10">
        <f t="shared" si="0"/>
        <v>0</v>
      </c>
      <c r="I10" s="54"/>
      <c r="J10" s="9">
        <v>0</v>
      </c>
      <c r="K10" s="11">
        <f t="shared" ref="K10" si="3">IF(H10&gt;J10,H10-J10,0)</f>
        <v>0</v>
      </c>
      <c r="L10" s="12">
        <f t="shared" si="2"/>
        <v>0</v>
      </c>
    </row>
    <row r="11" spans="1:12" ht="17.25" thickBot="1">
      <c r="A11" s="14"/>
      <c r="B11" s="15">
        <f t="shared" ref="B11:G11" si="4">SUM(B4:B10)</f>
        <v>60</v>
      </c>
      <c r="C11" s="15">
        <f t="shared" si="4"/>
        <v>407</v>
      </c>
      <c r="D11" s="15">
        <f t="shared" si="4"/>
        <v>84</v>
      </c>
      <c r="E11" s="15">
        <f t="shared" si="4"/>
        <v>0</v>
      </c>
      <c r="F11" s="15">
        <f t="shared" si="4"/>
        <v>192</v>
      </c>
      <c r="G11" s="15">
        <f t="shared" si="4"/>
        <v>0</v>
      </c>
      <c r="H11" s="15">
        <v>0</v>
      </c>
      <c r="I11" s="16"/>
      <c r="J11" s="15">
        <f>SUM(J4:J10)</f>
        <v>743</v>
      </c>
      <c r="K11" s="15">
        <f>SUM(K4:K10)</f>
        <v>0</v>
      </c>
      <c r="L11" s="15">
        <f>SUM(L4:L10)</f>
        <v>0</v>
      </c>
    </row>
    <row r="12" spans="1:12" ht="17.25" thickBot="1">
      <c r="A12" s="17"/>
      <c r="B12" s="18"/>
      <c r="C12" s="18"/>
      <c r="D12" s="3"/>
      <c r="E12" s="18"/>
      <c r="F12" s="18"/>
      <c r="G12" s="18"/>
      <c r="H12" s="18"/>
      <c r="I12" s="3"/>
      <c r="J12" s="3"/>
      <c r="K12" s="3"/>
      <c r="L12" s="3"/>
    </row>
    <row r="13" spans="1:12" ht="17.25" thickBot="1">
      <c r="A13" s="46" t="s">
        <v>46</v>
      </c>
      <c r="B13" s="47"/>
      <c r="C13" s="47"/>
      <c r="D13" s="48"/>
      <c r="E13" s="18"/>
      <c r="F13" s="18"/>
      <c r="G13" s="18"/>
      <c r="K13" s="3"/>
      <c r="L13" s="3"/>
    </row>
    <row r="14" spans="1:12" ht="16.5">
      <c r="A14" s="19">
        <v>500</v>
      </c>
      <c r="B14" s="20" t="s">
        <v>18</v>
      </c>
      <c r="C14" s="21"/>
      <c r="D14" s="22">
        <f>A14*C14</f>
        <v>0</v>
      </c>
      <c r="F14" s="3"/>
      <c r="G14" s="3"/>
      <c r="K14" s="3"/>
    </row>
    <row r="15" spans="1:12" ht="16.5">
      <c r="A15" s="23">
        <v>100</v>
      </c>
      <c r="B15" s="24">
        <v>1</v>
      </c>
      <c r="C15" s="21">
        <v>0</v>
      </c>
      <c r="D15" s="22">
        <f t="shared" ref="D15" si="5">A15*C15</f>
        <v>0</v>
      </c>
      <c r="E15" s="3"/>
      <c r="F15" s="3"/>
      <c r="G15" s="3"/>
      <c r="K15" s="3"/>
    </row>
    <row r="16" spans="1:12" ht="16.5">
      <c r="A16" s="23">
        <v>50</v>
      </c>
      <c r="B16" s="24" t="s">
        <v>18</v>
      </c>
      <c r="C16" s="21">
        <v>0</v>
      </c>
      <c r="D16" s="22">
        <f>A16*C16</f>
        <v>0</v>
      </c>
      <c r="E16" s="3"/>
      <c r="F16" s="3"/>
      <c r="G16" s="3"/>
      <c r="K16" s="3"/>
    </row>
    <row r="17" spans="1:21" ht="16.5">
      <c r="A17" s="23">
        <v>20</v>
      </c>
      <c r="B17" s="24" t="s">
        <v>18</v>
      </c>
      <c r="C17" s="21">
        <v>0</v>
      </c>
      <c r="D17" s="22">
        <f>A17*C17</f>
        <v>0</v>
      </c>
      <c r="E17" s="3"/>
      <c r="F17" s="3"/>
      <c r="G17" s="3"/>
      <c r="K17" s="3"/>
      <c r="L17" s="13"/>
      <c r="M17" s="13"/>
      <c r="N17" s="13"/>
      <c r="O17" s="13"/>
      <c r="P17" s="13"/>
      <c r="Q17" s="13"/>
      <c r="R17" s="13"/>
      <c r="S17" s="13"/>
    </row>
    <row r="18" spans="1:21" ht="16.5">
      <c r="A18" s="23">
        <v>10</v>
      </c>
      <c r="B18" s="24" t="s">
        <v>18</v>
      </c>
      <c r="C18" s="21">
        <v>2</v>
      </c>
      <c r="D18" s="22">
        <f>A18*C18</f>
        <v>20</v>
      </c>
      <c r="E18" s="3"/>
      <c r="F18" s="3"/>
      <c r="L18" s="13"/>
      <c r="M18" s="13"/>
      <c r="N18" s="13"/>
      <c r="O18" s="13"/>
      <c r="P18" s="13"/>
      <c r="Q18" s="13"/>
      <c r="R18" s="13"/>
    </row>
    <row r="19" spans="1:21" ht="16.5">
      <c r="A19" s="23">
        <v>5</v>
      </c>
      <c r="B19" s="24" t="s">
        <v>18</v>
      </c>
      <c r="C19" s="21">
        <v>8</v>
      </c>
      <c r="D19" s="22">
        <f>A19*C19</f>
        <v>40</v>
      </c>
      <c r="E19" s="3"/>
      <c r="F19" s="3"/>
      <c r="G19" s="3"/>
      <c r="U19" s="13"/>
    </row>
    <row r="20" spans="1:21" ht="16.5">
      <c r="A20" s="25" t="s">
        <v>20</v>
      </c>
      <c r="B20" s="26" t="s">
        <v>18</v>
      </c>
      <c r="C20" s="21">
        <v>0</v>
      </c>
      <c r="D20" s="22">
        <f>+C20*1</f>
        <v>0</v>
      </c>
      <c r="E20" s="3"/>
      <c r="F20" s="3"/>
      <c r="H20" s="3"/>
      <c r="I20" s="3"/>
      <c r="J20" s="3"/>
      <c r="K20" s="33" t="s">
        <v>19</v>
      </c>
    </row>
    <row r="21" spans="1:21" ht="16.5">
      <c r="A21" s="25"/>
      <c r="B21" s="26"/>
      <c r="C21" s="21">
        <v>0</v>
      </c>
      <c r="D21" s="22">
        <f>+C21*0.025</f>
        <v>0</v>
      </c>
      <c r="E21" s="3"/>
      <c r="F21" s="3"/>
      <c r="G21" s="3"/>
      <c r="H21" s="28"/>
      <c r="J21" s="3"/>
      <c r="K21" s="3"/>
    </row>
    <row r="22" spans="1:21" ht="16.5">
      <c r="A22" s="49" t="s">
        <v>21</v>
      </c>
      <c r="B22" s="50"/>
      <c r="C22" s="29"/>
      <c r="D22" s="30">
        <f>SUM(D14:D21)</f>
        <v>60</v>
      </c>
      <c r="E22" s="3"/>
      <c r="F22" s="3"/>
      <c r="G22" s="3"/>
      <c r="H22" s="3"/>
      <c r="I22" s="3"/>
      <c r="J22" s="3"/>
      <c r="K22" s="3"/>
    </row>
    <row r="23" spans="1:21" s="13" customFormat="1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ht="16.5">
      <c r="U24" s="13"/>
    </row>
    <row r="25" spans="1:21" ht="16.5">
      <c r="S25" s="13"/>
      <c r="T25" s="13"/>
    </row>
    <row r="26" spans="1:21" ht="16.5">
      <c r="L26" s="13"/>
    </row>
    <row r="27" spans="1:21" ht="18" customHeight="1"/>
  </sheetData>
  <mergeCells count="4">
    <mergeCell ref="A2:L2"/>
    <mergeCell ref="I3:I10"/>
    <mergeCell ref="A13:D13"/>
    <mergeCell ref="A22:B22"/>
  </mergeCell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A9F48-217A-4969-8E8B-EBF28A340DDE}">
  <dimension ref="A1:W27"/>
  <sheetViews>
    <sheetView workbookViewId="0">
      <selection activeCell="Q27" sqref="Q27"/>
    </sheetView>
  </sheetViews>
  <sheetFormatPr defaultRowHeight="15"/>
  <cols>
    <col min="1" max="1" width="30" customWidth="1"/>
    <col min="3" max="4" width="9.42578125" bestFit="1" customWidth="1"/>
  </cols>
  <sheetData>
    <row r="1" spans="1:14" ht="17.25" thickBot="1">
      <c r="A1" s="1" t="s">
        <v>47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 t="s">
        <v>0</v>
      </c>
    </row>
    <row r="2" spans="1:14" ht="17.25" thickBot="1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3"/>
    </row>
    <row r="3" spans="1:14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6" t="s">
        <v>51</v>
      </c>
      <c r="I3" s="6" t="s">
        <v>52</v>
      </c>
      <c r="J3" s="6" t="s">
        <v>8</v>
      </c>
      <c r="K3" s="54"/>
      <c r="L3" s="6" t="s">
        <v>9</v>
      </c>
      <c r="M3" s="6" t="s">
        <v>10</v>
      </c>
      <c r="N3" s="7" t="s">
        <v>11</v>
      </c>
    </row>
    <row r="4" spans="1:14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10">
        <f>SUM(B4:I4)</f>
        <v>0</v>
      </c>
      <c r="K4" s="54"/>
      <c r="L4" s="9">
        <v>-11</v>
      </c>
      <c r="M4" s="11">
        <f>IF(J4&gt;L4,J4-L4,0)</f>
        <v>11</v>
      </c>
      <c r="N4" s="12">
        <f>IF(L4&gt;J4,L4-J4,0)</f>
        <v>0</v>
      </c>
    </row>
    <row r="5" spans="1:14" ht="16.5">
      <c r="A5" s="8" t="s">
        <v>13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10">
        <f t="shared" ref="J5:J7" si="0">SUM(B5:I5)</f>
        <v>0</v>
      </c>
      <c r="K5" s="54"/>
      <c r="L5" s="9">
        <v>0</v>
      </c>
      <c r="M5" s="11">
        <f>IF(J5&gt;L5,J5-L5,0)</f>
        <v>0</v>
      </c>
      <c r="N5" s="12">
        <f>IF(L5&gt;J5,L5-J5,0)</f>
        <v>0</v>
      </c>
    </row>
    <row r="6" spans="1:14" ht="16.5">
      <c r="A6" s="31" t="s">
        <v>25</v>
      </c>
      <c r="B6" s="9">
        <v>0</v>
      </c>
      <c r="C6" s="9">
        <f>22+42+160+160+20+119+104+94+88+24</f>
        <v>833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10">
        <f t="shared" si="0"/>
        <v>833</v>
      </c>
      <c r="K6" s="54"/>
      <c r="L6" s="9">
        <v>833</v>
      </c>
      <c r="M6" s="11">
        <f>IF(J6&gt;L6,J6-L6,0)</f>
        <v>0</v>
      </c>
      <c r="N6" s="12">
        <f>IF(L6&gt;J6,L6-J6,0)</f>
        <v>0</v>
      </c>
    </row>
    <row r="7" spans="1:14" ht="16.5">
      <c r="A7" s="31" t="s">
        <v>17</v>
      </c>
      <c r="B7" s="9">
        <v>44</v>
      </c>
      <c r="C7" s="9">
        <f>26+20+20+24+32+44+32+32+38+32+12+246+27+128+25+30+25+38+15+40+24+96+38+38+64+24</f>
        <v>1170</v>
      </c>
      <c r="D7" s="9">
        <v>0</v>
      </c>
      <c r="E7" s="9">
        <v>0</v>
      </c>
      <c r="F7" s="9">
        <v>32</v>
      </c>
      <c r="G7" s="9">
        <v>0</v>
      </c>
      <c r="H7" s="9">
        <v>38</v>
      </c>
      <c r="I7" s="9">
        <v>0</v>
      </c>
      <c r="J7" s="10">
        <f t="shared" si="0"/>
        <v>1284</v>
      </c>
      <c r="K7" s="54"/>
      <c r="L7" s="9">
        <v>1284</v>
      </c>
      <c r="M7" s="11">
        <f>IF(J7&gt;L7,J7-L7,0)</f>
        <v>0</v>
      </c>
      <c r="N7" s="12">
        <f>IF(L7&gt;J7,L7-J7,0)</f>
        <v>0</v>
      </c>
    </row>
    <row r="8" spans="1:14" s="13" customFormat="1" ht="16.5" hidden="1">
      <c r="A8" t="s">
        <v>25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/>
      <c r="I8" s="9"/>
      <c r="J8" s="10">
        <f t="shared" ref="J8:J10" si="1">+G8+F8+E8+D8+C8+B8</f>
        <v>0</v>
      </c>
      <c r="K8" s="54"/>
      <c r="L8" s="9">
        <v>0</v>
      </c>
      <c r="M8" s="11">
        <f t="shared" ref="M8" si="2">IF(J8&gt;L8,J8-L8,0)</f>
        <v>0</v>
      </c>
      <c r="N8" s="12">
        <f t="shared" ref="N8:N10" si="3">IF(L8&gt;J8,L8-J8,0)</f>
        <v>0</v>
      </c>
    </row>
    <row r="9" spans="1:14" s="13" customFormat="1" ht="16.5" hidden="1">
      <c r="A9" s="31" t="s">
        <v>25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/>
      <c r="I9" s="9"/>
      <c r="J9" s="10">
        <f>+G9+F9+E9+D9+C9+B9</f>
        <v>0</v>
      </c>
      <c r="K9" s="54"/>
      <c r="L9" s="9">
        <v>0</v>
      </c>
      <c r="M9" s="11">
        <f>IF(J9&gt;L9,J9-L9,0)</f>
        <v>0</v>
      </c>
      <c r="N9" s="12">
        <f t="shared" si="3"/>
        <v>0</v>
      </c>
    </row>
    <row r="10" spans="1:14" ht="16.5" hidden="1">
      <c r="A10" t="s">
        <v>17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/>
      <c r="I10" s="9"/>
      <c r="J10" s="10">
        <f t="shared" si="1"/>
        <v>0</v>
      </c>
      <c r="K10" s="54"/>
      <c r="L10" s="9">
        <v>0</v>
      </c>
      <c r="M10" s="11">
        <f t="shared" ref="M10" si="4">IF(J10&gt;L10,J10-L10,0)</f>
        <v>0</v>
      </c>
      <c r="N10" s="12">
        <f t="shared" si="3"/>
        <v>0</v>
      </c>
    </row>
    <row r="11" spans="1:14" ht="17.25" thickBot="1">
      <c r="A11" s="14"/>
      <c r="B11" s="15">
        <f t="shared" ref="B11:J11" si="5">SUM(B4:B10)</f>
        <v>44</v>
      </c>
      <c r="C11" s="15">
        <f t="shared" si="5"/>
        <v>2003</v>
      </c>
      <c r="D11" s="15">
        <f t="shared" si="5"/>
        <v>0</v>
      </c>
      <c r="E11" s="15">
        <f t="shared" si="5"/>
        <v>0</v>
      </c>
      <c r="F11" s="15">
        <f t="shared" si="5"/>
        <v>32</v>
      </c>
      <c r="G11" s="15">
        <f t="shared" si="5"/>
        <v>0</v>
      </c>
      <c r="H11" s="15">
        <f t="shared" si="5"/>
        <v>38</v>
      </c>
      <c r="I11" s="15">
        <f t="shared" si="5"/>
        <v>0</v>
      </c>
      <c r="J11" s="15">
        <f t="shared" si="5"/>
        <v>2117</v>
      </c>
      <c r="K11" s="16"/>
      <c r="L11" s="15">
        <f>SUM(L4:L10)</f>
        <v>2106</v>
      </c>
      <c r="M11" s="15">
        <f>SUM(M4:M10)</f>
        <v>11</v>
      </c>
      <c r="N11" s="15">
        <f>SUM(N4:N10)</f>
        <v>0</v>
      </c>
    </row>
    <row r="12" spans="1:14" ht="17.25" thickBot="1">
      <c r="A12" s="17"/>
      <c r="B12" s="18"/>
      <c r="C12" s="18"/>
      <c r="D12" s="3"/>
      <c r="E12" s="18"/>
      <c r="F12" s="18"/>
      <c r="G12" s="18"/>
      <c r="H12" s="18"/>
      <c r="I12" s="18"/>
      <c r="J12" s="18"/>
      <c r="K12" s="3"/>
      <c r="L12" s="3"/>
      <c r="M12" s="3"/>
      <c r="N12" s="3"/>
    </row>
    <row r="13" spans="1:14" ht="17.25" thickBot="1">
      <c r="A13" s="46" t="s">
        <v>48</v>
      </c>
      <c r="B13" s="47"/>
      <c r="C13" s="47"/>
      <c r="D13" s="48"/>
      <c r="E13" s="18"/>
      <c r="F13" s="18"/>
      <c r="G13" s="18"/>
      <c r="H13" s="18"/>
      <c r="I13" s="18"/>
      <c r="M13" s="3"/>
      <c r="N13" s="3"/>
    </row>
    <row r="14" spans="1:14" ht="16.5">
      <c r="A14" s="19">
        <v>500</v>
      </c>
      <c r="B14" s="20" t="s">
        <v>18</v>
      </c>
      <c r="C14" s="21"/>
      <c r="D14" s="22">
        <f>A14*C14</f>
        <v>0</v>
      </c>
      <c r="F14" s="3"/>
      <c r="G14" s="3"/>
      <c r="H14" s="3"/>
      <c r="I14" s="3"/>
      <c r="L14" s="3"/>
    </row>
    <row r="15" spans="1:14" ht="16.5">
      <c r="A15" s="23">
        <v>100</v>
      </c>
      <c r="B15" s="24">
        <v>1</v>
      </c>
      <c r="C15" s="21">
        <v>0</v>
      </c>
      <c r="D15" s="22">
        <f t="shared" ref="D15" si="6">A15*C15</f>
        <v>0</v>
      </c>
      <c r="E15" s="3"/>
      <c r="F15" s="3"/>
      <c r="G15" s="3"/>
      <c r="H15" s="3"/>
      <c r="I15" s="3"/>
      <c r="M15" s="3"/>
    </row>
    <row r="16" spans="1:14" ht="16.5">
      <c r="A16" s="23">
        <v>50</v>
      </c>
      <c r="B16" s="24" t="s">
        <v>18</v>
      </c>
      <c r="C16" s="21">
        <v>0</v>
      </c>
      <c r="D16" s="22">
        <f>A16*C16</f>
        <v>0</v>
      </c>
      <c r="E16" s="3"/>
      <c r="F16" s="3"/>
      <c r="G16" s="3"/>
      <c r="H16" s="3"/>
      <c r="I16" s="3"/>
      <c r="M16" s="3"/>
    </row>
    <row r="17" spans="1:23" ht="16.5">
      <c r="A17" s="23">
        <v>20</v>
      </c>
      <c r="B17" s="24" t="s">
        <v>18</v>
      </c>
      <c r="C17" s="21">
        <v>0</v>
      </c>
      <c r="D17" s="22">
        <f>A17*C17</f>
        <v>0</v>
      </c>
      <c r="E17" s="3"/>
      <c r="F17" s="3"/>
      <c r="G17" s="3"/>
      <c r="H17" s="3"/>
      <c r="I17" s="3"/>
      <c r="M17" s="3"/>
      <c r="N17" s="13"/>
      <c r="O17" s="13"/>
      <c r="P17" s="13"/>
      <c r="Q17" s="13"/>
      <c r="R17" s="13"/>
      <c r="S17" s="13"/>
      <c r="T17" s="13"/>
      <c r="U17" s="13"/>
    </row>
    <row r="18" spans="1:23" ht="16.5">
      <c r="A18" s="23">
        <v>10</v>
      </c>
      <c r="B18" s="24" t="s">
        <v>18</v>
      </c>
      <c r="C18" s="21">
        <v>0</v>
      </c>
      <c r="D18" s="22">
        <f>A18*C18</f>
        <v>0</v>
      </c>
      <c r="E18" s="3"/>
      <c r="F18" s="3"/>
      <c r="N18" s="13"/>
      <c r="O18" s="13"/>
      <c r="P18" s="13"/>
      <c r="Q18" s="13"/>
      <c r="R18" s="13"/>
      <c r="S18" s="13"/>
      <c r="T18" s="13"/>
    </row>
    <row r="19" spans="1:23" ht="16.5">
      <c r="A19" s="23">
        <v>5</v>
      </c>
      <c r="B19" s="24" t="s">
        <v>18</v>
      </c>
      <c r="C19" s="21">
        <v>8</v>
      </c>
      <c r="D19" s="22">
        <f>A19*C19</f>
        <v>40</v>
      </c>
      <c r="E19" s="3"/>
      <c r="F19" s="3"/>
      <c r="G19" s="3"/>
      <c r="H19" s="3"/>
      <c r="I19" s="3"/>
      <c r="W19" s="13"/>
    </row>
    <row r="20" spans="1:23" ht="16.5">
      <c r="A20" s="25" t="s">
        <v>20</v>
      </c>
      <c r="B20" s="26" t="s">
        <v>18</v>
      </c>
      <c r="C20" s="21">
        <v>4</v>
      </c>
      <c r="D20" s="22">
        <f>+C20*1</f>
        <v>4</v>
      </c>
      <c r="E20" s="3"/>
      <c r="F20" s="3"/>
      <c r="J20" s="3"/>
      <c r="K20" s="3"/>
      <c r="L20" s="3"/>
      <c r="M20" s="33" t="s">
        <v>19</v>
      </c>
    </row>
    <row r="21" spans="1:23" ht="16.5">
      <c r="A21" s="25"/>
      <c r="B21" s="26"/>
      <c r="C21" s="21">
        <v>0</v>
      </c>
      <c r="D21" s="22">
        <f>+C21*0.025</f>
        <v>0</v>
      </c>
      <c r="E21" s="3"/>
      <c r="F21" s="3"/>
      <c r="G21" s="3"/>
      <c r="H21" s="3"/>
      <c r="I21" s="3"/>
      <c r="J21" s="28"/>
      <c r="L21" s="3"/>
      <c r="M21" s="3"/>
    </row>
    <row r="22" spans="1:23" ht="16.5">
      <c r="A22" s="49" t="s">
        <v>21</v>
      </c>
      <c r="B22" s="50"/>
      <c r="C22" s="29"/>
      <c r="D22" s="30">
        <f>SUM(D14:D21)</f>
        <v>44</v>
      </c>
      <c r="E22" s="3"/>
      <c r="F22" s="3"/>
      <c r="G22" s="3"/>
      <c r="H22" s="3"/>
      <c r="I22" s="3"/>
      <c r="J22" s="3"/>
      <c r="K22" s="3"/>
      <c r="L22" s="3"/>
      <c r="M22" s="3"/>
    </row>
    <row r="23" spans="1:23" s="13" customFormat="1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3" ht="16.5">
      <c r="W24" s="13"/>
    </row>
    <row r="25" spans="1:23" ht="16.5">
      <c r="U25" s="13"/>
      <c r="V25" s="13"/>
    </row>
    <row r="26" spans="1:23" ht="16.5">
      <c r="N26" s="13"/>
    </row>
    <row r="27" spans="1:23" ht="18" customHeight="1"/>
  </sheetData>
  <mergeCells count="4">
    <mergeCell ref="A2:N2"/>
    <mergeCell ref="K3:K10"/>
    <mergeCell ref="A13:D13"/>
    <mergeCell ref="A22:B22"/>
  </mergeCell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D757-151E-452D-93DC-7FDE72FE2E93}">
  <dimension ref="A1:U27"/>
  <sheetViews>
    <sheetView workbookViewId="0">
      <selection activeCell="A7" sqref="A7"/>
    </sheetView>
  </sheetViews>
  <sheetFormatPr defaultRowHeight="15"/>
  <cols>
    <col min="1" max="1" width="30" customWidth="1"/>
    <col min="3" max="4" width="9.42578125" bestFit="1" customWidth="1"/>
  </cols>
  <sheetData>
    <row r="1" spans="1:12" ht="17.25" thickBot="1">
      <c r="A1" s="1" t="s">
        <v>49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2" ht="17.25" thickBot="1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3"/>
    </row>
    <row r="3" spans="1:12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6" t="s">
        <v>8</v>
      </c>
      <c r="I3" s="54"/>
      <c r="J3" s="6" t="s">
        <v>9</v>
      </c>
      <c r="K3" s="6" t="s">
        <v>10</v>
      </c>
      <c r="L3" s="7" t="s">
        <v>11</v>
      </c>
    </row>
    <row r="4" spans="1:12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10">
        <f>+G4+F4+E4+D4+C4+B4</f>
        <v>0</v>
      </c>
      <c r="I4" s="54"/>
      <c r="J4" s="9">
        <v>15</v>
      </c>
      <c r="K4" s="11">
        <f>IF(H4&gt;J4,H4-J4,0)</f>
        <v>0</v>
      </c>
      <c r="L4" s="12">
        <f>IF(J4&gt;H4,J4-H4,0)</f>
        <v>15</v>
      </c>
    </row>
    <row r="5" spans="1:12" ht="16.5">
      <c r="A5" s="8" t="s">
        <v>13</v>
      </c>
      <c r="B5" s="9">
        <v>0</v>
      </c>
      <c r="C5" s="9">
        <v>0</v>
      </c>
      <c r="D5" s="9">
        <v>84</v>
      </c>
      <c r="E5" s="9">
        <v>0</v>
      </c>
      <c r="F5" s="9">
        <v>0</v>
      </c>
      <c r="G5" s="9">
        <v>0</v>
      </c>
      <c r="H5" s="10">
        <f t="shared" ref="H5:H10" si="0">+G5+F5+E5+D5+C5+B5</f>
        <v>84</v>
      </c>
      <c r="I5" s="54"/>
      <c r="J5" s="9">
        <v>84</v>
      </c>
      <c r="K5" s="11">
        <f>IF(H5&gt;J5,H5-J5,0)</f>
        <v>0</v>
      </c>
      <c r="L5" s="12">
        <f>IF(J5&gt;H5,J5-H5,0)</f>
        <v>0</v>
      </c>
    </row>
    <row r="6" spans="1:12" ht="16.5">
      <c r="A6" s="31" t="s">
        <v>14</v>
      </c>
      <c r="B6" s="9">
        <v>100</v>
      </c>
      <c r="C6" s="9">
        <f>89+192+40+76+128+96+52+92+89+40+20+32+28+50+26+40</f>
        <v>1090</v>
      </c>
      <c r="D6" s="9">
        <v>0</v>
      </c>
      <c r="E6" s="9">
        <v>0</v>
      </c>
      <c r="F6" s="9">
        <f>64+32</f>
        <v>96</v>
      </c>
      <c r="G6" s="9">
        <v>0</v>
      </c>
      <c r="H6" s="10">
        <f t="shared" si="0"/>
        <v>1286</v>
      </c>
      <c r="I6" s="54"/>
      <c r="J6" s="9">
        <v>1286</v>
      </c>
      <c r="K6" s="11">
        <f>IF(H6&gt;J6,H6-J6,0)</f>
        <v>0</v>
      </c>
      <c r="L6" s="12">
        <f>IF(J6&gt;H6,J6-H6,0)</f>
        <v>0</v>
      </c>
    </row>
    <row r="7" spans="1:12" ht="16.5">
      <c r="A7" s="31" t="s">
        <v>30</v>
      </c>
      <c r="B7" s="9">
        <v>15</v>
      </c>
      <c r="C7" s="9">
        <f>27+24+65+20+15</f>
        <v>151</v>
      </c>
      <c r="D7" s="9">
        <v>0</v>
      </c>
      <c r="E7" s="9">
        <v>0</v>
      </c>
      <c r="F7" s="9">
        <f>32+32</f>
        <v>64</v>
      </c>
      <c r="G7" s="9">
        <v>0</v>
      </c>
      <c r="H7" s="10">
        <f t="shared" si="0"/>
        <v>230</v>
      </c>
      <c r="I7" s="54"/>
      <c r="J7" s="9">
        <v>230</v>
      </c>
      <c r="K7" s="11">
        <f>IF(H7&gt;J7,H7-J7,0)</f>
        <v>0</v>
      </c>
      <c r="L7" s="12">
        <f>IF(J7&gt;H7,J7-H7,0)</f>
        <v>0</v>
      </c>
    </row>
    <row r="8" spans="1:12" s="13" customFormat="1" ht="16.5" hidden="1">
      <c r="A8" t="s">
        <v>25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10">
        <f t="shared" si="0"/>
        <v>0</v>
      </c>
      <c r="I8" s="54"/>
      <c r="J8" s="9">
        <v>0</v>
      </c>
      <c r="K8" s="11">
        <f t="shared" ref="K8" si="1">IF(H8&gt;J8,H8-J8,0)</f>
        <v>0</v>
      </c>
      <c r="L8" s="12">
        <f t="shared" ref="L8:L10" si="2">IF(J8&gt;H8,J8-H8,0)</f>
        <v>0</v>
      </c>
    </row>
    <row r="9" spans="1:12" s="13" customFormat="1" ht="16.5" hidden="1">
      <c r="A9" s="31" t="s">
        <v>25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10">
        <f>+G9+F9+E9+D9+C9+B9</f>
        <v>0</v>
      </c>
      <c r="I9" s="54"/>
      <c r="J9" s="9">
        <v>0</v>
      </c>
      <c r="K9" s="11">
        <f>IF(H9&gt;J9,H9-J9,0)</f>
        <v>0</v>
      </c>
      <c r="L9" s="12">
        <f t="shared" si="2"/>
        <v>0</v>
      </c>
    </row>
    <row r="10" spans="1:12" ht="16.5" hidden="1">
      <c r="A10" t="s">
        <v>17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10">
        <f t="shared" si="0"/>
        <v>0</v>
      </c>
      <c r="I10" s="54"/>
      <c r="J10" s="9">
        <v>0</v>
      </c>
      <c r="K10" s="11">
        <f t="shared" ref="K10" si="3">IF(H10&gt;J10,H10-J10,0)</f>
        <v>0</v>
      </c>
      <c r="L10" s="12">
        <f t="shared" si="2"/>
        <v>0</v>
      </c>
    </row>
    <row r="11" spans="1:12" ht="17.25" thickBot="1">
      <c r="A11" s="14"/>
      <c r="B11" s="15">
        <f t="shared" ref="B11:G11" si="4">SUM(B4:B10)</f>
        <v>115</v>
      </c>
      <c r="C11" s="15">
        <f t="shared" si="4"/>
        <v>1241</v>
      </c>
      <c r="D11" s="15">
        <f t="shared" si="4"/>
        <v>84</v>
      </c>
      <c r="E11" s="15">
        <f t="shared" si="4"/>
        <v>0</v>
      </c>
      <c r="F11" s="15">
        <f t="shared" si="4"/>
        <v>160</v>
      </c>
      <c r="G11" s="15">
        <f t="shared" si="4"/>
        <v>0</v>
      </c>
      <c r="H11" s="15">
        <v>0</v>
      </c>
      <c r="I11" s="16"/>
      <c r="J11" s="15">
        <f>SUM(J4:J10)</f>
        <v>1615</v>
      </c>
      <c r="K11" s="15">
        <f>SUM(K4:K10)</f>
        <v>0</v>
      </c>
      <c r="L11" s="15">
        <f>SUM(L4:L10)</f>
        <v>15</v>
      </c>
    </row>
    <row r="12" spans="1:12" ht="17.25" thickBot="1">
      <c r="A12" s="17"/>
      <c r="B12" s="18"/>
      <c r="C12" s="18"/>
      <c r="D12" s="3"/>
      <c r="E12" s="18"/>
      <c r="F12" s="18"/>
      <c r="G12" s="18"/>
      <c r="H12" s="18"/>
      <c r="I12" s="3"/>
      <c r="J12" s="3"/>
      <c r="K12" s="3"/>
      <c r="L12" s="3"/>
    </row>
    <row r="13" spans="1:12" ht="17.25" thickBot="1">
      <c r="A13" s="46" t="s">
        <v>50</v>
      </c>
      <c r="B13" s="47"/>
      <c r="C13" s="47"/>
      <c r="D13" s="48"/>
      <c r="E13" s="18"/>
      <c r="F13" s="18"/>
      <c r="G13" s="18"/>
      <c r="K13" s="3"/>
      <c r="L13" s="3"/>
    </row>
    <row r="14" spans="1:12" ht="16.5">
      <c r="A14" s="19">
        <v>500</v>
      </c>
      <c r="B14" s="20" t="s">
        <v>18</v>
      </c>
      <c r="C14" s="21"/>
      <c r="D14" s="22">
        <f>A14*C14</f>
        <v>0</v>
      </c>
      <c r="F14" s="3"/>
      <c r="G14" s="3"/>
      <c r="H14" s="3"/>
      <c r="I14" s="3"/>
      <c r="J14" s="33" t="s">
        <v>19</v>
      </c>
    </row>
    <row r="15" spans="1:12" ht="16.5">
      <c r="A15" s="23">
        <v>100</v>
      </c>
      <c r="B15" s="24">
        <v>1</v>
      </c>
      <c r="C15" s="21">
        <v>0</v>
      </c>
      <c r="D15" s="22">
        <f t="shared" ref="D15" si="5">A15*C15</f>
        <v>0</v>
      </c>
      <c r="E15" s="3"/>
      <c r="F15" s="3"/>
      <c r="G15" s="3"/>
      <c r="I15" s="3"/>
      <c r="J15" s="3"/>
    </row>
    <row r="16" spans="1:12" ht="16.5">
      <c r="A16" s="23">
        <v>50</v>
      </c>
      <c r="B16" s="24" t="s">
        <v>18</v>
      </c>
      <c r="C16" s="21">
        <v>2</v>
      </c>
      <c r="D16" s="22">
        <f>A16*C16</f>
        <v>100</v>
      </c>
      <c r="E16" s="3"/>
      <c r="F16" s="3"/>
      <c r="G16" s="3"/>
      <c r="K16" s="3"/>
    </row>
    <row r="17" spans="1:21" ht="16.5">
      <c r="A17" s="23">
        <v>20</v>
      </c>
      <c r="B17" s="24" t="s">
        <v>18</v>
      </c>
      <c r="C17" s="21">
        <v>0</v>
      </c>
      <c r="D17" s="22">
        <f>A17*C17</f>
        <v>0</v>
      </c>
      <c r="E17" s="3"/>
      <c r="F17" s="3"/>
      <c r="G17" s="3"/>
      <c r="K17" s="3"/>
      <c r="L17" s="13"/>
      <c r="M17" s="13"/>
      <c r="N17" s="13"/>
      <c r="O17" s="13"/>
      <c r="P17" s="13"/>
      <c r="Q17" s="13"/>
      <c r="R17" s="13"/>
      <c r="S17" s="13"/>
    </row>
    <row r="18" spans="1:21" ht="16.5">
      <c r="A18" s="23">
        <v>10</v>
      </c>
      <c r="B18" s="24" t="s">
        <v>18</v>
      </c>
      <c r="C18" s="21">
        <v>0</v>
      </c>
      <c r="D18" s="22">
        <f>A18*C18</f>
        <v>0</v>
      </c>
      <c r="E18" s="3"/>
      <c r="F18" s="3"/>
      <c r="L18" s="13"/>
      <c r="M18" s="13"/>
      <c r="N18" s="13"/>
      <c r="O18" s="13"/>
      <c r="P18" s="13"/>
      <c r="Q18" s="13"/>
      <c r="R18" s="13"/>
    </row>
    <row r="19" spans="1:21" ht="16.5">
      <c r="A19" s="23">
        <v>5</v>
      </c>
      <c r="B19" s="24" t="s">
        <v>18</v>
      </c>
      <c r="C19" s="21">
        <v>2</v>
      </c>
      <c r="D19" s="22">
        <f>A19*C19</f>
        <v>10</v>
      </c>
      <c r="E19" s="3"/>
      <c r="F19" s="3"/>
      <c r="G19" s="3"/>
      <c r="U19" s="13"/>
    </row>
    <row r="20" spans="1:21" ht="16.5">
      <c r="A20" s="25" t="s">
        <v>20</v>
      </c>
      <c r="B20" s="26" t="s">
        <v>18</v>
      </c>
      <c r="C20" s="21">
        <v>5</v>
      </c>
      <c r="D20" s="22">
        <f>+C20*1</f>
        <v>5</v>
      </c>
      <c r="E20" s="3"/>
      <c r="F20" s="3"/>
      <c r="H20" s="3"/>
      <c r="I20" s="3"/>
      <c r="J20" s="3"/>
      <c r="K20" s="33" t="s">
        <v>19</v>
      </c>
    </row>
    <row r="21" spans="1:21" ht="16.5">
      <c r="A21" s="25"/>
      <c r="B21" s="26"/>
      <c r="C21" s="21">
        <v>0</v>
      </c>
      <c r="D21" s="22">
        <f>+C21*0.025</f>
        <v>0</v>
      </c>
      <c r="E21" s="3"/>
      <c r="F21" s="3"/>
      <c r="G21" s="3"/>
      <c r="H21" s="28"/>
      <c r="J21" s="3"/>
      <c r="K21" s="3"/>
    </row>
    <row r="22" spans="1:21" ht="16.5">
      <c r="A22" s="49" t="s">
        <v>21</v>
      </c>
      <c r="B22" s="50"/>
      <c r="C22" s="29"/>
      <c r="D22" s="30">
        <f>SUM(D14:D21)</f>
        <v>115</v>
      </c>
      <c r="E22" s="3"/>
      <c r="F22" s="3"/>
      <c r="G22" s="3"/>
      <c r="H22" s="3"/>
      <c r="I22" s="3"/>
      <c r="J22" s="3"/>
      <c r="K22" s="3"/>
    </row>
    <row r="23" spans="1:21" s="13" customFormat="1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ht="16.5">
      <c r="U24" s="13"/>
    </row>
    <row r="25" spans="1:21" ht="16.5">
      <c r="S25" s="13"/>
      <c r="T25" s="13"/>
    </row>
    <row r="26" spans="1:21" ht="16.5">
      <c r="L26" s="13"/>
    </row>
    <row r="27" spans="1:21" ht="18" customHeight="1"/>
  </sheetData>
  <mergeCells count="4">
    <mergeCell ref="A2:L2"/>
    <mergeCell ref="I3:I10"/>
    <mergeCell ref="A13:D13"/>
    <mergeCell ref="A22:B2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24D3-5228-4B6F-9CF4-16C082B0F6CF}">
  <dimension ref="A1:U27"/>
  <sheetViews>
    <sheetView workbookViewId="0">
      <selection activeCell="P28" sqref="P28"/>
    </sheetView>
  </sheetViews>
  <sheetFormatPr defaultRowHeight="15"/>
  <cols>
    <col min="1" max="1" width="30" customWidth="1"/>
    <col min="3" max="4" width="9.42578125" bestFit="1" customWidth="1"/>
  </cols>
  <sheetData>
    <row r="1" spans="1:12" ht="17.25" thickBot="1">
      <c r="A1" s="1" t="s">
        <v>54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2" ht="17.25" thickBot="1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3"/>
    </row>
    <row r="3" spans="1:12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6" t="s">
        <v>8</v>
      </c>
      <c r="I3" s="54"/>
      <c r="J3" s="6" t="s">
        <v>9</v>
      </c>
      <c r="K3" s="6" t="s">
        <v>10</v>
      </c>
      <c r="L3" s="7" t="s">
        <v>11</v>
      </c>
    </row>
    <row r="4" spans="1:12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10">
        <f>+G4+F4+E4+D4+C4+B4</f>
        <v>0</v>
      </c>
      <c r="I4" s="54"/>
      <c r="J4" s="9">
        <v>0</v>
      </c>
      <c r="K4" s="11">
        <f>IF(H4&gt;J4,H4-J4,0)</f>
        <v>0</v>
      </c>
      <c r="L4" s="12">
        <f>IF(J4&gt;H4,J4-H4,0)</f>
        <v>0</v>
      </c>
    </row>
    <row r="5" spans="1:12" ht="16.5">
      <c r="A5" s="8" t="s">
        <v>13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10">
        <f t="shared" ref="H5:H10" si="0">+G5+F5+E5+D5+C5+B5</f>
        <v>0</v>
      </c>
      <c r="I5" s="54"/>
      <c r="J5" s="9">
        <v>0</v>
      </c>
      <c r="K5" s="11">
        <f>IF(H5&gt;J5,H5-J5,0)</f>
        <v>0</v>
      </c>
      <c r="L5" s="12">
        <f>IF(J5&gt;H5,J5-H5,0)</f>
        <v>0</v>
      </c>
    </row>
    <row r="6" spans="1:12" ht="16.5">
      <c r="A6" s="31" t="s">
        <v>17</v>
      </c>
      <c r="B6" s="9">
        <v>115</v>
      </c>
      <c r="C6" s="9">
        <f>20+85+42+42+172+20</f>
        <v>381</v>
      </c>
      <c r="D6" s="9">
        <v>0</v>
      </c>
      <c r="E6" s="9">
        <v>0</v>
      </c>
      <c r="F6" s="9">
        <v>0</v>
      </c>
      <c r="G6" s="9">
        <v>0</v>
      </c>
      <c r="H6" s="10">
        <f t="shared" si="0"/>
        <v>496</v>
      </c>
      <c r="I6" s="54"/>
      <c r="J6" s="9">
        <v>496</v>
      </c>
      <c r="K6" s="11">
        <f>IF(H6&gt;J6,H6-J6,0)</f>
        <v>0</v>
      </c>
      <c r="L6" s="12">
        <f>IF(J6&gt;H6,J6-H6,0)</f>
        <v>0</v>
      </c>
    </row>
    <row r="7" spans="1:12" ht="16.5">
      <c r="A7" s="31" t="s">
        <v>31</v>
      </c>
      <c r="B7" s="9">
        <v>0</v>
      </c>
      <c r="C7" s="9">
        <f>38+128+14+7+7+68+20+76</f>
        <v>358</v>
      </c>
      <c r="D7" s="9">
        <v>0</v>
      </c>
      <c r="E7" s="9">
        <v>0</v>
      </c>
      <c r="F7" s="9">
        <v>0</v>
      </c>
      <c r="G7" s="9">
        <v>0</v>
      </c>
      <c r="H7" s="10">
        <f t="shared" si="0"/>
        <v>358</v>
      </c>
      <c r="I7" s="54"/>
      <c r="J7" s="9">
        <v>358</v>
      </c>
      <c r="K7" s="11">
        <f>IF(H7&gt;J7,H7-J7,0)</f>
        <v>0</v>
      </c>
      <c r="L7" s="12">
        <f>IF(J7&gt;H7,J7-H7,0)</f>
        <v>0</v>
      </c>
    </row>
    <row r="8" spans="1:12" s="13" customFormat="1" ht="16.5" hidden="1">
      <c r="A8" t="s">
        <v>25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10">
        <f t="shared" si="0"/>
        <v>0</v>
      </c>
      <c r="I8" s="54"/>
      <c r="J8" s="9">
        <v>0</v>
      </c>
      <c r="K8" s="11">
        <f t="shared" ref="K8" si="1">IF(H8&gt;J8,H8-J8,0)</f>
        <v>0</v>
      </c>
      <c r="L8" s="12">
        <f t="shared" ref="L8:L10" si="2">IF(J8&gt;H8,J8-H8,0)</f>
        <v>0</v>
      </c>
    </row>
    <row r="9" spans="1:12" s="13" customFormat="1" ht="16.5" hidden="1">
      <c r="A9" s="31" t="s">
        <v>25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10">
        <f>+G9+F9+E9+D9+C9+B9</f>
        <v>0</v>
      </c>
      <c r="I9" s="54"/>
      <c r="J9" s="9">
        <v>0</v>
      </c>
      <c r="K9" s="11">
        <f>IF(H9&gt;J9,H9-J9,0)</f>
        <v>0</v>
      </c>
      <c r="L9" s="12">
        <f t="shared" si="2"/>
        <v>0</v>
      </c>
    </row>
    <row r="10" spans="1:12" ht="16.5" hidden="1">
      <c r="A10" t="s">
        <v>17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10">
        <f t="shared" si="0"/>
        <v>0</v>
      </c>
      <c r="I10" s="54"/>
      <c r="J10" s="9">
        <v>0</v>
      </c>
      <c r="K10" s="11">
        <f t="shared" ref="K10" si="3">IF(H10&gt;J10,H10-J10,0)</f>
        <v>0</v>
      </c>
      <c r="L10" s="12">
        <f t="shared" si="2"/>
        <v>0</v>
      </c>
    </row>
    <row r="11" spans="1:12" ht="17.25" thickBot="1">
      <c r="A11" s="14"/>
      <c r="B11" s="15">
        <f t="shared" ref="B11:G11" si="4">SUM(B4:B10)</f>
        <v>115</v>
      </c>
      <c r="C11" s="15">
        <f t="shared" si="4"/>
        <v>739</v>
      </c>
      <c r="D11" s="15">
        <f t="shared" si="4"/>
        <v>0</v>
      </c>
      <c r="E11" s="15">
        <f t="shared" si="4"/>
        <v>0</v>
      </c>
      <c r="F11" s="15">
        <f t="shared" si="4"/>
        <v>0</v>
      </c>
      <c r="G11" s="15">
        <f t="shared" si="4"/>
        <v>0</v>
      </c>
      <c r="H11" s="15">
        <v>0</v>
      </c>
      <c r="I11" s="16"/>
      <c r="J11" s="15">
        <f>SUM(J4:J10)</f>
        <v>854</v>
      </c>
      <c r="K11" s="15">
        <f>SUM(K4:K10)</f>
        <v>0</v>
      </c>
      <c r="L11" s="15">
        <f>SUM(L4:L10)</f>
        <v>0</v>
      </c>
    </row>
    <row r="12" spans="1:12" ht="17.25" thickBot="1">
      <c r="A12" s="17"/>
      <c r="B12" s="18"/>
      <c r="C12" s="18"/>
      <c r="D12" s="3"/>
      <c r="E12" s="18"/>
      <c r="F12" s="18"/>
      <c r="G12" s="18"/>
      <c r="H12" s="18"/>
      <c r="I12" s="3"/>
      <c r="J12" s="3"/>
      <c r="K12" s="3"/>
      <c r="L12" s="3"/>
    </row>
    <row r="13" spans="1:12" ht="17.25" thickBot="1">
      <c r="A13" s="46" t="s">
        <v>55</v>
      </c>
      <c r="B13" s="47"/>
      <c r="C13" s="47"/>
      <c r="D13" s="48"/>
      <c r="E13" s="18"/>
      <c r="F13" s="18"/>
      <c r="G13" s="18"/>
      <c r="K13" s="3"/>
      <c r="L13" s="3"/>
    </row>
    <row r="14" spans="1:12" ht="16.5">
      <c r="A14" s="19">
        <v>500</v>
      </c>
      <c r="B14" s="20" t="s">
        <v>18</v>
      </c>
      <c r="C14" s="21"/>
      <c r="D14" s="22">
        <f>A14*C14</f>
        <v>0</v>
      </c>
      <c r="F14" s="3"/>
      <c r="G14" s="3"/>
      <c r="H14" s="3"/>
      <c r="I14" s="3"/>
      <c r="J14" s="33" t="s">
        <v>19</v>
      </c>
    </row>
    <row r="15" spans="1:12" ht="16.5">
      <c r="A15" s="23">
        <v>100</v>
      </c>
      <c r="B15" s="24">
        <v>1</v>
      </c>
      <c r="C15" s="21">
        <v>0</v>
      </c>
      <c r="D15" s="22">
        <f t="shared" ref="D15" si="5">A15*C15</f>
        <v>0</v>
      </c>
      <c r="E15" s="3"/>
      <c r="F15" s="3"/>
      <c r="G15" s="3"/>
      <c r="I15" s="3"/>
      <c r="J15" s="3"/>
    </row>
    <row r="16" spans="1:12" ht="16.5">
      <c r="A16" s="23">
        <v>50</v>
      </c>
      <c r="B16" s="24" t="s">
        <v>18</v>
      </c>
      <c r="C16" s="21">
        <v>0</v>
      </c>
      <c r="D16" s="22">
        <f>A16*C16</f>
        <v>0</v>
      </c>
      <c r="E16" s="3"/>
      <c r="F16" s="3"/>
      <c r="G16" s="3"/>
      <c r="K16" s="3"/>
    </row>
    <row r="17" spans="1:21" ht="16.5">
      <c r="A17" s="23">
        <v>20</v>
      </c>
      <c r="B17" s="24" t="s">
        <v>18</v>
      </c>
      <c r="C17" s="21">
        <v>0</v>
      </c>
      <c r="D17" s="22">
        <f>A17*C17</f>
        <v>0</v>
      </c>
      <c r="E17" s="3"/>
      <c r="F17" s="3"/>
      <c r="G17" s="3"/>
      <c r="K17" s="3"/>
      <c r="L17" s="13"/>
      <c r="M17" s="13"/>
      <c r="N17" s="13"/>
      <c r="O17" s="13"/>
      <c r="P17" s="13"/>
      <c r="Q17" s="13"/>
      <c r="R17" s="13"/>
      <c r="S17" s="13"/>
    </row>
    <row r="18" spans="1:21" ht="16.5">
      <c r="A18" s="23">
        <v>10</v>
      </c>
      <c r="B18" s="24" t="s">
        <v>18</v>
      </c>
      <c r="C18" s="21">
        <v>2</v>
      </c>
      <c r="D18" s="22">
        <f>A18*C18</f>
        <v>20</v>
      </c>
      <c r="E18" s="3"/>
      <c r="F18" s="3"/>
      <c r="L18" s="13"/>
      <c r="M18" s="13"/>
      <c r="N18" s="13"/>
      <c r="O18" s="13"/>
      <c r="P18" s="13"/>
      <c r="Q18" s="13"/>
      <c r="R18" s="13"/>
    </row>
    <row r="19" spans="1:21" ht="16.5">
      <c r="A19" s="23">
        <v>5</v>
      </c>
      <c r="B19" s="24" t="s">
        <v>18</v>
      </c>
      <c r="C19" s="21">
        <v>19</v>
      </c>
      <c r="D19" s="22">
        <f>A19*C19</f>
        <v>95</v>
      </c>
      <c r="E19" s="3"/>
      <c r="F19" s="3"/>
      <c r="G19" s="3"/>
      <c r="U19" s="13"/>
    </row>
    <row r="20" spans="1:21" ht="16.5">
      <c r="A20" s="25" t="s">
        <v>20</v>
      </c>
      <c r="B20" s="26" t="s">
        <v>18</v>
      </c>
      <c r="C20" s="21">
        <v>0</v>
      </c>
      <c r="D20" s="22">
        <f>+C20*1</f>
        <v>0</v>
      </c>
      <c r="E20" s="3"/>
      <c r="F20" s="3"/>
      <c r="H20" s="3"/>
      <c r="I20" s="3"/>
      <c r="J20" s="3"/>
      <c r="K20" s="33" t="s">
        <v>19</v>
      </c>
    </row>
    <row r="21" spans="1:21" ht="16.5">
      <c r="A21" s="25"/>
      <c r="B21" s="26"/>
      <c r="C21" s="21">
        <v>0</v>
      </c>
      <c r="D21" s="22">
        <f>+C21*0.025</f>
        <v>0</v>
      </c>
      <c r="E21" s="3"/>
      <c r="F21" s="3"/>
      <c r="G21" s="3"/>
      <c r="H21" s="28"/>
      <c r="J21" s="3"/>
      <c r="K21" s="3"/>
    </row>
    <row r="22" spans="1:21" ht="16.5">
      <c r="A22" s="49" t="s">
        <v>21</v>
      </c>
      <c r="B22" s="50"/>
      <c r="C22" s="29"/>
      <c r="D22" s="30">
        <f>SUM(D14:D21)</f>
        <v>115</v>
      </c>
      <c r="E22" s="3"/>
      <c r="F22" s="3"/>
      <c r="G22" s="3"/>
      <c r="H22" s="3"/>
      <c r="I22" s="3"/>
      <c r="J22" s="3"/>
      <c r="K22" s="3"/>
    </row>
    <row r="23" spans="1:21" s="13" customFormat="1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ht="16.5">
      <c r="U24" s="13"/>
    </row>
    <row r="25" spans="1:21" ht="16.5">
      <c r="S25" s="13"/>
      <c r="T25" s="13"/>
    </row>
    <row r="26" spans="1:21" ht="16.5">
      <c r="L26" s="13"/>
    </row>
    <row r="27" spans="1:21" ht="18" customHeight="1"/>
  </sheetData>
  <mergeCells count="4">
    <mergeCell ref="A2:L2"/>
    <mergeCell ref="I3:I10"/>
    <mergeCell ref="A13:D13"/>
    <mergeCell ref="A22:B2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51E1-374E-45E6-8DB2-0ACC7265B4B1}">
  <dimension ref="A1:U30"/>
  <sheetViews>
    <sheetView workbookViewId="0">
      <selection activeCell="A7" sqref="A7"/>
    </sheetView>
  </sheetViews>
  <sheetFormatPr defaultRowHeight="15"/>
  <cols>
    <col min="1" max="1" width="30" customWidth="1"/>
    <col min="3" max="4" width="9.42578125" bestFit="1" customWidth="1"/>
  </cols>
  <sheetData>
    <row r="1" spans="1:12" ht="17.25" thickBot="1">
      <c r="A1" s="1">
        <v>6</v>
      </c>
      <c r="B1" s="2"/>
      <c r="C1" s="3"/>
      <c r="D1" s="3"/>
      <c r="E1" s="3"/>
      <c r="F1" s="3"/>
      <c r="G1" s="3"/>
      <c r="H1" s="3"/>
      <c r="I1" s="3"/>
      <c r="J1" s="3"/>
      <c r="K1" s="3"/>
      <c r="L1" s="4" t="s">
        <v>0</v>
      </c>
    </row>
    <row r="2" spans="1:12" ht="17.25" thickBot="1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3"/>
    </row>
    <row r="3" spans="1:12" ht="49.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6" t="s">
        <v>8</v>
      </c>
      <c r="I3" s="54"/>
      <c r="J3" s="6" t="s">
        <v>9</v>
      </c>
      <c r="K3" s="6" t="s">
        <v>10</v>
      </c>
      <c r="L3" s="7" t="s">
        <v>11</v>
      </c>
    </row>
    <row r="4" spans="1:12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10">
        <f>+G4+F4+E4+D4+C4+B4</f>
        <v>0</v>
      </c>
      <c r="I4" s="54"/>
      <c r="J4" s="9">
        <v>62</v>
      </c>
      <c r="K4" s="11">
        <f>IF(H4&gt;J4,H4-J4,0)</f>
        <v>0</v>
      </c>
      <c r="L4" s="12">
        <f>IF(J4&gt;H4,J4-H4,0)</f>
        <v>62</v>
      </c>
    </row>
    <row r="5" spans="1:12" ht="16.5">
      <c r="A5" s="8" t="s">
        <v>13</v>
      </c>
      <c r="B5" s="9">
        <v>0</v>
      </c>
      <c r="C5" s="9">
        <v>0</v>
      </c>
      <c r="D5" s="9">
        <v>235</v>
      </c>
      <c r="E5" s="9">
        <v>0</v>
      </c>
      <c r="F5" s="9">
        <v>0</v>
      </c>
      <c r="G5" s="9">
        <v>0</v>
      </c>
      <c r="H5" s="10">
        <f t="shared" ref="H5:H10" si="0">+G5+F5+E5+D5+C5+B5</f>
        <v>235</v>
      </c>
      <c r="I5" s="54"/>
      <c r="J5" s="9">
        <v>235</v>
      </c>
      <c r="K5" s="11">
        <f>IF(H5&gt;J5,H5-J5,0)</f>
        <v>0</v>
      </c>
      <c r="L5" s="12">
        <f>IF(J5&gt;H5,J5-H5,0)</f>
        <v>0</v>
      </c>
    </row>
    <row r="6" spans="1:12" ht="16.5">
      <c r="A6" s="31" t="s">
        <v>30</v>
      </c>
      <c r="B6" s="9">
        <v>128</v>
      </c>
      <c r="C6" s="9">
        <f>38+107+112+39+145+84+40+87+26+15</f>
        <v>693</v>
      </c>
      <c r="D6" s="9">
        <v>0</v>
      </c>
      <c r="E6" s="9">
        <v>0</v>
      </c>
      <c r="F6" s="9">
        <v>96</v>
      </c>
      <c r="G6" s="9">
        <v>0</v>
      </c>
      <c r="H6" s="10">
        <f t="shared" si="0"/>
        <v>917</v>
      </c>
      <c r="I6" s="54"/>
      <c r="J6" s="9">
        <v>926</v>
      </c>
      <c r="K6" s="11">
        <f>IF(H6&gt;J6,H6-J6,0)</f>
        <v>0</v>
      </c>
      <c r="L6" s="12">
        <f>IF(J6&gt;H6,J6-H6,0)</f>
        <v>9</v>
      </c>
    </row>
    <row r="7" spans="1:12" ht="16.5">
      <c r="A7" s="32" t="s">
        <v>36</v>
      </c>
      <c r="B7" s="9">
        <v>58</v>
      </c>
      <c r="C7" s="9">
        <f>59+40+52+61+29+20</f>
        <v>261</v>
      </c>
      <c r="D7" s="9">
        <v>0</v>
      </c>
      <c r="E7" s="9">
        <v>0</v>
      </c>
      <c r="F7" s="9">
        <v>0</v>
      </c>
      <c r="G7" s="9">
        <v>0</v>
      </c>
      <c r="H7" s="10">
        <f t="shared" si="0"/>
        <v>319</v>
      </c>
      <c r="I7" s="54"/>
      <c r="J7" s="9">
        <v>319</v>
      </c>
      <c r="K7" s="11">
        <f>IF(H7&gt;J7,H7-J7,0)</f>
        <v>0</v>
      </c>
      <c r="L7" s="12">
        <f>IF(J7&gt;H7,J7-H7,0)</f>
        <v>0</v>
      </c>
    </row>
    <row r="8" spans="1:12" s="13" customFormat="1" ht="16.5" hidden="1">
      <c r="A8" t="s">
        <v>25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10">
        <f t="shared" si="0"/>
        <v>0</v>
      </c>
      <c r="I8" s="54"/>
      <c r="J8" s="9">
        <v>0</v>
      </c>
      <c r="K8" s="11">
        <f t="shared" ref="K8" si="1">IF(H8&gt;J8,H8-J8,0)</f>
        <v>0</v>
      </c>
      <c r="L8" s="12">
        <f t="shared" ref="L8:L10" si="2">IF(J8&gt;H8,J8-H8,0)</f>
        <v>0</v>
      </c>
    </row>
    <row r="9" spans="1:12" s="13" customFormat="1" ht="16.5" hidden="1">
      <c r="A9" s="31" t="s">
        <v>25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10">
        <f>+G9+F9+E9+D9+C9+B9</f>
        <v>0</v>
      </c>
      <c r="I9" s="54"/>
      <c r="J9" s="9">
        <v>0</v>
      </c>
      <c r="K9" s="11">
        <f>IF(H9&gt;J9,H9-J9,0)</f>
        <v>0</v>
      </c>
      <c r="L9" s="12">
        <f t="shared" si="2"/>
        <v>0</v>
      </c>
    </row>
    <row r="10" spans="1:12" ht="16.5">
      <c r="A10" s="31" t="s">
        <v>25</v>
      </c>
      <c r="B10" s="9">
        <v>74</v>
      </c>
      <c r="C10" s="9">
        <f>58+60+5+72+24+26+49+32+78</f>
        <v>404</v>
      </c>
      <c r="D10" s="9">
        <v>0</v>
      </c>
      <c r="E10" s="9">
        <v>0</v>
      </c>
      <c r="F10" s="9">
        <v>0</v>
      </c>
      <c r="G10" s="9">
        <v>0</v>
      </c>
      <c r="H10" s="10">
        <f t="shared" si="0"/>
        <v>478</v>
      </c>
      <c r="I10" s="54"/>
      <c r="J10" s="9">
        <v>478</v>
      </c>
      <c r="K10" s="11">
        <f t="shared" ref="K10" si="3">IF(H10&gt;J10,H10-J10,0)</f>
        <v>0</v>
      </c>
      <c r="L10" s="12">
        <f t="shared" si="2"/>
        <v>0</v>
      </c>
    </row>
    <row r="11" spans="1:12" ht="17.25" thickBot="1">
      <c r="A11" s="14"/>
      <c r="B11" s="15">
        <f t="shared" ref="B11:G11" si="4">SUM(B4:B10)</f>
        <v>260</v>
      </c>
      <c r="C11" s="15">
        <f t="shared" si="4"/>
        <v>1358</v>
      </c>
      <c r="D11" s="15">
        <f t="shared" si="4"/>
        <v>235</v>
      </c>
      <c r="E11" s="15">
        <f t="shared" si="4"/>
        <v>0</v>
      </c>
      <c r="F11" s="15">
        <f t="shared" si="4"/>
        <v>96</v>
      </c>
      <c r="G11" s="15">
        <f t="shared" si="4"/>
        <v>0</v>
      </c>
      <c r="H11" s="15">
        <v>0</v>
      </c>
      <c r="I11" s="16"/>
      <c r="J11" s="15">
        <f>SUM(J4:J10)</f>
        <v>2020</v>
      </c>
      <c r="K11" s="15">
        <f>SUM(K4:K10)</f>
        <v>0</v>
      </c>
      <c r="L11" s="15">
        <f>SUM(L4:L10)</f>
        <v>71</v>
      </c>
    </row>
    <row r="12" spans="1:12" ht="17.25" thickBot="1">
      <c r="A12" s="17"/>
      <c r="B12" s="18"/>
      <c r="C12" s="18"/>
      <c r="D12" s="3"/>
      <c r="E12" s="18"/>
      <c r="F12" s="18"/>
      <c r="G12" s="18"/>
      <c r="H12" s="18"/>
      <c r="I12" s="3"/>
      <c r="J12" s="3"/>
      <c r="K12" s="3"/>
      <c r="L12" s="3"/>
    </row>
    <row r="13" spans="1:12" ht="17.25" thickBot="1">
      <c r="A13" s="46" t="s">
        <v>56</v>
      </c>
      <c r="B13" s="47"/>
      <c r="C13" s="47"/>
      <c r="D13" s="48"/>
      <c r="E13" s="18"/>
      <c r="F13" s="18"/>
      <c r="G13" s="18"/>
      <c r="K13" s="3"/>
      <c r="L13" s="3"/>
    </row>
    <row r="14" spans="1:12" ht="16.5">
      <c r="A14" s="19">
        <v>500</v>
      </c>
      <c r="B14" s="20" t="s">
        <v>18</v>
      </c>
      <c r="C14" s="21"/>
      <c r="D14" s="22">
        <f>A14*C14</f>
        <v>0</v>
      </c>
      <c r="F14" s="3"/>
      <c r="G14" s="3"/>
      <c r="H14" s="3"/>
      <c r="I14" s="3"/>
      <c r="J14" s="33" t="s">
        <v>19</v>
      </c>
    </row>
    <row r="15" spans="1:12" ht="16.5">
      <c r="A15" s="23">
        <v>100</v>
      </c>
      <c r="B15" s="24">
        <v>1</v>
      </c>
      <c r="C15" s="21">
        <v>0</v>
      </c>
      <c r="D15" s="22">
        <f t="shared" ref="D15" si="5">A15*C15</f>
        <v>0</v>
      </c>
      <c r="E15" s="3"/>
      <c r="F15" s="3"/>
      <c r="G15" s="3"/>
      <c r="I15" s="3"/>
      <c r="J15" s="3"/>
    </row>
    <row r="16" spans="1:12" ht="16.5">
      <c r="A16" s="23">
        <v>50</v>
      </c>
      <c r="B16" s="24" t="s">
        <v>18</v>
      </c>
      <c r="C16" s="21">
        <v>3</v>
      </c>
      <c r="D16" s="22">
        <f>A16*C16</f>
        <v>150</v>
      </c>
      <c r="E16" s="3"/>
      <c r="F16" s="3"/>
      <c r="G16" s="3"/>
      <c r="K16" s="3"/>
    </row>
    <row r="17" spans="1:21" ht="16.5">
      <c r="A17" s="23">
        <v>20</v>
      </c>
      <c r="B17" s="24" t="s">
        <v>18</v>
      </c>
      <c r="C17" s="21">
        <v>0</v>
      </c>
      <c r="D17" s="22">
        <f>A17*C17</f>
        <v>0</v>
      </c>
      <c r="E17" s="3"/>
      <c r="F17" s="3"/>
      <c r="G17" s="3"/>
      <c r="K17" s="3"/>
      <c r="L17" s="13"/>
      <c r="M17" s="13"/>
      <c r="N17" s="13"/>
      <c r="O17" s="13"/>
      <c r="P17" s="13"/>
      <c r="Q17" s="13"/>
      <c r="R17" s="13"/>
      <c r="S17" s="13"/>
    </row>
    <row r="18" spans="1:21" ht="16.5">
      <c r="A18" s="23">
        <v>10</v>
      </c>
      <c r="B18" s="24" t="s">
        <v>18</v>
      </c>
      <c r="C18" s="21">
        <v>6</v>
      </c>
      <c r="D18" s="22">
        <f>A18*C18</f>
        <v>60</v>
      </c>
      <c r="E18" s="3"/>
      <c r="F18" s="3"/>
      <c r="L18" s="13"/>
      <c r="M18" s="13"/>
      <c r="N18" s="13"/>
      <c r="O18" s="13"/>
      <c r="P18" s="13"/>
      <c r="Q18" s="13"/>
      <c r="R18" s="13"/>
    </row>
    <row r="19" spans="1:21" ht="16.5">
      <c r="A19" s="23">
        <v>5</v>
      </c>
      <c r="B19" s="24" t="s">
        <v>18</v>
      </c>
      <c r="C19" s="21">
        <v>7</v>
      </c>
      <c r="D19" s="22">
        <f>A19*C19</f>
        <v>35</v>
      </c>
      <c r="E19" s="3"/>
      <c r="F19" s="3"/>
      <c r="G19" s="3"/>
      <c r="U19" s="13"/>
    </row>
    <row r="20" spans="1:21" ht="16.5">
      <c r="A20" s="25" t="s">
        <v>20</v>
      </c>
      <c r="B20" s="26" t="s">
        <v>18</v>
      </c>
      <c r="C20" s="21">
        <v>15</v>
      </c>
      <c r="D20" s="22">
        <f>+C20*1</f>
        <v>15</v>
      </c>
      <c r="E20" s="3"/>
      <c r="F20" s="3"/>
      <c r="H20" s="3"/>
      <c r="I20" s="3"/>
      <c r="J20" s="3"/>
      <c r="K20" s="33" t="s">
        <v>19</v>
      </c>
    </row>
    <row r="21" spans="1:21" ht="16.5">
      <c r="A21" s="25"/>
      <c r="B21" s="26"/>
      <c r="C21" s="21">
        <v>0</v>
      </c>
      <c r="D21" s="22">
        <f>+C21*0.025</f>
        <v>0</v>
      </c>
      <c r="E21" s="3"/>
      <c r="F21" s="3"/>
      <c r="G21" s="3"/>
      <c r="H21" s="28"/>
      <c r="J21" s="3"/>
      <c r="K21" s="3"/>
    </row>
    <row r="22" spans="1:21" ht="16.5">
      <c r="A22" s="49" t="s">
        <v>21</v>
      </c>
      <c r="B22" s="50"/>
      <c r="C22" s="29"/>
      <c r="D22" s="30">
        <f>SUM(D14:D21)</f>
        <v>260</v>
      </c>
      <c r="E22" s="3"/>
      <c r="F22" s="3"/>
      <c r="G22" s="3"/>
      <c r="H22" s="3"/>
      <c r="I22" s="3"/>
      <c r="J22" s="3"/>
      <c r="K22" s="3"/>
    </row>
    <row r="23" spans="1:21" s="13" customFormat="1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ht="16.5">
      <c r="U24" s="13"/>
    </row>
    <row r="25" spans="1:21" ht="16.5">
      <c r="S25" s="13"/>
      <c r="T25" s="13"/>
    </row>
    <row r="26" spans="1:21" ht="16.5">
      <c r="L26" s="13"/>
    </row>
    <row r="27" spans="1:21" ht="18" customHeight="1"/>
    <row r="30" spans="1:21">
      <c r="K30" t="s">
        <v>57</v>
      </c>
    </row>
  </sheetData>
  <mergeCells count="4">
    <mergeCell ref="A2:L2"/>
    <mergeCell ref="I3:I10"/>
    <mergeCell ref="A13:D13"/>
    <mergeCell ref="A22:B2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18E7-4E30-4862-8B07-B40DDC25A349}">
  <dimension ref="A1:W29"/>
  <sheetViews>
    <sheetView workbookViewId="0">
      <selection activeCell="A10" sqref="A10"/>
    </sheetView>
  </sheetViews>
  <sheetFormatPr defaultRowHeight="15"/>
  <cols>
    <col min="1" max="1" width="30" customWidth="1"/>
    <col min="3" max="4" width="9.42578125" bestFit="1" customWidth="1"/>
    <col min="8" max="8" width="9.140625" style="39" customWidth="1"/>
  </cols>
  <sheetData>
    <row r="1" spans="1:15" ht="17.25" thickBot="1">
      <c r="A1" s="1" t="s">
        <v>59</v>
      </c>
      <c r="B1" s="2"/>
      <c r="C1" s="3"/>
      <c r="D1" s="3"/>
      <c r="E1" s="3"/>
      <c r="F1" s="3"/>
      <c r="G1" s="3"/>
      <c r="H1" s="36"/>
      <c r="I1" s="3"/>
      <c r="J1" s="3"/>
      <c r="K1" s="3"/>
      <c r="L1" s="3"/>
      <c r="M1" s="3"/>
      <c r="N1" s="4" t="s">
        <v>0</v>
      </c>
    </row>
    <row r="2" spans="1:15" ht="17.25" thickBot="1">
      <c r="A2" s="51" t="s">
        <v>1</v>
      </c>
      <c r="B2" s="52"/>
      <c r="C2" s="52"/>
      <c r="D2" s="52"/>
      <c r="E2" s="52"/>
      <c r="F2" s="52"/>
      <c r="G2" s="52"/>
      <c r="H2" s="55"/>
      <c r="I2" s="52"/>
      <c r="J2" s="52"/>
      <c r="K2" s="52"/>
      <c r="L2" s="52"/>
      <c r="M2" s="52"/>
      <c r="N2" s="52"/>
      <c r="O2" s="35"/>
    </row>
    <row r="3" spans="1:15" ht="66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37" t="s">
        <v>60</v>
      </c>
      <c r="I3" s="6" t="s">
        <v>51</v>
      </c>
      <c r="J3" s="6" t="s">
        <v>52</v>
      </c>
      <c r="K3" s="6" t="s">
        <v>8</v>
      </c>
      <c r="L3" s="34"/>
      <c r="M3" s="6" t="s">
        <v>9</v>
      </c>
      <c r="N3" s="6" t="s">
        <v>10</v>
      </c>
      <c r="O3" s="7" t="s">
        <v>11</v>
      </c>
    </row>
    <row r="4" spans="1:15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41">
        <v>0</v>
      </c>
      <c r="I4" s="9">
        <v>0</v>
      </c>
      <c r="J4" s="9">
        <v>0</v>
      </c>
      <c r="K4" s="10">
        <f>SUM(C4:J4)</f>
        <v>0</v>
      </c>
      <c r="L4" s="34"/>
      <c r="M4" s="9">
        <v>9</v>
      </c>
      <c r="N4" s="11">
        <f>IF(K4&gt;M4,K4-M4,0)</f>
        <v>0</v>
      </c>
      <c r="O4" s="12">
        <f>IF(M4&gt;K4,M4-K4,0)</f>
        <v>9</v>
      </c>
    </row>
    <row r="5" spans="1:15" ht="16.5">
      <c r="A5" s="8" t="s">
        <v>13</v>
      </c>
      <c r="B5" s="9">
        <v>0</v>
      </c>
      <c r="C5" s="9">
        <v>0</v>
      </c>
      <c r="D5" s="9">
        <v>148</v>
      </c>
      <c r="E5" s="9">
        <v>0</v>
      </c>
      <c r="F5" s="9">
        <v>0</v>
      </c>
      <c r="G5" s="9">
        <v>0</v>
      </c>
      <c r="H5" s="41">
        <v>0</v>
      </c>
      <c r="I5" s="9">
        <v>0</v>
      </c>
      <c r="J5" s="9">
        <v>0</v>
      </c>
      <c r="K5" s="10">
        <f>SUM(C5:J5)</f>
        <v>148</v>
      </c>
      <c r="L5" s="34"/>
      <c r="M5" s="9">
        <v>148</v>
      </c>
      <c r="N5" s="11">
        <f>IF(K5&gt;M5,K5-M5,0)</f>
        <v>0</v>
      </c>
      <c r="O5" s="12">
        <f>IF(M5&gt;K5,M5-K5,0)</f>
        <v>0</v>
      </c>
    </row>
    <row r="6" spans="1:15" ht="16.5">
      <c r="A6" t="s">
        <v>17</v>
      </c>
      <c r="B6" s="9">
        <v>169</v>
      </c>
      <c r="C6" s="9">
        <f>186+34+64+160+7+93+87+54+26+64+40</f>
        <v>815</v>
      </c>
      <c r="D6" s="9">
        <v>0</v>
      </c>
      <c r="E6" s="9">
        <v>0</v>
      </c>
      <c r="F6" s="9">
        <v>29</v>
      </c>
      <c r="G6" s="9">
        <v>0</v>
      </c>
      <c r="H6" s="41">
        <v>64</v>
      </c>
      <c r="I6" s="9">
        <v>42</v>
      </c>
      <c r="J6" s="9">
        <v>0</v>
      </c>
      <c r="K6" s="10">
        <f>SUM(B6:I6)</f>
        <v>1119</v>
      </c>
      <c r="L6" s="34"/>
      <c r="M6" s="9">
        <f>815+169+93+42</f>
        <v>1119</v>
      </c>
      <c r="N6" s="11">
        <f>IF(K6&gt;M6,K6-M6,0)</f>
        <v>0</v>
      </c>
      <c r="O6" s="12">
        <f>IF(M6&gt;K6,M6-K6,0)</f>
        <v>0</v>
      </c>
    </row>
    <row r="7" spans="1:15" ht="16.5">
      <c r="A7" s="31" t="s">
        <v>25</v>
      </c>
      <c r="B7" s="9">
        <v>0</v>
      </c>
      <c r="C7" s="9">
        <f>56+20+7+134+24+95+15+64+153</f>
        <v>568</v>
      </c>
      <c r="D7" s="9">
        <v>0</v>
      </c>
      <c r="E7" s="9">
        <v>0</v>
      </c>
      <c r="F7" s="9">
        <f>61+64</f>
        <v>125</v>
      </c>
      <c r="G7" s="9">
        <v>0</v>
      </c>
      <c r="H7" s="41">
        <v>0</v>
      </c>
      <c r="I7" s="9">
        <v>0</v>
      </c>
      <c r="J7" s="9">
        <v>0</v>
      </c>
      <c r="K7" s="10">
        <f>SUM(B7:J7)</f>
        <v>693</v>
      </c>
      <c r="L7" s="34"/>
      <c r="M7" s="9">
        <v>693</v>
      </c>
      <c r="N7" s="11">
        <f>IF(K7&gt;M7,K7-M7,0)</f>
        <v>0</v>
      </c>
      <c r="O7" s="12">
        <f>IF(M7&gt;K7,M7-K7,0)</f>
        <v>0</v>
      </c>
    </row>
    <row r="8" spans="1:15" s="13" customFormat="1" ht="16.5" hidden="1" customHeight="1">
      <c r="A8" t="s">
        <v>25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41"/>
      <c r="I8" s="9"/>
      <c r="J8" s="9"/>
      <c r="K8" s="10">
        <f t="shared" ref="K8" si="0">+H8+G8+F8+E8+D8+C8</f>
        <v>0</v>
      </c>
      <c r="L8" s="34"/>
      <c r="M8" s="9">
        <v>0</v>
      </c>
      <c r="N8" s="11">
        <f t="shared" ref="N8" si="1">IF(K8&gt;M8,K8-M8,0)</f>
        <v>0</v>
      </c>
      <c r="O8" s="12">
        <f t="shared" ref="O8:O9" si="2">IF(M8&gt;K8,M8-K8,0)</f>
        <v>0</v>
      </c>
    </row>
    <row r="9" spans="1:15" s="13" customFormat="1" ht="16.5" hidden="1" customHeight="1">
      <c r="A9" s="31" t="s">
        <v>25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41"/>
      <c r="I9" s="9"/>
      <c r="J9" s="9"/>
      <c r="K9" s="10">
        <f>+H9+G9+F9+E9+D9+C9</f>
        <v>0</v>
      </c>
      <c r="L9" s="34"/>
      <c r="M9" s="9">
        <v>0</v>
      </c>
      <c r="N9" s="11">
        <f>IF(K9&gt;M9,K9-M9,0)</f>
        <v>0</v>
      </c>
      <c r="O9" s="12">
        <f t="shared" si="2"/>
        <v>0</v>
      </c>
    </row>
    <row r="10" spans="1:15" ht="16.5">
      <c r="A10" t="s">
        <v>14</v>
      </c>
      <c r="B10" s="9">
        <v>116</v>
      </c>
      <c r="C10" s="9">
        <f>25+29+32+60+58+84+31+29+63+20+20+20+20+40+160+20+15+128+26+29+4+32</f>
        <v>945</v>
      </c>
      <c r="D10" s="9">
        <v>0</v>
      </c>
      <c r="E10" s="9">
        <v>0</v>
      </c>
      <c r="F10" s="9">
        <v>32</v>
      </c>
      <c r="G10" s="9">
        <v>0</v>
      </c>
      <c r="H10" s="41">
        <v>32</v>
      </c>
      <c r="I10" s="9">
        <v>0</v>
      </c>
      <c r="J10" s="9">
        <v>0</v>
      </c>
      <c r="K10" s="40">
        <f>SUM(B10:J10)</f>
        <v>1125</v>
      </c>
      <c r="L10" s="34"/>
      <c r="M10" s="9">
        <v>1117</v>
      </c>
      <c r="N10" s="11">
        <f t="shared" ref="N10" si="3">IF(K10&gt;M10,K10-M10,0)</f>
        <v>8</v>
      </c>
      <c r="O10" s="12">
        <f>IF(M10&gt;K10,M10-K10,0)</f>
        <v>0</v>
      </c>
    </row>
    <row r="11" spans="1:15" ht="17.25" thickBot="1">
      <c r="A11" s="14"/>
      <c r="B11" s="15">
        <f t="shared" ref="B11:H11" si="4">SUM(B4:B10)</f>
        <v>285</v>
      </c>
      <c r="C11" s="15">
        <f t="shared" si="4"/>
        <v>2328</v>
      </c>
      <c r="D11" s="15">
        <f t="shared" si="4"/>
        <v>148</v>
      </c>
      <c r="E11" s="15">
        <f t="shared" si="4"/>
        <v>0</v>
      </c>
      <c r="F11" s="15">
        <f t="shared" si="4"/>
        <v>186</v>
      </c>
      <c r="G11" s="15">
        <f t="shared" si="4"/>
        <v>0</v>
      </c>
      <c r="H11" s="38">
        <f t="shared" si="4"/>
        <v>96</v>
      </c>
      <c r="I11" s="15">
        <f t="shared" ref="I11:K11" si="5">SUM(I4:I10)</f>
        <v>42</v>
      </c>
      <c r="J11" s="15">
        <f t="shared" si="5"/>
        <v>0</v>
      </c>
      <c r="K11" s="15">
        <f t="shared" si="5"/>
        <v>3085</v>
      </c>
      <c r="L11" s="16"/>
      <c r="M11" s="15">
        <f>SUM(M4:M10)</f>
        <v>3086</v>
      </c>
      <c r="N11" s="15">
        <f>SUM(N4:N10)</f>
        <v>8</v>
      </c>
      <c r="O11" s="15">
        <f>SUM(O4:O10)</f>
        <v>9</v>
      </c>
    </row>
    <row r="12" spans="1:15" ht="17.25" thickBot="1">
      <c r="A12" s="17"/>
      <c r="B12" s="18"/>
      <c r="C12" s="18"/>
      <c r="D12" s="3"/>
      <c r="E12" s="18"/>
      <c r="F12" s="18"/>
      <c r="G12" s="18"/>
      <c r="I12" s="18"/>
      <c r="J12" s="18"/>
      <c r="K12" s="3"/>
      <c r="L12" s="3"/>
      <c r="M12" s="3"/>
      <c r="N12" s="3"/>
    </row>
    <row r="13" spans="1:15" ht="17.25" thickBot="1">
      <c r="A13" s="46" t="s">
        <v>58</v>
      </c>
      <c r="B13" s="47"/>
      <c r="C13" s="47"/>
      <c r="D13" s="48"/>
      <c r="E13" s="18"/>
      <c r="F13" s="18"/>
      <c r="G13" s="18"/>
      <c r="I13" s="18"/>
      <c r="M13" s="3"/>
      <c r="N13" s="3"/>
    </row>
    <row r="14" spans="1:15" ht="16.5">
      <c r="A14" s="19">
        <v>500</v>
      </c>
      <c r="B14" s="20" t="s">
        <v>18</v>
      </c>
      <c r="C14" s="21"/>
      <c r="D14" s="22">
        <f>A14*C14</f>
        <v>0</v>
      </c>
      <c r="F14" s="3"/>
      <c r="G14" s="3"/>
      <c r="H14" s="36"/>
      <c r="I14" s="3"/>
      <c r="L14" s="3"/>
    </row>
    <row r="15" spans="1:15" ht="16.5">
      <c r="A15" s="23">
        <v>100</v>
      </c>
      <c r="B15" s="24">
        <v>1</v>
      </c>
      <c r="C15" s="21">
        <v>0</v>
      </c>
      <c r="D15" s="22">
        <f t="shared" ref="D15" si="6">A15*C15</f>
        <v>0</v>
      </c>
      <c r="E15" s="3"/>
      <c r="F15" s="3"/>
      <c r="G15" s="3"/>
      <c r="H15" s="36"/>
      <c r="I15" s="3"/>
      <c r="M15" s="3"/>
    </row>
    <row r="16" spans="1:15" ht="16.5">
      <c r="A16" s="23">
        <v>50</v>
      </c>
      <c r="B16" s="24" t="s">
        <v>18</v>
      </c>
      <c r="C16" s="21">
        <v>0</v>
      </c>
      <c r="D16" s="22">
        <f>A16*C16</f>
        <v>0</v>
      </c>
      <c r="E16" s="3"/>
      <c r="F16" s="3"/>
      <c r="G16" s="3"/>
      <c r="H16" s="3"/>
      <c r="I16" s="3"/>
      <c r="J16" s="3"/>
      <c r="K16" s="3"/>
      <c r="L16" s="3"/>
      <c r="M16" s="3"/>
    </row>
    <row r="17" spans="1:23" ht="16.5">
      <c r="A17" s="23">
        <v>20</v>
      </c>
      <c r="B17" s="24" t="s">
        <v>18</v>
      </c>
      <c r="C17" s="21">
        <v>0</v>
      </c>
      <c r="D17" s="22">
        <f>A17*C17</f>
        <v>0</v>
      </c>
      <c r="E17" s="3"/>
      <c r="F17" s="3"/>
      <c r="H17" s="3"/>
      <c r="I17" s="3"/>
      <c r="J17" s="3"/>
      <c r="K17" s="3"/>
      <c r="L17" s="3"/>
      <c r="M17" s="3"/>
      <c r="T17" s="13"/>
      <c r="U17" s="13"/>
    </row>
    <row r="18" spans="1:23" ht="16.5">
      <c r="A18" s="23">
        <v>10</v>
      </c>
      <c r="B18" s="24" t="s">
        <v>18</v>
      </c>
      <c r="C18" s="21">
        <v>8</v>
      </c>
      <c r="D18" s="22">
        <f>A18*C18</f>
        <v>80</v>
      </c>
      <c r="E18" s="3"/>
      <c r="F18" s="3"/>
      <c r="H18" s="3"/>
      <c r="I18" s="3"/>
      <c r="J18" s="3"/>
      <c r="K18" s="3"/>
      <c r="L18" s="3"/>
      <c r="M18" s="3"/>
      <c r="T18" s="13"/>
    </row>
    <row r="19" spans="1:23" ht="16.5">
      <c r="A19" s="23">
        <v>5</v>
      </c>
      <c r="B19" s="24" t="s">
        <v>18</v>
      </c>
      <c r="C19" s="21">
        <v>40</v>
      </c>
      <c r="D19" s="22">
        <f>A19*C19</f>
        <v>200</v>
      </c>
      <c r="E19" s="3"/>
      <c r="F19" s="3"/>
      <c r="H19" s="3"/>
      <c r="I19" s="3"/>
      <c r="J19" s="3"/>
      <c r="K19" s="3"/>
      <c r="L19" s="3"/>
      <c r="M19" s="3"/>
      <c r="W19" s="13"/>
    </row>
    <row r="20" spans="1:23" ht="16.5">
      <c r="A20" s="25" t="s">
        <v>20</v>
      </c>
      <c r="B20" s="26" t="s">
        <v>18</v>
      </c>
      <c r="C20" s="21">
        <v>5</v>
      </c>
      <c r="D20" s="22">
        <f>+C20*1</f>
        <v>5</v>
      </c>
      <c r="E20" s="3"/>
      <c r="F20" s="3"/>
      <c r="H20" s="3"/>
      <c r="I20" s="3"/>
      <c r="J20" s="3"/>
      <c r="K20" s="3"/>
      <c r="L20" s="3"/>
      <c r="M20" s="3"/>
    </row>
    <row r="21" spans="1:23" ht="16.5">
      <c r="A21" s="25"/>
      <c r="B21" s="26"/>
      <c r="C21" s="21">
        <v>0</v>
      </c>
      <c r="D21" s="22">
        <f>+C21*0.025</f>
        <v>0</v>
      </c>
      <c r="E21" s="3"/>
      <c r="F21" s="3"/>
      <c r="H21"/>
    </row>
    <row r="22" spans="1:23" ht="16.5">
      <c r="A22" s="49" t="s">
        <v>21</v>
      </c>
      <c r="B22" s="50"/>
      <c r="C22" s="29"/>
      <c r="D22" s="30">
        <f>SUM(D14:D21)</f>
        <v>285</v>
      </c>
      <c r="E22" s="3"/>
      <c r="F22" s="3"/>
      <c r="H22"/>
    </row>
    <row r="23" spans="1:23" s="13" customFormat="1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3" ht="16.5">
      <c r="H24"/>
      <c r="W24" s="13"/>
    </row>
    <row r="25" spans="1:23" ht="16.5">
      <c r="H25"/>
      <c r="U25" s="13"/>
      <c r="V25" s="13"/>
    </row>
    <row r="26" spans="1:23">
      <c r="H26"/>
    </row>
    <row r="27" spans="1:23" ht="18" customHeight="1">
      <c r="H27"/>
    </row>
    <row r="28" spans="1:23">
      <c r="H28"/>
    </row>
    <row r="29" spans="1:23">
      <c r="H29"/>
    </row>
  </sheetData>
  <mergeCells count="3">
    <mergeCell ref="A2:N2"/>
    <mergeCell ref="A13:D13"/>
    <mergeCell ref="A22:B2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A02DE-2F86-44B5-B5EF-8C771830C93F}">
  <dimension ref="A1:W29"/>
  <sheetViews>
    <sheetView workbookViewId="0">
      <selection activeCell="A10" sqref="A10:XFD10"/>
    </sheetView>
  </sheetViews>
  <sheetFormatPr defaultRowHeight="15"/>
  <cols>
    <col min="1" max="1" width="30" customWidth="1"/>
    <col min="3" max="4" width="9.42578125" bestFit="1" customWidth="1"/>
    <col min="8" max="8" width="9.140625" style="39"/>
  </cols>
  <sheetData>
    <row r="1" spans="1:15" ht="17.25" thickBot="1">
      <c r="A1" s="1" t="s">
        <v>62</v>
      </c>
      <c r="B1" s="2"/>
      <c r="C1" s="3"/>
      <c r="D1" s="3"/>
      <c r="E1" s="3"/>
      <c r="F1" s="3"/>
      <c r="G1" s="3"/>
      <c r="H1" s="36"/>
      <c r="I1" s="3"/>
      <c r="J1" s="3"/>
      <c r="K1" s="3"/>
      <c r="L1" s="3"/>
      <c r="M1" s="3"/>
      <c r="N1" s="4" t="s">
        <v>0</v>
      </c>
    </row>
    <row r="2" spans="1:15" ht="17.25" thickBot="1">
      <c r="A2" s="51" t="s">
        <v>1</v>
      </c>
      <c r="B2" s="52"/>
      <c r="C2" s="52"/>
      <c r="D2" s="52"/>
      <c r="E2" s="52"/>
      <c r="F2" s="52"/>
      <c r="G2" s="52"/>
      <c r="H2" s="55"/>
      <c r="I2" s="52"/>
      <c r="J2" s="52"/>
      <c r="K2" s="52"/>
      <c r="L2" s="52"/>
      <c r="M2" s="52"/>
      <c r="N2" s="52"/>
      <c r="O2" s="35"/>
    </row>
    <row r="3" spans="1:15" ht="66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37" t="s">
        <v>60</v>
      </c>
      <c r="I3" s="6" t="s">
        <v>51</v>
      </c>
      <c r="J3" s="6" t="s">
        <v>52</v>
      </c>
      <c r="K3" s="6" t="s">
        <v>8</v>
      </c>
      <c r="L3" s="34"/>
      <c r="M3" s="6" t="s">
        <v>9</v>
      </c>
      <c r="N3" s="6" t="s">
        <v>10</v>
      </c>
      <c r="O3" s="7" t="s">
        <v>11</v>
      </c>
    </row>
    <row r="4" spans="1:15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41">
        <v>0</v>
      </c>
      <c r="I4" s="9">
        <v>0</v>
      </c>
      <c r="J4" s="9">
        <v>0</v>
      </c>
      <c r="K4" s="10">
        <f>SUM(C4:J4)</f>
        <v>0</v>
      </c>
      <c r="L4" s="34"/>
      <c r="M4" s="9">
        <v>-7</v>
      </c>
      <c r="N4" s="11">
        <f>IF(K4&gt;M4,K4-M4,0)</f>
        <v>7</v>
      </c>
      <c r="O4" s="12">
        <f>IF(M4&gt;K4,M4-K4,0)</f>
        <v>0</v>
      </c>
    </row>
    <row r="5" spans="1:15" ht="16.5">
      <c r="A5" s="8" t="s">
        <v>13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41">
        <v>0</v>
      </c>
      <c r="I5" s="9">
        <v>0</v>
      </c>
      <c r="J5" s="9">
        <v>0</v>
      </c>
      <c r="K5" s="10">
        <f>SUM(C5:J5)</f>
        <v>0</v>
      </c>
      <c r="L5" s="34"/>
      <c r="M5" s="9">
        <v>0</v>
      </c>
      <c r="N5" s="11">
        <f>IF(K5&gt;M5,K5-M5,0)</f>
        <v>0</v>
      </c>
      <c r="O5" s="12">
        <f>IF(M5&gt;K5,M5-K5,0)</f>
        <v>0</v>
      </c>
    </row>
    <row r="6" spans="1:15" ht="16.5">
      <c r="A6" s="31" t="s">
        <v>30</v>
      </c>
      <c r="B6" s="9">
        <v>60</v>
      </c>
      <c r="C6" s="9">
        <f>89+87+46+20+128+20+7+26+32</f>
        <v>455</v>
      </c>
      <c r="D6" s="9">
        <v>0</v>
      </c>
      <c r="E6" s="9">
        <v>0</v>
      </c>
      <c r="F6" s="9">
        <v>0</v>
      </c>
      <c r="G6" s="9">
        <v>0</v>
      </c>
      <c r="H6" s="41">
        <v>32</v>
      </c>
      <c r="I6" s="9">
        <v>0</v>
      </c>
      <c r="J6" s="9">
        <v>0</v>
      </c>
      <c r="K6" s="10">
        <f>SUM(B6:I6)</f>
        <v>547</v>
      </c>
      <c r="L6" s="34"/>
      <c r="M6" s="9">
        <v>547</v>
      </c>
      <c r="N6" s="11">
        <f>IF(K6&gt;M6,K6-M6,0)</f>
        <v>0</v>
      </c>
      <c r="O6" s="12">
        <f>IF(M6&gt;K6,M6-K6,0)</f>
        <v>0</v>
      </c>
    </row>
    <row r="7" spans="1:15" ht="16.5">
      <c r="A7" s="31" t="s">
        <v>25</v>
      </c>
      <c r="B7" s="9">
        <v>20</v>
      </c>
      <c r="C7" s="9">
        <f>49+49+20+84+25+148+17</f>
        <v>392</v>
      </c>
      <c r="D7" s="9">
        <v>0</v>
      </c>
      <c r="E7" s="9">
        <v>0</v>
      </c>
      <c r="F7" s="9">
        <v>0</v>
      </c>
      <c r="G7" s="9">
        <v>0</v>
      </c>
      <c r="H7" s="41">
        <v>0</v>
      </c>
      <c r="I7" s="9">
        <v>0</v>
      </c>
      <c r="J7" s="9">
        <v>0</v>
      </c>
      <c r="K7" s="10">
        <f>SUM(B7:J7)</f>
        <v>412</v>
      </c>
      <c r="L7" s="34"/>
      <c r="M7" s="9">
        <v>412</v>
      </c>
      <c r="N7" s="11">
        <f>IF(K7&gt;M7,K7-M7,0)</f>
        <v>0</v>
      </c>
      <c r="O7" s="12">
        <f>IF(M7&gt;K7,M7-K7,0)</f>
        <v>0</v>
      </c>
    </row>
    <row r="8" spans="1:15" s="13" customFormat="1" ht="16.5" hidden="1" customHeight="1">
      <c r="A8" t="s">
        <v>25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41"/>
      <c r="I8" s="9"/>
      <c r="J8" s="9"/>
      <c r="K8" s="10">
        <f t="shared" ref="K8" si="0">+H8+G8+F8+E8+D8+C8</f>
        <v>0</v>
      </c>
      <c r="L8" s="34"/>
      <c r="M8" s="9">
        <v>0</v>
      </c>
      <c r="N8" s="11">
        <f t="shared" ref="N8" si="1">IF(K8&gt;M8,K8-M8,0)</f>
        <v>0</v>
      </c>
      <c r="O8" s="12">
        <f t="shared" ref="O8:O9" si="2">IF(M8&gt;K8,M8-K8,0)</f>
        <v>0</v>
      </c>
    </row>
    <row r="9" spans="1:15" s="13" customFormat="1" ht="16.5" hidden="1" customHeight="1">
      <c r="A9" s="31" t="s">
        <v>25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41"/>
      <c r="I9" s="9"/>
      <c r="J9" s="9"/>
      <c r="K9" s="10">
        <f>+H9+G9+F9+E9+D9+C9</f>
        <v>0</v>
      </c>
      <c r="L9" s="34"/>
      <c r="M9" s="9">
        <v>0</v>
      </c>
      <c r="N9" s="11">
        <f>IF(K9&gt;M9,K9-M9,0)</f>
        <v>0</v>
      </c>
      <c r="O9" s="12">
        <f t="shared" si="2"/>
        <v>0</v>
      </c>
    </row>
    <row r="10" spans="1:15" ht="16.5" hidden="1">
      <c r="A10" t="s">
        <v>14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41">
        <v>0</v>
      </c>
      <c r="I10" s="9">
        <v>0</v>
      </c>
      <c r="J10" s="9">
        <v>0</v>
      </c>
      <c r="K10" s="40">
        <f>SUM(B10:J10)</f>
        <v>0</v>
      </c>
      <c r="L10" s="34"/>
      <c r="M10" s="9">
        <v>0</v>
      </c>
      <c r="N10" s="11">
        <f t="shared" ref="N10" si="3">IF(K10&gt;M10,K10-M10,0)</f>
        <v>0</v>
      </c>
      <c r="O10" s="12">
        <f>IF(M10&gt;K10,M10-K10,0)</f>
        <v>0</v>
      </c>
    </row>
    <row r="11" spans="1:15" ht="17.25" thickBot="1">
      <c r="A11" s="14"/>
      <c r="B11" s="15">
        <f t="shared" ref="B11:K11" si="4">SUM(B4:B10)</f>
        <v>80</v>
      </c>
      <c r="C11" s="15">
        <f t="shared" si="4"/>
        <v>847</v>
      </c>
      <c r="D11" s="15">
        <f t="shared" si="4"/>
        <v>0</v>
      </c>
      <c r="E11" s="15">
        <f t="shared" si="4"/>
        <v>0</v>
      </c>
      <c r="F11" s="15">
        <f t="shared" si="4"/>
        <v>0</v>
      </c>
      <c r="G11" s="15">
        <f t="shared" si="4"/>
        <v>0</v>
      </c>
      <c r="H11" s="38">
        <f t="shared" si="4"/>
        <v>32</v>
      </c>
      <c r="I11" s="15">
        <f t="shared" si="4"/>
        <v>0</v>
      </c>
      <c r="J11" s="15">
        <f t="shared" si="4"/>
        <v>0</v>
      </c>
      <c r="K11" s="15">
        <f t="shared" si="4"/>
        <v>959</v>
      </c>
      <c r="L11" s="16"/>
      <c r="M11" s="15">
        <f>SUM(M4:M10)</f>
        <v>952</v>
      </c>
      <c r="N11" s="15">
        <f>SUM(N4:N10)</f>
        <v>7</v>
      </c>
      <c r="O11" s="15">
        <f>SUM(O4:O10)</f>
        <v>0</v>
      </c>
    </row>
    <row r="12" spans="1:15" ht="17.25" thickBot="1">
      <c r="A12" s="17"/>
      <c r="B12" s="18"/>
      <c r="C12" s="18"/>
      <c r="D12" s="3"/>
      <c r="E12" s="18"/>
      <c r="F12" s="18"/>
      <c r="G12" s="18"/>
      <c r="I12" s="18"/>
      <c r="J12" s="18"/>
      <c r="K12" s="3"/>
      <c r="L12" s="3"/>
      <c r="M12" s="3"/>
      <c r="N12" s="3"/>
    </row>
    <row r="13" spans="1:15" ht="17.25" thickBot="1">
      <c r="A13" s="46" t="s">
        <v>61</v>
      </c>
      <c r="B13" s="47"/>
      <c r="C13" s="47"/>
      <c r="D13" s="48"/>
      <c r="E13" s="18"/>
      <c r="F13" s="18"/>
      <c r="G13" s="18"/>
      <c r="I13" s="18"/>
      <c r="M13" s="3"/>
      <c r="N13" s="3"/>
    </row>
    <row r="14" spans="1:15" ht="16.5">
      <c r="A14" s="19">
        <v>500</v>
      </c>
      <c r="B14" s="20" t="s">
        <v>18</v>
      </c>
      <c r="C14" s="21"/>
      <c r="D14" s="22">
        <f>A14*C14</f>
        <v>0</v>
      </c>
      <c r="F14" s="3"/>
      <c r="G14" s="3"/>
      <c r="H14" s="36"/>
      <c r="I14" s="3"/>
      <c r="L14" s="3"/>
    </row>
    <row r="15" spans="1:15" ht="16.5">
      <c r="A15" s="23">
        <v>100</v>
      </c>
      <c r="B15" s="24">
        <v>1</v>
      </c>
      <c r="C15" s="21">
        <v>0</v>
      </c>
      <c r="D15" s="22">
        <f t="shared" ref="D15" si="5">A15*C15</f>
        <v>0</v>
      </c>
      <c r="E15" s="3"/>
      <c r="F15" s="3"/>
      <c r="G15" s="3"/>
      <c r="H15" s="36"/>
      <c r="I15" s="3"/>
      <c r="M15" s="3"/>
    </row>
    <row r="16" spans="1:15" ht="16.5">
      <c r="A16" s="23">
        <v>50</v>
      </c>
      <c r="B16" s="24" t="s">
        <v>18</v>
      </c>
      <c r="C16" s="21">
        <v>0</v>
      </c>
      <c r="D16" s="22">
        <f>A16*C16</f>
        <v>0</v>
      </c>
      <c r="E16" s="3"/>
      <c r="F16" s="3"/>
      <c r="G16" s="3"/>
      <c r="H16" s="3"/>
      <c r="I16" s="3"/>
      <c r="J16" s="3"/>
      <c r="K16" s="3"/>
      <c r="L16" s="3"/>
      <c r="M16" s="3"/>
    </row>
    <row r="17" spans="1:23" ht="16.5">
      <c r="A17" s="23">
        <v>20</v>
      </c>
      <c r="B17" s="24" t="s">
        <v>18</v>
      </c>
      <c r="C17" s="21">
        <v>0</v>
      </c>
      <c r="D17" s="22">
        <f>A17*C17</f>
        <v>0</v>
      </c>
      <c r="E17" s="3"/>
      <c r="F17" s="3"/>
      <c r="H17" s="3"/>
      <c r="I17" s="3"/>
      <c r="J17" s="3"/>
      <c r="K17" s="3"/>
      <c r="L17" s="3"/>
      <c r="M17" s="3"/>
      <c r="T17" s="13"/>
      <c r="U17" s="13"/>
    </row>
    <row r="18" spans="1:23" ht="16.5">
      <c r="A18" s="23">
        <v>10</v>
      </c>
      <c r="B18" s="24" t="s">
        <v>18</v>
      </c>
      <c r="C18" s="21">
        <v>0</v>
      </c>
      <c r="D18" s="22">
        <f>A18*C18</f>
        <v>0</v>
      </c>
      <c r="E18" s="3"/>
      <c r="F18" s="3"/>
      <c r="H18" s="3"/>
      <c r="I18" s="3"/>
      <c r="J18" s="3"/>
      <c r="K18" s="3"/>
      <c r="L18" s="3"/>
      <c r="M18" s="3"/>
      <c r="T18" s="13"/>
    </row>
    <row r="19" spans="1:23" ht="16.5">
      <c r="A19" s="23">
        <v>5</v>
      </c>
      <c r="B19" s="24" t="s">
        <v>18</v>
      </c>
      <c r="C19" s="21">
        <v>15</v>
      </c>
      <c r="D19" s="22">
        <f>A19*C19</f>
        <v>75</v>
      </c>
      <c r="E19" s="3"/>
      <c r="F19" s="3"/>
      <c r="H19" s="3"/>
      <c r="I19" s="3"/>
      <c r="J19" s="3"/>
      <c r="K19" s="3"/>
      <c r="L19" s="3"/>
      <c r="M19" s="3"/>
      <c r="W19" s="13"/>
    </row>
    <row r="20" spans="1:23" ht="16.5">
      <c r="A20" s="25" t="s">
        <v>20</v>
      </c>
      <c r="B20" s="26" t="s">
        <v>18</v>
      </c>
      <c r="C20" s="21">
        <v>5</v>
      </c>
      <c r="D20" s="22">
        <f>+C20*1</f>
        <v>5</v>
      </c>
      <c r="E20" s="3"/>
      <c r="F20" s="3"/>
      <c r="H20" s="3"/>
      <c r="I20" s="3"/>
      <c r="J20" s="3"/>
      <c r="K20" s="3"/>
      <c r="L20" s="3"/>
      <c r="M20" s="3"/>
    </row>
    <row r="21" spans="1:23" ht="16.5">
      <c r="A21" s="25"/>
      <c r="B21" s="26"/>
      <c r="C21" s="21">
        <v>0</v>
      </c>
      <c r="D21" s="22">
        <f>+C21*0.025</f>
        <v>0</v>
      </c>
      <c r="E21" s="3"/>
      <c r="F21" s="3"/>
      <c r="H21"/>
    </row>
    <row r="22" spans="1:23" ht="16.5">
      <c r="A22" s="49" t="s">
        <v>21</v>
      </c>
      <c r="B22" s="50"/>
      <c r="C22" s="29"/>
      <c r="D22" s="30">
        <f>SUM(D14:D21)</f>
        <v>80</v>
      </c>
      <c r="E22" s="3"/>
      <c r="F22" s="3"/>
      <c r="H22"/>
    </row>
    <row r="23" spans="1:23" s="13" customFormat="1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3" ht="16.5">
      <c r="H24"/>
      <c r="W24" s="13"/>
    </row>
    <row r="25" spans="1:23" ht="16.5">
      <c r="H25"/>
      <c r="U25" s="13"/>
      <c r="V25" s="13"/>
    </row>
    <row r="26" spans="1:23">
      <c r="H26"/>
    </row>
    <row r="27" spans="1:23" ht="18" customHeight="1">
      <c r="H27"/>
    </row>
    <row r="28" spans="1:23">
      <c r="H28"/>
    </row>
    <row r="29" spans="1:23">
      <c r="H29"/>
    </row>
  </sheetData>
  <mergeCells count="3">
    <mergeCell ref="A2:N2"/>
    <mergeCell ref="A13:D13"/>
    <mergeCell ref="A22:B2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91FF-E089-48A8-840D-CD12CE0D2A6C}">
  <dimension ref="A1:W29"/>
  <sheetViews>
    <sheetView workbookViewId="0">
      <selection activeCell="A6" sqref="A6"/>
    </sheetView>
  </sheetViews>
  <sheetFormatPr defaultRowHeight="15"/>
  <cols>
    <col min="1" max="1" width="30" customWidth="1"/>
    <col min="3" max="4" width="9.42578125" bestFit="1" customWidth="1"/>
    <col min="8" max="8" width="9.140625" style="39"/>
  </cols>
  <sheetData>
    <row r="1" spans="1:15" ht="17.25" thickBot="1">
      <c r="A1" s="1" t="s">
        <v>64</v>
      </c>
      <c r="B1" s="2"/>
      <c r="C1" s="3"/>
      <c r="D1" s="3"/>
      <c r="E1" s="3"/>
      <c r="F1" s="3"/>
      <c r="G1" s="3"/>
      <c r="H1" s="36"/>
      <c r="I1" s="3"/>
      <c r="J1" s="3"/>
      <c r="K1" s="3"/>
      <c r="L1" s="3"/>
      <c r="M1" s="3"/>
      <c r="N1" s="4" t="s">
        <v>0</v>
      </c>
    </row>
    <row r="2" spans="1:15" ht="17.25" thickBot="1">
      <c r="A2" s="51" t="s">
        <v>1</v>
      </c>
      <c r="B2" s="52"/>
      <c r="C2" s="52"/>
      <c r="D2" s="52"/>
      <c r="E2" s="52"/>
      <c r="F2" s="52"/>
      <c r="G2" s="52"/>
      <c r="H2" s="55"/>
      <c r="I2" s="52"/>
      <c r="J2" s="52"/>
      <c r="K2" s="52"/>
      <c r="L2" s="52"/>
      <c r="M2" s="52"/>
      <c r="N2" s="52"/>
      <c r="O2" s="35"/>
    </row>
    <row r="3" spans="1:15" ht="66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37" t="s">
        <v>60</v>
      </c>
      <c r="I3" s="6" t="s">
        <v>51</v>
      </c>
      <c r="J3" s="6" t="s">
        <v>52</v>
      </c>
      <c r="K3" s="6" t="s">
        <v>8</v>
      </c>
      <c r="L3" s="34"/>
      <c r="M3" s="6" t="s">
        <v>9</v>
      </c>
      <c r="N3" s="6" t="s">
        <v>10</v>
      </c>
      <c r="O3" s="7" t="s">
        <v>11</v>
      </c>
    </row>
    <row r="4" spans="1:15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41">
        <v>0</v>
      </c>
      <c r="I4" s="9">
        <v>0</v>
      </c>
      <c r="J4" s="9">
        <v>0</v>
      </c>
      <c r="K4" s="10">
        <f>SUM(C4:J4)</f>
        <v>0</v>
      </c>
      <c r="L4" s="34"/>
      <c r="M4" s="9">
        <v>50</v>
      </c>
      <c r="N4" s="11">
        <f>IF(K4&gt;M4,K4-M4,0)</f>
        <v>0</v>
      </c>
      <c r="O4" s="12">
        <f>IF(M4&gt;K4,M4-K4,0)</f>
        <v>50</v>
      </c>
    </row>
    <row r="5" spans="1:15" ht="16.5">
      <c r="A5" s="8" t="s">
        <v>13</v>
      </c>
      <c r="B5" s="9">
        <v>0</v>
      </c>
      <c r="C5" s="9">
        <v>0</v>
      </c>
      <c r="D5" s="9">
        <v>146</v>
      </c>
      <c r="E5" s="9">
        <v>0</v>
      </c>
      <c r="F5" s="9">
        <v>0</v>
      </c>
      <c r="G5" s="9">
        <v>0</v>
      </c>
      <c r="H5" s="41">
        <v>0</v>
      </c>
      <c r="I5" s="9">
        <v>0</v>
      </c>
      <c r="J5" s="9">
        <v>0</v>
      </c>
      <c r="K5" s="10">
        <f>SUM(C5:J5)</f>
        <v>146</v>
      </c>
      <c r="L5" s="34"/>
      <c r="M5" s="9">
        <v>146</v>
      </c>
      <c r="N5" s="11">
        <f>IF(K5&gt;M5,K5-M5,0)</f>
        <v>0</v>
      </c>
      <c r="O5" s="12">
        <f>IF(M5&gt;K5,M5-K5,0)</f>
        <v>0</v>
      </c>
    </row>
    <row r="6" spans="1:15" ht="16.5">
      <c r="A6" s="31" t="s">
        <v>31</v>
      </c>
      <c r="B6" s="9">
        <v>192</v>
      </c>
      <c r="C6" s="9">
        <f>32+40+20+20+24+15+25+44+20+24+20+84+32+32+32+40+20+120</f>
        <v>644</v>
      </c>
      <c r="D6" s="9">
        <v>0</v>
      </c>
      <c r="E6" s="9">
        <v>0</v>
      </c>
      <c r="F6" s="9">
        <f>126+96</f>
        <v>222</v>
      </c>
      <c r="G6" s="9">
        <v>0</v>
      </c>
      <c r="H6" s="41">
        <v>32</v>
      </c>
      <c r="I6" s="9">
        <v>0</v>
      </c>
      <c r="J6" s="9">
        <v>0</v>
      </c>
      <c r="K6" s="10">
        <f>SUM(B6:I6)</f>
        <v>1090</v>
      </c>
      <c r="L6" s="34"/>
      <c r="M6" s="9">
        <v>1034</v>
      </c>
      <c r="N6" s="11">
        <f>IF(K6&gt;M6,K6-M6,0)</f>
        <v>56</v>
      </c>
      <c r="O6" s="12">
        <f>IF(M6&gt;K6,M6-K6,0)</f>
        <v>0</v>
      </c>
    </row>
    <row r="7" spans="1:15" ht="16.5" hidden="1">
      <c r="A7" s="31" t="s">
        <v>25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41">
        <v>0</v>
      </c>
      <c r="I7" s="9">
        <v>0</v>
      </c>
      <c r="J7" s="9">
        <v>0</v>
      </c>
      <c r="K7" s="10">
        <f>SUM(B7:J7)</f>
        <v>0</v>
      </c>
      <c r="L7" s="34"/>
      <c r="M7" s="9">
        <v>0</v>
      </c>
      <c r="N7" s="11">
        <f>IF(K7&gt;M7,K7-M7,0)</f>
        <v>0</v>
      </c>
      <c r="O7" s="12">
        <f>IF(M7&gt;K7,M7-K7,0)</f>
        <v>0</v>
      </c>
    </row>
    <row r="8" spans="1:15" s="13" customFormat="1" ht="16.5" hidden="1" customHeight="1">
      <c r="A8" t="s">
        <v>25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41"/>
      <c r="I8" s="9"/>
      <c r="J8" s="9"/>
      <c r="K8" s="10">
        <f t="shared" ref="K8" si="0">+H8+G8+F8+E8+D8+C8</f>
        <v>0</v>
      </c>
      <c r="L8" s="34"/>
      <c r="M8" s="9">
        <v>0</v>
      </c>
      <c r="N8" s="11">
        <f t="shared" ref="N8" si="1">IF(K8&gt;M8,K8-M8,0)</f>
        <v>0</v>
      </c>
      <c r="O8" s="12">
        <f t="shared" ref="O8:O9" si="2">IF(M8&gt;K8,M8-K8,0)</f>
        <v>0</v>
      </c>
    </row>
    <row r="9" spans="1:15" s="13" customFormat="1" ht="16.5" hidden="1" customHeight="1">
      <c r="A9" s="31" t="s">
        <v>25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41"/>
      <c r="I9" s="9"/>
      <c r="J9" s="9"/>
      <c r="K9" s="10">
        <f>+H9+G9+F9+E9+D9+C9</f>
        <v>0</v>
      </c>
      <c r="L9" s="34"/>
      <c r="M9" s="9">
        <v>0</v>
      </c>
      <c r="N9" s="11">
        <f>IF(K9&gt;M9,K9-M9,0)</f>
        <v>0</v>
      </c>
      <c r="O9" s="12">
        <f t="shared" si="2"/>
        <v>0</v>
      </c>
    </row>
    <row r="10" spans="1:15" ht="16.5" hidden="1">
      <c r="A10" t="s">
        <v>14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41">
        <v>0</v>
      </c>
      <c r="I10" s="9">
        <v>0</v>
      </c>
      <c r="J10" s="9">
        <v>0</v>
      </c>
      <c r="K10" s="40">
        <f>SUM(B10:J10)</f>
        <v>0</v>
      </c>
      <c r="L10" s="34"/>
      <c r="M10" s="9">
        <v>0</v>
      </c>
      <c r="N10" s="11">
        <f t="shared" ref="N10" si="3">IF(K10&gt;M10,K10-M10,0)</f>
        <v>0</v>
      </c>
      <c r="O10" s="12">
        <f>IF(M10&gt;K10,M10-K10,0)</f>
        <v>0</v>
      </c>
    </row>
    <row r="11" spans="1:15" ht="17.25" thickBot="1">
      <c r="A11" s="14"/>
      <c r="B11" s="15">
        <f t="shared" ref="B11:K11" si="4">SUM(B4:B10)</f>
        <v>192</v>
      </c>
      <c r="C11" s="15">
        <f t="shared" si="4"/>
        <v>644</v>
      </c>
      <c r="D11" s="15">
        <f t="shared" si="4"/>
        <v>146</v>
      </c>
      <c r="E11" s="15">
        <f t="shared" si="4"/>
        <v>0</v>
      </c>
      <c r="F11" s="15">
        <f t="shared" si="4"/>
        <v>222</v>
      </c>
      <c r="G11" s="15">
        <f t="shared" si="4"/>
        <v>0</v>
      </c>
      <c r="H11" s="38">
        <f t="shared" si="4"/>
        <v>32</v>
      </c>
      <c r="I11" s="15">
        <f t="shared" si="4"/>
        <v>0</v>
      </c>
      <c r="J11" s="15">
        <f t="shared" si="4"/>
        <v>0</v>
      </c>
      <c r="K11" s="15">
        <f t="shared" si="4"/>
        <v>1236</v>
      </c>
      <c r="L11" s="16"/>
      <c r="M11" s="15">
        <f>SUM(M4:M10)</f>
        <v>1230</v>
      </c>
      <c r="N11" s="15">
        <f>SUM(N4:N10)</f>
        <v>56</v>
      </c>
      <c r="O11" s="15">
        <f>SUM(O4:O10)</f>
        <v>50</v>
      </c>
    </row>
    <row r="12" spans="1:15" ht="17.25" thickBot="1">
      <c r="A12" s="17"/>
      <c r="B12" s="18"/>
      <c r="C12" s="18"/>
      <c r="D12" s="3"/>
      <c r="E12" s="18"/>
      <c r="F12" s="18"/>
      <c r="G12" s="18"/>
      <c r="I12" s="18"/>
      <c r="J12" s="18"/>
      <c r="K12" s="3"/>
      <c r="L12" s="3"/>
      <c r="M12" s="3"/>
      <c r="N12" s="3"/>
    </row>
    <row r="13" spans="1:15" ht="17.25" thickBot="1">
      <c r="A13" s="46" t="s">
        <v>63</v>
      </c>
      <c r="B13" s="47"/>
      <c r="C13" s="47"/>
      <c r="D13" s="48"/>
      <c r="E13" s="18"/>
      <c r="F13" s="18"/>
      <c r="G13" s="18"/>
      <c r="I13" s="18"/>
      <c r="M13" s="3"/>
      <c r="N13" s="3"/>
    </row>
    <row r="14" spans="1:15" ht="16.5">
      <c r="A14" s="19">
        <v>500</v>
      </c>
      <c r="B14" s="20" t="s">
        <v>18</v>
      </c>
      <c r="C14" s="21"/>
      <c r="D14" s="22">
        <f>A14*C14</f>
        <v>0</v>
      </c>
      <c r="F14" s="3"/>
      <c r="G14" s="3"/>
      <c r="H14" s="36"/>
      <c r="I14" s="3"/>
      <c r="L14" s="3"/>
    </row>
    <row r="15" spans="1:15" ht="16.5">
      <c r="A15" s="23">
        <v>100</v>
      </c>
      <c r="B15" s="24">
        <v>1</v>
      </c>
      <c r="C15" s="21">
        <v>0</v>
      </c>
      <c r="D15" s="22">
        <f t="shared" ref="D15" si="5">A15*C15</f>
        <v>0</v>
      </c>
      <c r="E15" s="3"/>
      <c r="F15" s="3"/>
      <c r="G15" s="3"/>
      <c r="H15" s="36"/>
      <c r="I15" s="3"/>
      <c r="M15" s="3"/>
    </row>
    <row r="16" spans="1:15" ht="16.5">
      <c r="A16" s="23">
        <v>50</v>
      </c>
      <c r="B16" s="24" t="s">
        <v>18</v>
      </c>
      <c r="C16" s="21">
        <v>3</v>
      </c>
      <c r="D16" s="22">
        <f>A16*C16</f>
        <v>150</v>
      </c>
      <c r="E16" s="3"/>
      <c r="F16" s="3"/>
      <c r="G16" s="3"/>
      <c r="H16" s="3"/>
      <c r="I16" s="3"/>
      <c r="J16" s="3"/>
      <c r="K16" s="3"/>
      <c r="L16" s="3"/>
      <c r="M16" s="3"/>
    </row>
    <row r="17" spans="1:23" ht="16.5">
      <c r="A17" s="23">
        <v>20</v>
      </c>
      <c r="B17" s="24" t="s">
        <v>18</v>
      </c>
      <c r="C17" s="21">
        <v>0</v>
      </c>
      <c r="D17" s="22">
        <f>A17*C17</f>
        <v>0</v>
      </c>
      <c r="E17" s="3"/>
      <c r="F17" s="3"/>
      <c r="H17" s="3"/>
      <c r="I17" s="3"/>
      <c r="J17" s="3"/>
      <c r="K17" s="3"/>
      <c r="L17" s="3"/>
      <c r="M17" s="3"/>
      <c r="T17" s="13"/>
      <c r="U17" s="13"/>
    </row>
    <row r="18" spans="1:23" ht="16.5">
      <c r="A18" s="23">
        <v>10</v>
      </c>
      <c r="B18" s="24" t="s">
        <v>18</v>
      </c>
      <c r="C18" s="21">
        <v>2</v>
      </c>
      <c r="D18" s="22">
        <f>A18*C18</f>
        <v>20</v>
      </c>
      <c r="E18" s="3"/>
      <c r="F18" s="3"/>
      <c r="H18" s="3"/>
      <c r="I18" s="3"/>
      <c r="J18" s="3"/>
      <c r="K18" s="3"/>
      <c r="L18" s="3"/>
      <c r="M18" s="3"/>
      <c r="T18" s="13"/>
    </row>
    <row r="19" spans="1:23" ht="16.5">
      <c r="A19" s="23">
        <v>5</v>
      </c>
      <c r="B19" s="24" t="s">
        <v>18</v>
      </c>
      <c r="C19" s="21">
        <v>3</v>
      </c>
      <c r="D19" s="22">
        <f>A19*C19</f>
        <v>15</v>
      </c>
      <c r="E19" s="3"/>
      <c r="F19" s="3"/>
      <c r="H19" s="3"/>
      <c r="I19" s="3"/>
      <c r="J19" s="3"/>
      <c r="K19" s="3"/>
      <c r="L19" s="3"/>
      <c r="M19" s="3"/>
      <c r="W19" s="13"/>
    </row>
    <row r="20" spans="1:23" ht="16.5">
      <c r="A20" s="25" t="s">
        <v>20</v>
      </c>
      <c r="B20" s="26" t="s">
        <v>18</v>
      </c>
      <c r="C20" s="21">
        <v>7</v>
      </c>
      <c r="D20" s="22">
        <f>+C20*1</f>
        <v>7</v>
      </c>
      <c r="E20" s="3"/>
      <c r="F20" s="3"/>
      <c r="H20" s="3"/>
      <c r="I20" s="3"/>
      <c r="J20" s="3"/>
      <c r="K20" s="3"/>
      <c r="L20" s="3"/>
      <c r="M20" s="3"/>
    </row>
    <row r="21" spans="1:23" ht="16.5">
      <c r="A21" s="25"/>
      <c r="B21" s="26"/>
      <c r="C21" s="21">
        <v>0</v>
      </c>
      <c r="D21" s="22">
        <f>+C21*0.025</f>
        <v>0</v>
      </c>
      <c r="E21" s="3"/>
      <c r="F21" s="3"/>
      <c r="H21"/>
    </row>
    <row r="22" spans="1:23" ht="16.5">
      <c r="A22" s="49" t="s">
        <v>21</v>
      </c>
      <c r="B22" s="50"/>
      <c r="C22" s="29"/>
      <c r="D22" s="30">
        <f>SUM(D14:D21)</f>
        <v>192</v>
      </c>
      <c r="E22" s="3"/>
      <c r="F22" s="3"/>
      <c r="H22"/>
    </row>
    <row r="23" spans="1:23" s="13" customFormat="1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3" ht="16.5">
      <c r="H24"/>
      <c r="W24" s="13"/>
    </row>
    <row r="25" spans="1:23" ht="16.5">
      <c r="H25"/>
      <c r="U25" s="13"/>
      <c r="V25" s="13"/>
    </row>
    <row r="26" spans="1:23">
      <c r="H26"/>
    </row>
    <row r="27" spans="1:23" ht="18" customHeight="1">
      <c r="H27"/>
    </row>
    <row r="28" spans="1:23">
      <c r="H28"/>
    </row>
    <row r="29" spans="1:23">
      <c r="H29"/>
    </row>
  </sheetData>
  <mergeCells count="3">
    <mergeCell ref="A2:N2"/>
    <mergeCell ref="A13:D13"/>
    <mergeCell ref="A22:B22"/>
  </mergeCells>
  <pageMargins left="0.7" right="0.7" top="0.7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9C3A-7F4A-44E5-B97A-DF569914973D}">
  <dimension ref="A1:W29"/>
  <sheetViews>
    <sheetView workbookViewId="0">
      <selection activeCell="K31" sqref="K31"/>
    </sheetView>
  </sheetViews>
  <sheetFormatPr defaultRowHeight="15"/>
  <cols>
    <col min="1" max="1" width="30" customWidth="1"/>
    <col min="3" max="4" width="9.42578125" bestFit="1" customWidth="1"/>
    <col min="8" max="8" width="9.140625" style="39"/>
  </cols>
  <sheetData>
    <row r="1" spans="1:15" ht="17.25" thickBot="1">
      <c r="A1" s="1" t="s">
        <v>66</v>
      </c>
      <c r="B1" s="2"/>
      <c r="C1" s="3"/>
      <c r="D1" s="3"/>
      <c r="E1" s="3"/>
      <c r="F1" s="3"/>
      <c r="G1" s="3"/>
      <c r="H1" s="36"/>
      <c r="I1" s="3"/>
      <c r="J1" s="3"/>
      <c r="K1" s="3"/>
      <c r="L1" s="3"/>
      <c r="M1" s="3"/>
      <c r="N1" s="4" t="s">
        <v>0</v>
      </c>
    </row>
    <row r="2" spans="1:15" ht="17.25" thickBot="1">
      <c r="A2" s="51" t="s">
        <v>1</v>
      </c>
      <c r="B2" s="52"/>
      <c r="C2" s="52"/>
      <c r="D2" s="52"/>
      <c r="E2" s="52"/>
      <c r="F2" s="52"/>
      <c r="G2" s="52"/>
      <c r="H2" s="55"/>
      <c r="I2" s="52"/>
      <c r="J2" s="52"/>
      <c r="K2" s="52"/>
      <c r="L2" s="52"/>
      <c r="M2" s="52"/>
      <c r="N2" s="52"/>
      <c r="O2" s="35"/>
    </row>
    <row r="3" spans="1:15" ht="66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37" t="s">
        <v>60</v>
      </c>
      <c r="I3" s="6" t="s">
        <v>51</v>
      </c>
      <c r="J3" s="6" t="s">
        <v>52</v>
      </c>
      <c r="K3" s="6" t="s">
        <v>8</v>
      </c>
      <c r="L3" s="34"/>
      <c r="M3" s="6" t="s">
        <v>9</v>
      </c>
      <c r="N3" s="6" t="s">
        <v>10</v>
      </c>
      <c r="O3" s="7" t="s">
        <v>11</v>
      </c>
    </row>
    <row r="4" spans="1:15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41">
        <v>0</v>
      </c>
      <c r="I4" s="9">
        <v>0</v>
      </c>
      <c r="J4" s="9">
        <v>0</v>
      </c>
      <c r="K4" s="10">
        <f>SUM(C4:J4)</f>
        <v>0</v>
      </c>
      <c r="L4" s="34"/>
      <c r="M4" s="9">
        <v>0</v>
      </c>
      <c r="N4" s="11">
        <f>IF(K4&gt;M4,K4-M4,0)</f>
        <v>0</v>
      </c>
      <c r="O4" s="12">
        <f>IF(M4&gt;K4,M4-K4,0)</f>
        <v>0</v>
      </c>
    </row>
    <row r="5" spans="1:15" ht="16.5">
      <c r="A5" s="8" t="s">
        <v>13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41">
        <v>0</v>
      </c>
      <c r="I5" s="9">
        <v>0</v>
      </c>
      <c r="J5" s="9">
        <v>0</v>
      </c>
      <c r="K5" s="10">
        <f>SUM(C5:J5)</f>
        <v>0</v>
      </c>
      <c r="L5" s="34"/>
      <c r="M5" s="9">
        <v>0</v>
      </c>
      <c r="N5" s="11">
        <f>IF(K5&gt;M5,K5-M5,0)</f>
        <v>0</v>
      </c>
      <c r="O5" s="12">
        <f>IF(M5&gt;K5,M5-K5,0)</f>
        <v>0</v>
      </c>
    </row>
    <row r="6" spans="1:15" ht="16.5">
      <c r="A6" s="31" t="s">
        <v>31</v>
      </c>
      <c r="B6" s="9">
        <v>40</v>
      </c>
      <c r="C6" s="9">
        <f>98+93+12+118+168+20+84</f>
        <v>593</v>
      </c>
      <c r="D6" s="9">
        <v>0</v>
      </c>
      <c r="E6" s="9">
        <v>0</v>
      </c>
      <c r="F6" s="9">
        <v>0</v>
      </c>
      <c r="G6" s="9">
        <v>0</v>
      </c>
      <c r="H6" s="41">
        <v>0</v>
      </c>
      <c r="I6" s="9">
        <v>0</v>
      </c>
      <c r="J6" s="9">
        <v>0</v>
      </c>
      <c r="K6" s="10">
        <f>SUM(B6:I6)</f>
        <v>633</v>
      </c>
      <c r="L6" s="34"/>
      <c r="M6" s="9">
        <v>633</v>
      </c>
      <c r="N6" s="11">
        <f>IF(K6&gt;M6,K6-M6,0)</f>
        <v>0</v>
      </c>
      <c r="O6" s="12">
        <f>IF(M6&gt;K6,M6-K6,0)</f>
        <v>0</v>
      </c>
    </row>
    <row r="7" spans="1:15" ht="16.5" hidden="1">
      <c r="A7" s="31" t="s">
        <v>25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41">
        <v>0</v>
      </c>
      <c r="I7" s="9">
        <v>0</v>
      </c>
      <c r="J7" s="9">
        <v>0</v>
      </c>
      <c r="K7" s="10">
        <f>SUM(B7:J7)</f>
        <v>0</v>
      </c>
      <c r="L7" s="34"/>
      <c r="M7" s="9">
        <v>0</v>
      </c>
      <c r="N7" s="11">
        <f>IF(K7&gt;M7,K7-M7,0)</f>
        <v>0</v>
      </c>
      <c r="O7" s="12">
        <f>IF(M7&gt;K7,M7-K7,0)</f>
        <v>0</v>
      </c>
    </row>
    <row r="8" spans="1:15" s="13" customFormat="1" ht="16.5" hidden="1" customHeight="1">
      <c r="A8" t="s">
        <v>25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41"/>
      <c r="I8" s="9"/>
      <c r="J8" s="9"/>
      <c r="K8" s="10">
        <f t="shared" ref="K8" si="0">+H8+G8+F8+E8+D8+C8</f>
        <v>0</v>
      </c>
      <c r="L8" s="34"/>
      <c r="M8" s="9">
        <v>0</v>
      </c>
      <c r="N8" s="11">
        <f t="shared" ref="N8" si="1">IF(K8&gt;M8,K8-M8,0)</f>
        <v>0</v>
      </c>
      <c r="O8" s="12">
        <f t="shared" ref="O8:O9" si="2">IF(M8&gt;K8,M8-K8,0)</f>
        <v>0</v>
      </c>
    </row>
    <row r="9" spans="1:15" s="13" customFormat="1" ht="16.5" hidden="1" customHeight="1">
      <c r="A9" s="31" t="s">
        <v>25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41"/>
      <c r="I9" s="9"/>
      <c r="J9" s="9"/>
      <c r="K9" s="10">
        <f>+H9+G9+F9+E9+D9+C9</f>
        <v>0</v>
      </c>
      <c r="L9" s="34"/>
      <c r="M9" s="9">
        <v>0</v>
      </c>
      <c r="N9" s="11">
        <f>IF(K9&gt;M9,K9-M9,0)</f>
        <v>0</v>
      </c>
      <c r="O9" s="12">
        <f t="shared" si="2"/>
        <v>0</v>
      </c>
    </row>
    <row r="10" spans="1:15" ht="16.5" hidden="1">
      <c r="A10" t="s">
        <v>14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41">
        <v>0</v>
      </c>
      <c r="I10" s="9">
        <v>0</v>
      </c>
      <c r="J10" s="9">
        <v>0</v>
      </c>
      <c r="K10" s="40">
        <f>SUM(B10:J10)</f>
        <v>0</v>
      </c>
      <c r="L10" s="34"/>
      <c r="M10" s="9">
        <v>0</v>
      </c>
      <c r="N10" s="11">
        <f t="shared" ref="N10" si="3">IF(K10&gt;M10,K10-M10,0)</f>
        <v>0</v>
      </c>
      <c r="O10" s="12">
        <f>IF(M10&gt;K10,M10-K10,0)</f>
        <v>0</v>
      </c>
    </row>
    <row r="11" spans="1:15" ht="17.25" thickBot="1">
      <c r="A11" s="14"/>
      <c r="B11" s="15">
        <f t="shared" ref="B11:K11" si="4">SUM(B4:B10)</f>
        <v>40</v>
      </c>
      <c r="C11" s="15">
        <f t="shared" si="4"/>
        <v>593</v>
      </c>
      <c r="D11" s="15">
        <f t="shared" si="4"/>
        <v>0</v>
      </c>
      <c r="E11" s="15">
        <f t="shared" si="4"/>
        <v>0</v>
      </c>
      <c r="F11" s="15">
        <f t="shared" si="4"/>
        <v>0</v>
      </c>
      <c r="G11" s="15">
        <f t="shared" si="4"/>
        <v>0</v>
      </c>
      <c r="H11" s="38">
        <f t="shared" si="4"/>
        <v>0</v>
      </c>
      <c r="I11" s="15">
        <f t="shared" si="4"/>
        <v>0</v>
      </c>
      <c r="J11" s="15">
        <f t="shared" si="4"/>
        <v>0</v>
      </c>
      <c r="K11" s="15">
        <f t="shared" si="4"/>
        <v>633</v>
      </c>
      <c r="L11" s="16"/>
      <c r="M11" s="15">
        <f>SUM(M4:M10)</f>
        <v>633</v>
      </c>
      <c r="N11" s="15">
        <f>SUM(N4:N10)</f>
        <v>0</v>
      </c>
      <c r="O11" s="15">
        <f>SUM(O4:O10)</f>
        <v>0</v>
      </c>
    </row>
    <row r="12" spans="1:15" ht="17.25" thickBot="1">
      <c r="A12" s="17"/>
      <c r="B12" s="18"/>
      <c r="C12" s="18"/>
      <c r="D12" s="3"/>
      <c r="E12" s="18"/>
      <c r="F12" s="18"/>
      <c r="G12" s="18"/>
      <c r="I12" s="18"/>
      <c r="J12" s="18"/>
      <c r="K12" s="3"/>
      <c r="L12" s="3"/>
      <c r="M12" s="3"/>
      <c r="N12" s="3"/>
    </row>
    <row r="13" spans="1:15" ht="17.25" thickBot="1">
      <c r="A13" s="46" t="s">
        <v>65</v>
      </c>
      <c r="B13" s="47"/>
      <c r="C13" s="47"/>
      <c r="D13" s="48"/>
      <c r="E13" s="18"/>
      <c r="F13" s="18"/>
      <c r="G13" s="18"/>
      <c r="I13" s="18"/>
      <c r="M13" s="3"/>
      <c r="N13" s="3"/>
    </row>
    <row r="14" spans="1:15" ht="16.5">
      <c r="A14" s="19">
        <v>500</v>
      </c>
      <c r="B14" s="20" t="s">
        <v>18</v>
      </c>
      <c r="C14" s="21"/>
      <c r="D14" s="22">
        <f>A14*C14</f>
        <v>0</v>
      </c>
      <c r="F14" s="3"/>
      <c r="G14" s="3"/>
      <c r="H14" s="36"/>
      <c r="I14" s="3"/>
      <c r="L14" s="3"/>
    </row>
    <row r="15" spans="1:15" ht="16.5">
      <c r="A15" s="23">
        <v>100</v>
      </c>
      <c r="B15" s="24">
        <v>1</v>
      </c>
      <c r="C15" s="21">
        <v>0</v>
      </c>
      <c r="D15" s="22">
        <f t="shared" ref="D15" si="5">A15*C15</f>
        <v>0</v>
      </c>
      <c r="E15" s="3"/>
      <c r="F15" s="3"/>
      <c r="G15" s="3"/>
      <c r="H15" s="36"/>
      <c r="I15" s="3"/>
      <c r="M15" s="3"/>
    </row>
    <row r="16" spans="1:15" ht="16.5">
      <c r="A16" s="23">
        <v>50</v>
      </c>
      <c r="B16" s="24" t="s">
        <v>18</v>
      </c>
      <c r="C16" s="21">
        <v>0</v>
      </c>
      <c r="D16" s="22">
        <f>A16*C16</f>
        <v>0</v>
      </c>
      <c r="E16" s="3"/>
      <c r="F16" s="3"/>
      <c r="G16" s="3"/>
      <c r="H16" s="3"/>
      <c r="I16" s="3"/>
      <c r="J16" s="3"/>
      <c r="K16" s="3"/>
      <c r="L16" s="3"/>
      <c r="M16" s="3"/>
    </row>
    <row r="17" spans="1:23" ht="16.5">
      <c r="A17" s="23">
        <v>20</v>
      </c>
      <c r="B17" s="24" t="s">
        <v>18</v>
      </c>
      <c r="C17" s="21">
        <v>0</v>
      </c>
      <c r="D17" s="22">
        <f>A17*C17</f>
        <v>0</v>
      </c>
      <c r="E17" s="3"/>
      <c r="F17" s="3"/>
      <c r="H17" s="3"/>
      <c r="I17" s="3"/>
      <c r="J17" s="3"/>
      <c r="K17" s="3"/>
      <c r="L17" s="3"/>
      <c r="M17" s="3"/>
      <c r="T17" s="13"/>
      <c r="U17" s="13"/>
    </row>
    <row r="18" spans="1:23" ht="16.5">
      <c r="A18" s="23">
        <v>10</v>
      </c>
      <c r="B18" s="24" t="s">
        <v>18</v>
      </c>
      <c r="C18" s="21">
        <v>4</v>
      </c>
      <c r="D18" s="22">
        <f>A18*C18</f>
        <v>40</v>
      </c>
      <c r="E18" s="3"/>
      <c r="F18" s="3"/>
      <c r="H18" s="3"/>
      <c r="I18" s="3"/>
      <c r="J18" s="3"/>
      <c r="K18" s="3"/>
      <c r="L18" s="3"/>
      <c r="M18" s="3"/>
      <c r="T18" s="13"/>
    </row>
    <row r="19" spans="1:23" ht="16.5">
      <c r="A19" s="23">
        <v>5</v>
      </c>
      <c r="B19" s="24" t="s">
        <v>18</v>
      </c>
      <c r="C19" s="21">
        <v>0</v>
      </c>
      <c r="D19" s="22">
        <f>A19*C19</f>
        <v>0</v>
      </c>
      <c r="E19" s="3"/>
      <c r="F19" s="3"/>
      <c r="H19" s="3"/>
      <c r="I19" s="3"/>
      <c r="J19" s="3"/>
      <c r="K19" s="3"/>
      <c r="L19" s="3"/>
      <c r="M19" s="3"/>
      <c r="W19" s="13"/>
    </row>
    <row r="20" spans="1:23" ht="16.5">
      <c r="A20" s="25" t="s">
        <v>20</v>
      </c>
      <c r="B20" s="26" t="s">
        <v>18</v>
      </c>
      <c r="C20" s="21">
        <v>0</v>
      </c>
      <c r="D20" s="22">
        <f>+C20*1</f>
        <v>0</v>
      </c>
      <c r="E20" s="3"/>
      <c r="F20" s="3"/>
      <c r="H20" s="3"/>
      <c r="I20" s="3"/>
      <c r="J20" s="3"/>
      <c r="K20" s="3"/>
      <c r="L20" s="3"/>
      <c r="M20" s="3"/>
    </row>
    <row r="21" spans="1:23" ht="16.5">
      <c r="A21" s="25"/>
      <c r="B21" s="26"/>
      <c r="C21" s="21">
        <v>0</v>
      </c>
      <c r="D21" s="22">
        <f>+C21*0.025</f>
        <v>0</v>
      </c>
      <c r="E21" s="3"/>
      <c r="F21" s="3"/>
      <c r="H21"/>
    </row>
    <row r="22" spans="1:23" ht="16.5">
      <c r="A22" s="49" t="s">
        <v>21</v>
      </c>
      <c r="B22" s="50"/>
      <c r="C22" s="29"/>
      <c r="D22" s="30">
        <f>SUM(D14:D21)</f>
        <v>40</v>
      </c>
      <c r="E22" s="3"/>
      <c r="F22" s="3"/>
      <c r="H22"/>
    </row>
    <row r="23" spans="1:23" s="13" customFormat="1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3" ht="16.5">
      <c r="H24"/>
      <c r="W24" s="13"/>
    </row>
    <row r="25" spans="1:23" ht="16.5">
      <c r="H25"/>
      <c r="U25" s="13"/>
      <c r="V25" s="13"/>
    </row>
    <row r="26" spans="1:23">
      <c r="H26"/>
    </row>
    <row r="27" spans="1:23" ht="18" customHeight="1">
      <c r="H27"/>
    </row>
    <row r="28" spans="1:23">
      <c r="H28"/>
    </row>
    <row r="29" spans="1:23">
      <c r="H29"/>
    </row>
  </sheetData>
  <mergeCells count="3">
    <mergeCell ref="A2:N2"/>
    <mergeCell ref="A13:D13"/>
    <mergeCell ref="A22:B22"/>
  </mergeCells>
  <pageMargins left="0.7" right="0.7" top="0.75" bottom="0.7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4E6E-DBB6-46DF-8BE9-C6071086ABAD}">
  <dimension ref="A1:W29"/>
  <sheetViews>
    <sheetView workbookViewId="0">
      <selection activeCell="A9" sqref="A9:XFD9"/>
    </sheetView>
  </sheetViews>
  <sheetFormatPr defaultRowHeight="15"/>
  <cols>
    <col min="1" max="1" width="24.140625" customWidth="1"/>
    <col min="3" max="4" width="9.42578125" bestFit="1" customWidth="1"/>
    <col min="8" max="8" width="9.140625" style="39"/>
  </cols>
  <sheetData>
    <row r="1" spans="1:15" ht="17.25" thickBot="1">
      <c r="A1" s="1" t="s">
        <v>67</v>
      </c>
      <c r="B1" s="2"/>
      <c r="C1" s="3"/>
      <c r="D1" s="3"/>
      <c r="E1" s="3"/>
      <c r="F1" s="3"/>
      <c r="G1" s="3"/>
      <c r="H1" s="36"/>
      <c r="I1" s="3"/>
      <c r="J1" s="3"/>
      <c r="K1" s="3"/>
      <c r="L1" s="3"/>
      <c r="M1" s="3"/>
      <c r="N1" s="4" t="s">
        <v>0</v>
      </c>
    </row>
    <row r="2" spans="1:15" ht="17.25" thickBot="1">
      <c r="A2" s="51" t="s">
        <v>1</v>
      </c>
      <c r="B2" s="52"/>
      <c r="C2" s="52"/>
      <c r="D2" s="52"/>
      <c r="E2" s="52"/>
      <c r="F2" s="52"/>
      <c r="G2" s="52"/>
      <c r="H2" s="55"/>
      <c r="I2" s="52"/>
      <c r="J2" s="52"/>
      <c r="K2" s="52"/>
      <c r="L2" s="52"/>
      <c r="M2" s="52"/>
      <c r="N2" s="52"/>
      <c r="O2" s="35"/>
    </row>
    <row r="3" spans="1:15" ht="66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37" t="s">
        <v>60</v>
      </c>
      <c r="I3" s="6" t="s">
        <v>51</v>
      </c>
      <c r="J3" s="6" t="s">
        <v>52</v>
      </c>
      <c r="K3" s="6" t="s">
        <v>8</v>
      </c>
      <c r="L3" s="34"/>
      <c r="M3" s="6" t="s">
        <v>9</v>
      </c>
      <c r="N3" s="6" t="s">
        <v>10</v>
      </c>
      <c r="O3" s="7" t="s">
        <v>11</v>
      </c>
    </row>
    <row r="4" spans="1:15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41">
        <v>0</v>
      </c>
      <c r="I4" s="9">
        <v>0</v>
      </c>
      <c r="J4" s="9">
        <v>0</v>
      </c>
      <c r="K4" s="10">
        <f>SUM(C4:J4)</f>
        <v>0</v>
      </c>
      <c r="L4" s="34"/>
      <c r="M4" s="9">
        <v>0</v>
      </c>
      <c r="N4" s="11">
        <f>IF(K4&gt;M4,K4-M4,0)</f>
        <v>0</v>
      </c>
      <c r="O4" s="12">
        <f>IF(M4&gt;K4,M4-K4,0)</f>
        <v>0</v>
      </c>
    </row>
    <row r="5" spans="1:15" ht="16.5">
      <c r="A5" s="8" t="s">
        <v>13</v>
      </c>
      <c r="B5" s="9">
        <v>0</v>
      </c>
      <c r="C5" s="9">
        <v>0</v>
      </c>
      <c r="D5" s="9">
        <v>84</v>
      </c>
      <c r="E5" s="9">
        <v>0</v>
      </c>
      <c r="F5" s="9">
        <v>0</v>
      </c>
      <c r="G5" s="9">
        <v>0</v>
      </c>
      <c r="H5" s="41">
        <v>0</v>
      </c>
      <c r="I5" s="9">
        <v>0</v>
      </c>
      <c r="J5" s="9">
        <v>0</v>
      </c>
      <c r="K5" s="10">
        <f>SUM(C5:J5)</f>
        <v>84</v>
      </c>
      <c r="L5" s="34"/>
      <c r="M5" s="9">
        <v>84</v>
      </c>
      <c r="N5" s="11">
        <f>IF(K5&gt;M5,K5-M5,0)</f>
        <v>0</v>
      </c>
      <c r="O5" s="12">
        <f>IF(M5&gt;K5,M5-K5,0)</f>
        <v>0</v>
      </c>
    </row>
    <row r="6" spans="1:15" ht="16.5">
      <c r="A6" t="s">
        <v>14</v>
      </c>
      <c r="B6" s="9">
        <v>76</v>
      </c>
      <c r="C6" s="9">
        <f>20+21+87+52+29+64+27+20+58+116+33+20+20</f>
        <v>567</v>
      </c>
      <c r="D6" s="9">
        <v>0</v>
      </c>
      <c r="E6" s="9">
        <v>0</v>
      </c>
      <c r="F6" s="9">
        <v>29</v>
      </c>
      <c r="G6" s="9">
        <v>0</v>
      </c>
      <c r="H6" s="41">
        <v>0</v>
      </c>
      <c r="I6" s="9">
        <v>0</v>
      </c>
      <c r="J6" s="9">
        <v>0</v>
      </c>
      <c r="K6" s="10">
        <f>SUM(B6:I6)</f>
        <v>672</v>
      </c>
      <c r="L6" s="34"/>
      <c r="M6" s="9">
        <v>672</v>
      </c>
      <c r="N6" s="11">
        <f>IF(K6&gt;M6,K6-M6,0)</f>
        <v>0</v>
      </c>
      <c r="O6" s="12">
        <f>IF(M6&gt;K6,M6-K6,0)</f>
        <v>0</v>
      </c>
    </row>
    <row r="7" spans="1:15" ht="16.5" hidden="1">
      <c r="A7" s="31" t="s">
        <v>25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41">
        <v>0</v>
      </c>
      <c r="I7" s="9">
        <v>0</v>
      </c>
      <c r="J7" s="9">
        <v>0</v>
      </c>
      <c r="K7" s="10">
        <f>SUM(B7:J7)</f>
        <v>0</v>
      </c>
      <c r="L7" s="34"/>
      <c r="M7" s="9">
        <v>0</v>
      </c>
      <c r="N7" s="11">
        <f>IF(K7&gt;M7,K7-M7,0)</f>
        <v>0</v>
      </c>
      <c r="O7" s="12">
        <f>IF(M7&gt;K7,M7-K7,0)</f>
        <v>0</v>
      </c>
    </row>
    <row r="8" spans="1:15" s="13" customFormat="1" ht="16.5" hidden="1" customHeight="1">
      <c r="A8" t="s">
        <v>25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41"/>
      <c r="I8" s="9"/>
      <c r="J8" s="9"/>
      <c r="K8" s="10">
        <f t="shared" ref="K8" si="0">+H8+G8+F8+E8+D8+C8</f>
        <v>0</v>
      </c>
      <c r="L8" s="34"/>
      <c r="M8" s="9">
        <v>0</v>
      </c>
      <c r="N8" s="11">
        <f t="shared" ref="N8" si="1">IF(K8&gt;M8,K8-M8,0)</f>
        <v>0</v>
      </c>
      <c r="O8" s="12">
        <f t="shared" ref="O8:O9" si="2">IF(M8&gt;K8,M8-K8,0)</f>
        <v>0</v>
      </c>
    </row>
    <row r="9" spans="1:15" s="13" customFormat="1" ht="16.5" hidden="1" customHeight="1">
      <c r="A9" s="31" t="s">
        <v>25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41"/>
      <c r="I9" s="9"/>
      <c r="J9" s="9"/>
      <c r="K9" s="10">
        <f>+H9+G9+F9+E9+D9+C9</f>
        <v>0</v>
      </c>
      <c r="L9" s="34"/>
      <c r="M9" s="9">
        <v>0</v>
      </c>
      <c r="N9" s="11">
        <f>IF(K9&gt;M9,K9-M9,0)</f>
        <v>0</v>
      </c>
      <c r="O9" s="12">
        <f t="shared" si="2"/>
        <v>0</v>
      </c>
    </row>
    <row r="10" spans="1:15" ht="18.75" customHeight="1">
      <c r="A10" s="32" t="s">
        <v>36</v>
      </c>
      <c r="B10" s="9">
        <v>15</v>
      </c>
      <c r="C10" s="9">
        <f>20+24+68</f>
        <v>112</v>
      </c>
      <c r="D10" s="9">
        <v>0</v>
      </c>
      <c r="E10" s="9">
        <v>0</v>
      </c>
      <c r="F10" s="9">
        <v>0</v>
      </c>
      <c r="G10" s="9">
        <v>0</v>
      </c>
      <c r="H10" s="41">
        <v>0</v>
      </c>
      <c r="I10" s="9">
        <v>0</v>
      </c>
      <c r="J10" s="9">
        <v>0</v>
      </c>
      <c r="K10" s="40">
        <f>SUM(B10:J10)</f>
        <v>127</v>
      </c>
      <c r="L10" s="34"/>
      <c r="M10" s="9">
        <v>127</v>
      </c>
      <c r="N10" s="11">
        <f t="shared" ref="N10" si="3">IF(K10&gt;M10,K10-M10,0)</f>
        <v>0</v>
      </c>
      <c r="O10" s="12">
        <f>IF(M10&gt;K10,M10-K10,0)</f>
        <v>0</v>
      </c>
    </row>
    <row r="11" spans="1:15" ht="17.25" thickBot="1">
      <c r="A11" s="14"/>
      <c r="B11" s="15">
        <f t="shared" ref="B11:K11" si="4">SUM(B4:B10)</f>
        <v>91</v>
      </c>
      <c r="C11" s="15">
        <f t="shared" si="4"/>
        <v>679</v>
      </c>
      <c r="D11" s="15">
        <f t="shared" si="4"/>
        <v>84</v>
      </c>
      <c r="E11" s="15">
        <f t="shared" si="4"/>
        <v>0</v>
      </c>
      <c r="F11" s="15">
        <f t="shared" si="4"/>
        <v>29</v>
      </c>
      <c r="G11" s="15">
        <f t="shared" si="4"/>
        <v>0</v>
      </c>
      <c r="H11" s="38">
        <f t="shared" si="4"/>
        <v>0</v>
      </c>
      <c r="I11" s="15">
        <f t="shared" si="4"/>
        <v>0</v>
      </c>
      <c r="J11" s="15">
        <f t="shared" si="4"/>
        <v>0</v>
      </c>
      <c r="K11" s="15">
        <f t="shared" si="4"/>
        <v>883</v>
      </c>
      <c r="L11" s="16"/>
      <c r="M11" s="15">
        <f>SUM(M4:M10)</f>
        <v>883</v>
      </c>
      <c r="N11" s="15">
        <f>SUM(N4:N10)</f>
        <v>0</v>
      </c>
      <c r="O11" s="15">
        <f>SUM(O4:O10)</f>
        <v>0</v>
      </c>
    </row>
    <row r="12" spans="1:15" ht="17.25" thickBot="1">
      <c r="A12" s="17"/>
      <c r="B12" s="18"/>
      <c r="C12" s="18"/>
      <c r="D12" s="3"/>
      <c r="E12" s="18"/>
      <c r="F12" s="18"/>
      <c r="G12" s="18"/>
      <c r="I12" s="18"/>
      <c r="J12" s="18"/>
      <c r="K12" s="3"/>
      <c r="L12" s="3"/>
      <c r="M12" s="3"/>
      <c r="N12" s="3"/>
    </row>
    <row r="13" spans="1:15" ht="17.25" thickBot="1">
      <c r="A13" s="46" t="s">
        <v>68</v>
      </c>
      <c r="B13" s="47"/>
      <c r="C13" s="47"/>
      <c r="D13" s="48"/>
      <c r="E13" s="18"/>
      <c r="F13" s="18"/>
      <c r="G13" s="18"/>
      <c r="I13" s="18"/>
      <c r="M13" s="3"/>
      <c r="N13" s="3"/>
    </row>
    <row r="14" spans="1:15" ht="16.5">
      <c r="A14" s="19">
        <v>500</v>
      </c>
      <c r="B14" s="20" t="s">
        <v>18</v>
      </c>
      <c r="C14" s="21"/>
      <c r="D14" s="22">
        <f>A14*C14</f>
        <v>0</v>
      </c>
      <c r="F14" s="3"/>
      <c r="G14" s="3"/>
      <c r="H14" s="36"/>
      <c r="I14" s="3"/>
      <c r="L14" s="3"/>
    </row>
    <row r="15" spans="1:15" ht="16.5">
      <c r="A15" s="23">
        <v>100</v>
      </c>
      <c r="B15" s="24">
        <v>1</v>
      </c>
      <c r="C15" s="21">
        <v>0</v>
      </c>
      <c r="D15" s="22">
        <f t="shared" ref="D15" si="5">A15*C15</f>
        <v>0</v>
      </c>
      <c r="E15" s="3"/>
      <c r="F15" s="3"/>
      <c r="G15" s="3"/>
      <c r="H15" s="36"/>
      <c r="I15" s="3"/>
      <c r="M15" s="3"/>
    </row>
    <row r="16" spans="1:15" ht="16.5">
      <c r="A16" s="23">
        <v>50</v>
      </c>
      <c r="B16" s="24" t="s">
        <v>18</v>
      </c>
      <c r="C16" s="21">
        <v>0</v>
      </c>
      <c r="D16" s="22">
        <f>A16*C16</f>
        <v>0</v>
      </c>
      <c r="E16" s="3"/>
      <c r="F16" s="3"/>
      <c r="G16" s="3"/>
      <c r="H16" s="3"/>
      <c r="I16" s="3"/>
      <c r="J16" s="3"/>
      <c r="K16" s="3"/>
      <c r="L16" s="3"/>
      <c r="M16" s="3"/>
    </row>
    <row r="17" spans="1:23" ht="16.5">
      <c r="A17" s="23">
        <v>20</v>
      </c>
      <c r="B17" s="24" t="s">
        <v>18</v>
      </c>
      <c r="C17" s="21">
        <v>0</v>
      </c>
      <c r="D17" s="22">
        <f>A17*C17</f>
        <v>0</v>
      </c>
      <c r="E17" s="3"/>
      <c r="F17" s="3"/>
      <c r="H17" s="3"/>
      <c r="I17" s="3"/>
      <c r="J17" s="3"/>
      <c r="K17" s="3"/>
      <c r="L17" s="3"/>
      <c r="M17" s="3"/>
      <c r="T17" s="13"/>
      <c r="U17" s="13"/>
    </row>
    <row r="18" spans="1:23" ht="16.5">
      <c r="A18" s="23">
        <v>10</v>
      </c>
      <c r="B18" s="24" t="s">
        <v>18</v>
      </c>
      <c r="C18" s="21">
        <v>7</v>
      </c>
      <c r="D18" s="22">
        <f>A18*C18</f>
        <v>70</v>
      </c>
      <c r="E18" s="3"/>
      <c r="F18" s="3"/>
      <c r="H18" s="3"/>
      <c r="I18" s="3"/>
      <c r="J18" s="3"/>
      <c r="K18" s="3"/>
      <c r="L18" s="3"/>
      <c r="M18" s="3"/>
      <c r="T18" s="13"/>
    </row>
    <row r="19" spans="1:23" ht="16.5">
      <c r="A19" s="23">
        <v>5</v>
      </c>
      <c r="B19" s="24" t="s">
        <v>18</v>
      </c>
      <c r="C19" s="21">
        <v>3</v>
      </c>
      <c r="D19" s="22">
        <f>A19*C19</f>
        <v>15</v>
      </c>
      <c r="E19" s="3"/>
      <c r="F19" s="3"/>
      <c r="H19" s="3"/>
      <c r="I19" s="3"/>
      <c r="J19" s="3"/>
      <c r="K19" s="3"/>
      <c r="L19" s="3"/>
      <c r="M19" s="3"/>
      <c r="W19" s="13"/>
    </row>
    <row r="20" spans="1:23" ht="16.5">
      <c r="A20" s="25" t="s">
        <v>20</v>
      </c>
      <c r="B20" s="26" t="s">
        <v>18</v>
      </c>
      <c r="C20" s="21">
        <v>6</v>
      </c>
      <c r="D20" s="22">
        <f>+C20*1</f>
        <v>6</v>
      </c>
      <c r="E20" s="3"/>
      <c r="F20" s="3"/>
      <c r="H20" s="3"/>
      <c r="I20" s="3"/>
      <c r="J20" s="3"/>
      <c r="K20" s="3"/>
      <c r="L20" s="3"/>
      <c r="M20" s="3"/>
    </row>
    <row r="21" spans="1:23" ht="16.5">
      <c r="A21" s="25"/>
      <c r="B21" s="26"/>
      <c r="C21" s="21">
        <v>0</v>
      </c>
      <c r="D21" s="22">
        <f>+C21*0.025</f>
        <v>0</v>
      </c>
      <c r="E21" s="3"/>
      <c r="F21" s="3"/>
      <c r="H21"/>
    </row>
    <row r="22" spans="1:23" ht="16.5">
      <c r="A22" s="49" t="s">
        <v>21</v>
      </c>
      <c r="B22" s="50"/>
      <c r="C22" s="29"/>
      <c r="D22" s="30">
        <f>SUM(D14:D21)</f>
        <v>91</v>
      </c>
      <c r="E22" s="3"/>
      <c r="F22" s="3"/>
      <c r="H22"/>
    </row>
    <row r="23" spans="1:23" s="13" customFormat="1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3" ht="16.5">
      <c r="H24"/>
      <c r="W24" s="13"/>
    </row>
    <row r="25" spans="1:23" ht="16.5">
      <c r="H25"/>
      <c r="U25" s="13"/>
      <c r="V25" s="13"/>
    </row>
    <row r="26" spans="1:23">
      <c r="H26"/>
    </row>
    <row r="27" spans="1:23" ht="18" customHeight="1">
      <c r="H27"/>
    </row>
    <row r="28" spans="1:23">
      <c r="H28"/>
    </row>
    <row r="29" spans="1:23">
      <c r="H29"/>
    </row>
  </sheetData>
  <mergeCells count="3">
    <mergeCell ref="A2:N2"/>
    <mergeCell ref="A13:D13"/>
    <mergeCell ref="A22:B22"/>
  </mergeCells>
  <pageMargins left="0.7" right="0.7" top="0.75" bottom="0.75" header="0.3" footer="0.3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3EC26-8287-4DF0-A596-C62A0DB8C29F}">
  <dimension ref="A1:W29"/>
  <sheetViews>
    <sheetView workbookViewId="0">
      <selection activeCell="H35" sqref="H35"/>
    </sheetView>
  </sheetViews>
  <sheetFormatPr defaultRowHeight="15"/>
  <cols>
    <col min="1" max="1" width="24.140625" customWidth="1"/>
    <col min="3" max="4" width="9.42578125" bestFit="1" customWidth="1"/>
    <col min="8" max="8" width="9.140625" style="39"/>
  </cols>
  <sheetData>
    <row r="1" spans="1:15" ht="17.25" thickBot="1">
      <c r="A1" s="1" t="s">
        <v>70</v>
      </c>
      <c r="B1" s="2"/>
      <c r="C1" s="3"/>
      <c r="D1" s="3"/>
      <c r="E1" s="3"/>
      <c r="F1" s="3"/>
      <c r="G1" s="3"/>
      <c r="H1" s="36"/>
      <c r="I1" s="3"/>
      <c r="J1" s="3"/>
      <c r="K1" s="3"/>
      <c r="L1" s="3"/>
      <c r="M1" s="3"/>
      <c r="N1" s="4" t="s">
        <v>0</v>
      </c>
    </row>
    <row r="2" spans="1:15" ht="17.25" thickBot="1">
      <c r="A2" s="51" t="s">
        <v>1</v>
      </c>
      <c r="B2" s="52"/>
      <c r="C2" s="52"/>
      <c r="D2" s="52"/>
      <c r="E2" s="52"/>
      <c r="F2" s="52"/>
      <c r="G2" s="52"/>
      <c r="H2" s="55"/>
      <c r="I2" s="52"/>
      <c r="J2" s="52"/>
      <c r="K2" s="52"/>
      <c r="L2" s="52"/>
      <c r="M2" s="52"/>
      <c r="N2" s="52"/>
      <c r="O2" s="35"/>
    </row>
    <row r="3" spans="1:15" ht="66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37" t="s">
        <v>60</v>
      </c>
      <c r="I3" s="6" t="s">
        <v>51</v>
      </c>
      <c r="J3" s="6" t="s">
        <v>52</v>
      </c>
      <c r="K3" s="6" t="s">
        <v>8</v>
      </c>
      <c r="L3" s="34"/>
      <c r="M3" s="6" t="s">
        <v>9</v>
      </c>
      <c r="N3" s="6" t="s">
        <v>10</v>
      </c>
      <c r="O3" s="7" t="s">
        <v>11</v>
      </c>
    </row>
    <row r="4" spans="1:15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41">
        <v>0</v>
      </c>
      <c r="I4" s="9">
        <v>0</v>
      </c>
      <c r="J4" s="9">
        <v>0</v>
      </c>
      <c r="K4" s="10">
        <f>SUM(C4:J4)</f>
        <v>0</v>
      </c>
      <c r="L4" s="34"/>
      <c r="M4" s="9">
        <v>24</v>
      </c>
      <c r="N4" s="11">
        <f>IF(K4&gt;M4,K4-M4,0)</f>
        <v>0</v>
      </c>
      <c r="O4" s="12">
        <f>IF(M4&gt;K4,M4-K4,0)</f>
        <v>24</v>
      </c>
    </row>
    <row r="5" spans="1:15" ht="16.5">
      <c r="A5" s="8" t="s">
        <v>13</v>
      </c>
      <c r="B5" s="9">
        <v>0</v>
      </c>
      <c r="C5" s="9">
        <v>0</v>
      </c>
      <c r="D5" s="9">
        <v>39</v>
      </c>
      <c r="E5" s="9">
        <v>0</v>
      </c>
      <c r="F5" s="9">
        <v>0</v>
      </c>
      <c r="G5" s="9">
        <v>0</v>
      </c>
      <c r="H5" s="41">
        <v>0</v>
      </c>
      <c r="I5" s="9">
        <v>0</v>
      </c>
      <c r="J5" s="9">
        <v>0</v>
      </c>
      <c r="K5" s="10">
        <f>SUM(C5:J5)</f>
        <v>39</v>
      </c>
      <c r="L5" s="34"/>
      <c r="M5" s="9">
        <v>39</v>
      </c>
      <c r="N5" s="11">
        <f>IF(K5&gt;M5,K5-M5,0)</f>
        <v>0</v>
      </c>
      <c r="O5" s="12">
        <f>IF(M5&gt;K5,M5-K5,0)</f>
        <v>0</v>
      </c>
    </row>
    <row r="6" spans="1:15" ht="16.5">
      <c r="A6" s="31" t="s">
        <v>31</v>
      </c>
      <c r="B6" s="9">
        <v>496</v>
      </c>
      <c r="C6" s="9">
        <f>20+21+14+20+154+29+29+195+29+20+96+32+20+32+21+49+20+52+165</f>
        <v>1018</v>
      </c>
      <c r="D6" s="9">
        <v>0</v>
      </c>
      <c r="E6" s="9">
        <v>0</v>
      </c>
      <c r="F6" s="9">
        <v>235</v>
      </c>
      <c r="G6" s="9">
        <v>0</v>
      </c>
      <c r="H6" s="41">
        <v>119</v>
      </c>
      <c r="I6" s="9">
        <v>0</v>
      </c>
      <c r="J6" s="9">
        <v>0</v>
      </c>
      <c r="K6" s="10">
        <f>SUM(B6:I6)</f>
        <v>1868</v>
      </c>
      <c r="L6" s="34"/>
      <c r="M6" s="9">
        <v>1750</v>
      </c>
      <c r="N6" s="11">
        <f>IF(K6&gt;M6,K6-M6,0)</f>
        <v>118</v>
      </c>
      <c r="O6" s="12">
        <f>IF(M6&gt;K6,M6-K6,0)</f>
        <v>0</v>
      </c>
    </row>
    <row r="7" spans="1:15" ht="16.5" hidden="1">
      <c r="A7" s="31" t="s">
        <v>25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41">
        <v>0</v>
      </c>
      <c r="I7" s="9">
        <v>0</v>
      </c>
      <c r="J7" s="9">
        <v>0</v>
      </c>
      <c r="K7" s="10">
        <f>SUM(B7:J7)</f>
        <v>0</v>
      </c>
      <c r="L7" s="34"/>
      <c r="M7" s="9">
        <v>0</v>
      </c>
      <c r="N7" s="11">
        <f>IF(K7&gt;M7,K7-M7,0)</f>
        <v>0</v>
      </c>
      <c r="O7" s="12">
        <f>IF(M7&gt;K7,M7-K7,0)</f>
        <v>0</v>
      </c>
    </row>
    <row r="8" spans="1:15" s="13" customFormat="1" ht="16.5" hidden="1" customHeight="1">
      <c r="A8" t="s">
        <v>25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41"/>
      <c r="I8" s="9"/>
      <c r="J8" s="9"/>
      <c r="K8" s="10">
        <f t="shared" ref="K8" si="0">+H8+G8+F8+E8+D8+C8</f>
        <v>0</v>
      </c>
      <c r="L8" s="34"/>
      <c r="M8" s="9">
        <v>0</v>
      </c>
      <c r="N8" s="11">
        <f t="shared" ref="N8" si="1">IF(K8&gt;M8,K8-M8,0)</f>
        <v>0</v>
      </c>
      <c r="O8" s="12">
        <f t="shared" ref="O8:O9" si="2">IF(M8&gt;K8,M8-K8,0)</f>
        <v>0</v>
      </c>
    </row>
    <row r="9" spans="1:15" s="13" customFormat="1" ht="16.5" hidden="1" customHeight="1">
      <c r="A9" s="31" t="s">
        <v>25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41"/>
      <c r="I9" s="9"/>
      <c r="J9" s="9"/>
      <c r="K9" s="10">
        <f>+H9+G9+F9+E9+D9+C9</f>
        <v>0</v>
      </c>
      <c r="L9" s="34"/>
      <c r="M9" s="9">
        <v>0</v>
      </c>
      <c r="N9" s="11">
        <f>IF(K9&gt;M9,K9-M9,0)</f>
        <v>0</v>
      </c>
      <c r="O9" s="12">
        <f t="shared" si="2"/>
        <v>0</v>
      </c>
    </row>
    <row r="10" spans="1:15" ht="18" customHeight="1">
      <c r="A10" s="31" t="s">
        <v>25</v>
      </c>
      <c r="B10" s="9">
        <v>52</v>
      </c>
      <c r="C10" s="9">
        <v>30</v>
      </c>
      <c r="D10" s="9">
        <v>0</v>
      </c>
      <c r="E10" s="9">
        <v>0</v>
      </c>
      <c r="F10" s="9">
        <v>0</v>
      </c>
      <c r="G10" s="9">
        <v>0</v>
      </c>
      <c r="H10" s="41">
        <v>32</v>
      </c>
      <c r="I10" s="9">
        <v>0</v>
      </c>
      <c r="J10" s="9">
        <v>0</v>
      </c>
      <c r="K10" s="40">
        <f>SUM(B10:J10)</f>
        <v>114</v>
      </c>
      <c r="L10" s="34"/>
      <c r="M10" s="9">
        <v>114</v>
      </c>
      <c r="N10" s="11">
        <f t="shared" ref="N10" si="3">IF(K10&gt;M10,K10-M10,0)</f>
        <v>0</v>
      </c>
      <c r="O10" s="12">
        <f>IF(M10&gt;K10,M10-K10,0)</f>
        <v>0</v>
      </c>
    </row>
    <row r="11" spans="1:15" ht="17.25" thickBot="1">
      <c r="A11" s="14"/>
      <c r="B11" s="15">
        <f t="shared" ref="B11:K11" si="4">SUM(B4:B10)</f>
        <v>548</v>
      </c>
      <c r="C11" s="15">
        <f t="shared" si="4"/>
        <v>1048</v>
      </c>
      <c r="D11" s="15">
        <f t="shared" si="4"/>
        <v>39</v>
      </c>
      <c r="E11" s="15">
        <f t="shared" si="4"/>
        <v>0</v>
      </c>
      <c r="F11" s="15">
        <f t="shared" si="4"/>
        <v>235</v>
      </c>
      <c r="G11" s="15">
        <f t="shared" si="4"/>
        <v>0</v>
      </c>
      <c r="H11" s="38">
        <f t="shared" si="4"/>
        <v>151</v>
      </c>
      <c r="I11" s="15">
        <f t="shared" si="4"/>
        <v>0</v>
      </c>
      <c r="J11" s="15">
        <f t="shared" si="4"/>
        <v>0</v>
      </c>
      <c r="K11" s="15">
        <f t="shared" si="4"/>
        <v>2021</v>
      </c>
      <c r="L11" s="16"/>
      <c r="M11" s="15">
        <f>SUM(M4:M10)</f>
        <v>1927</v>
      </c>
      <c r="N11" s="15">
        <f>SUM(N4:N10)</f>
        <v>118</v>
      </c>
      <c r="O11" s="15">
        <f>SUM(O4:O10)</f>
        <v>24</v>
      </c>
    </row>
    <row r="12" spans="1:15" ht="17.25" thickBot="1">
      <c r="A12" s="17"/>
      <c r="B12" s="18"/>
      <c r="C12" s="18"/>
      <c r="D12" s="3"/>
      <c r="E12" s="18"/>
      <c r="F12" s="18"/>
      <c r="G12" s="18"/>
      <c r="I12" s="18"/>
      <c r="J12" s="18"/>
      <c r="K12" s="3"/>
      <c r="L12" s="3"/>
      <c r="M12" s="3"/>
      <c r="N12" s="3"/>
    </row>
    <row r="13" spans="1:15" ht="17.25" thickBot="1">
      <c r="A13" s="46" t="s">
        <v>69</v>
      </c>
      <c r="B13" s="47"/>
      <c r="C13" s="47"/>
      <c r="D13" s="48"/>
      <c r="E13" s="18"/>
      <c r="F13" s="18"/>
      <c r="G13" s="18"/>
      <c r="I13" s="18"/>
      <c r="M13" s="3"/>
      <c r="N13" s="3"/>
    </row>
    <row r="14" spans="1:15" ht="16.5">
      <c r="A14" s="19">
        <v>500</v>
      </c>
      <c r="B14" s="20" t="s">
        <v>18</v>
      </c>
      <c r="C14" s="21"/>
      <c r="D14" s="22">
        <f>A14*C14</f>
        <v>0</v>
      </c>
      <c r="F14" s="3"/>
      <c r="G14" s="3"/>
      <c r="H14" s="36"/>
      <c r="I14" s="3"/>
      <c r="L14" s="3"/>
    </row>
    <row r="15" spans="1:15" ht="16.5">
      <c r="A15" s="23">
        <v>100</v>
      </c>
      <c r="B15" s="24">
        <v>1</v>
      </c>
      <c r="C15" s="21">
        <v>4</v>
      </c>
      <c r="D15" s="22">
        <f t="shared" ref="D15" si="5">A15*C15</f>
        <v>400</v>
      </c>
      <c r="E15" s="3"/>
      <c r="F15" s="3"/>
      <c r="G15" s="3"/>
      <c r="H15" s="36"/>
      <c r="I15" s="3"/>
      <c r="M15" s="3"/>
    </row>
    <row r="16" spans="1:15" ht="16.5">
      <c r="A16" s="23">
        <v>50</v>
      </c>
      <c r="B16" s="24" t="s">
        <v>18</v>
      </c>
      <c r="C16" s="21">
        <v>1</v>
      </c>
      <c r="D16" s="22">
        <f>A16*C16</f>
        <v>50</v>
      </c>
      <c r="E16" s="3"/>
      <c r="F16" s="3"/>
      <c r="G16" s="3"/>
      <c r="H16" s="3"/>
      <c r="I16" s="3"/>
      <c r="J16" s="3"/>
      <c r="K16" s="3"/>
      <c r="L16" s="3"/>
      <c r="M16" s="3"/>
    </row>
    <row r="17" spans="1:23" ht="16.5">
      <c r="A17" s="23">
        <v>20</v>
      </c>
      <c r="B17" s="24" t="s">
        <v>18</v>
      </c>
      <c r="C17" s="21">
        <v>0</v>
      </c>
      <c r="D17" s="22">
        <f>A17*C17</f>
        <v>0</v>
      </c>
      <c r="E17" s="3"/>
      <c r="F17" s="3"/>
      <c r="H17" s="3"/>
      <c r="I17" s="3"/>
      <c r="J17" s="3"/>
      <c r="K17" s="3"/>
      <c r="L17" s="3"/>
      <c r="M17" s="3"/>
      <c r="T17" s="13"/>
      <c r="U17" s="13"/>
    </row>
    <row r="18" spans="1:23" ht="16.5">
      <c r="A18" s="23">
        <v>10</v>
      </c>
      <c r="B18" s="24" t="s">
        <v>18</v>
      </c>
      <c r="C18" s="21">
        <v>5</v>
      </c>
      <c r="D18" s="22">
        <f>A18*C18</f>
        <v>50</v>
      </c>
      <c r="E18" s="3"/>
      <c r="F18" s="3"/>
      <c r="H18" s="3"/>
      <c r="I18" s="3"/>
      <c r="J18" s="3"/>
      <c r="K18" s="3"/>
      <c r="L18" s="3"/>
      <c r="M18" s="3"/>
      <c r="T18" s="13"/>
    </row>
    <row r="19" spans="1:23" ht="16.5">
      <c r="A19" s="23">
        <v>5</v>
      </c>
      <c r="B19" s="24" t="s">
        <v>18</v>
      </c>
      <c r="C19" s="21">
        <v>8</v>
      </c>
      <c r="D19" s="22">
        <f>A19*C19</f>
        <v>40</v>
      </c>
      <c r="E19" s="3"/>
      <c r="F19" s="3"/>
      <c r="H19" s="3"/>
      <c r="I19" s="3"/>
      <c r="J19" s="3"/>
      <c r="K19" s="3"/>
      <c r="L19" s="3"/>
      <c r="M19" s="3"/>
      <c r="W19" s="13"/>
    </row>
    <row r="20" spans="1:23" ht="16.5">
      <c r="A20" s="25" t="s">
        <v>20</v>
      </c>
      <c r="B20" s="26" t="s">
        <v>18</v>
      </c>
      <c r="C20" s="21">
        <v>8</v>
      </c>
      <c r="D20" s="22">
        <f>+C20*1</f>
        <v>8</v>
      </c>
      <c r="E20" s="3"/>
      <c r="F20" s="3"/>
      <c r="H20" s="3"/>
      <c r="I20" s="3"/>
      <c r="J20" s="3"/>
      <c r="K20" s="3"/>
      <c r="L20" s="3"/>
      <c r="M20" s="3"/>
    </row>
    <row r="21" spans="1:23" ht="16.5">
      <c r="A21" s="25"/>
      <c r="B21" s="26"/>
      <c r="C21" s="21">
        <v>0</v>
      </c>
      <c r="D21" s="22">
        <f>+C21*0.025</f>
        <v>0</v>
      </c>
      <c r="E21" s="3"/>
      <c r="F21" s="3"/>
      <c r="H21"/>
    </row>
    <row r="22" spans="1:23" ht="16.5">
      <c r="A22" s="49" t="s">
        <v>21</v>
      </c>
      <c r="B22" s="50"/>
      <c r="C22" s="29"/>
      <c r="D22" s="30">
        <f>SUM(D14:D21)</f>
        <v>548</v>
      </c>
      <c r="E22" s="3"/>
      <c r="F22" s="3"/>
      <c r="H22"/>
    </row>
    <row r="23" spans="1:23" s="13" customFormat="1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3" ht="16.5">
      <c r="H24"/>
      <c r="W24" s="13"/>
    </row>
    <row r="25" spans="1:23" ht="16.5">
      <c r="H25"/>
      <c r="U25" s="13"/>
      <c r="V25" s="13"/>
    </row>
    <row r="26" spans="1:23">
      <c r="H26"/>
    </row>
    <row r="27" spans="1:23" ht="18" customHeight="1">
      <c r="H27"/>
    </row>
    <row r="28" spans="1:23">
      <c r="H28"/>
    </row>
    <row r="29" spans="1:23">
      <c r="H29"/>
    </row>
  </sheetData>
  <mergeCells count="3">
    <mergeCell ref="A2:N2"/>
    <mergeCell ref="A13:D13"/>
    <mergeCell ref="A22:B22"/>
  </mergeCells>
  <pageMargins left="0.7" right="0.7" top="0.75" bottom="0.75" header="0.3" footer="0.3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7CD5-0A96-4925-87D2-243675E52310}">
  <dimension ref="A1:W29"/>
  <sheetViews>
    <sheetView workbookViewId="0">
      <selection activeCell="N30" sqref="N30"/>
    </sheetView>
  </sheetViews>
  <sheetFormatPr defaultRowHeight="15"/>
  <cols>
    <col min="1" max="1" width="24.140625" customWidth="1"/>
    <col min="3" max="4" width="9.42578125" bestFit="1" customWidth="1"/>
    <col min="8" max="8" width="9.140625" style="39"/>
  </cols>
  <sheetData>
    <row r="1" spans="1:15" ht="17.25" thickBot="1">
      <c r="A1" s="1" t="s">
        <v>73</v>
      </c>
      <c r="B1" s="2"/>
      <c r="C1" s="3"/>
      <c r="D1" s="3"/>
      <c r="E1" s="3"/>
      <c r="F1" s="3"/>
      <c r="G1" s="3"/>
      <c r="H1" s="36"/>
      <c r="I1" s="3"/>
      <c r="J1" s="3"/>
      <c r="K1" s="3"/>
      <c r="L1" s="3"/>
      <c r="M1" s="3"/>
      <c r="N1" s="4" t="s">
        <v>0</v>
      </c>
    </row>
    <row r="2" spans="1:15" ht="17.25" thickBot="1">
      <c r="A2" s="51" t="s">
        <v>1</v>
      </c>
      <c r="B2" s="52"/>
      <c r="C2" s="52"/>
      <c r="D2" s="52"/>
      <c r="E2" s="52"/>
      <c r="F2" s="52"/>
      <c r="G2" s="52"/>
      <c r="H2" s="55"/>
      <c r="I2" s="52"/>
      <c r="J2" s="52"/>
      <c r="K2" s="52"/>
      <c r="L2" s="52"/>
      <c r="M2" s="52"/>
      <c r="N2" s="52"/>
      <c r="O2" s="35"/>
    </row>
    <row r="3" spans="1:15" ht="66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37" t="s">
        <v>60</v>
      </c>
      <c r="I3" s="6" t="s">
        <v>51</v>
      </c>
      <c r="J3" s="6" t="s">
        <v>52</v>
      </c>
      <c r="K3" s="6" t="s">
        <v>8</v>
      </c>
      <c r="L3" s="34"/>
      <c r="M3" s="6" t="s">
        <v>9</v>
      </c>
      <c r="N3" s="6" t="s">
        <v>10</v>
      </c>
      <c r="O3" s="7" t="s">
        <v>11</v>
      </c>
    </row>
    <row r="4" spans="1:15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41">
        <v>0</v>
      </c>
      <c r="I4" s="9">
        <v>0</v>
      </c>
      <c r="J4" s="9">
        <v>0</v>
      </c>
      <c r="K4" s="10">
        <f>SUM(C4:J4)</f>
        <v>0</v>
      </c>
      <c r="L4" s="34"/>
      <c r="M4" s="9">
        <v>-9</v>
      </c>
      <c r="N4" s="11">
        <f>IF(K4&gt;M4,K4-M4,0)</f>
        <v>9</v>
      </c>
      <c r="O4" s="12">
        <f>IF(M4&gt;K4,M4-K4,0)</f>
        <v>0</v>
      </c>
    </row>
    <row r="5" spans="1:15" ht="16.5">
      <c r="A5" s="8" t="s">
        <v>13</v>
      </c>
      <c r="B5" s="9">
        <v>0</v>
      </c>
      <c r="C5" s="9">
        <v>0</v>
      </c>
      <c r="D5" s="9">
        <v>39</v>
      </c>
      <c r="E5" s="9">
        <v>0</v>
      </c>
      <c r="F5" s="9">
        <v>0</v>
      </c>
      <c r="G5" s="9">
        <v>0</v>
      </c>
      <c r="H5" s="41">
        <v>0</v>
      </c>
      <c r="I5" s="9">
        <v>0</v>
      </c>
      <c r="J5" s="9">
        <v>0</v>
      </c>
      <c r="K5" s="10">
        <f>SUM(C5:J5)</f>
        <v>39</v>
      </c>
      <c r="L5" s="34"/>
      <c r="M5" s="9">
        <v>0</v>
      </c>
      <c r="N5" s="11">
        <f>IF(K5&gt;M5,K5-M5,0)</f>
        <v>39</v>
      </c>
      <c r="O5" s="12">
        <f>IF(M5&gt;K5,M5-K5,0)</f>
        <v>0</v>
      </c>
    </row>
    <row r="6" spans="1:15" ht="17.25" customHeight="1">
      <c r="A6" s="42" t="s">
        <v>72</v>
      </c>
      <c r="B6" s="9">
        <v>688</v>
      </c>
      <c r="C6" s="9">
        <f>29+20+36+96+193+24+40+116+14+29+29+96+26+32+32+24+149+32+115</f>
        <v>1132</v>
      </c>
      <c r="D6" s="9">
        <v>0</v>
      </c>
      <c r="E6" s="9">
        <v>0</v>
      </c>
      <c r="F6" s="9">
        <v>252</v>
      </c>
      <c r="G6" s="9">
        <v>0</v>
      </c>
      <c r="H6" s="41">
        <v>93</v>
      </c>
      <c r="I6" s="9">
        <v>0</v>
      </c>
      <c r="J6" s="9">
        <v>0</v>
      </c>
      <c r="K6" s="10">
        <f>SUM(B6:I6)</f>
        <v>2165</v>
      </c>
      <c r="L6" s="34"/>
      <c r="M6" s="9">
        <v>1987</v>
      </c>
      <c r="N6" s="11">
        <f>IF(K6&gt;M6,K6-M6,0)</f>
        <v>178</v>
      </c>
      <c r="O6" s="12">
        <f>IF(M6&gt;K6,M6-K6,0)</f>
        <v>0</v>
      </c>
    </row>
    <row r="7" spans="1:15" ht="16.5" hidden="1">
      <c r="A7" s="31" t="s">
        <v>25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41">
        <v>0</v>
      </c>
      <c r="I7" s="9">
        <v>0</v>
      </c>
      <c r="J7" s="9">
        <v>0</v>
      </c>
      <c r="K7" s="10">
        <f>SUM(B7:J7)</f>
        <v>0</v>
      </c>
      <c r="L7" s="34"/>
      <c r="M7" s="9">
        <v>0</v>
      </c>
      <c r="N7" s="11">
        <f>IF(K7&gt;M7,K7-M7,0)</f>
        <v>0</v>
      </c>
      <c r="O7" s="12">
        <f>IF(M7&gt;K7,M7-K7,0)</f>
        <v>0</v>
      </c>
    </row>
    <row r="8" spans="1:15" s="13" customFormat="1" ht="16.5" hidden="1" customHeight="1">
      <c r="A8" t="s">
        <v>25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41"/>
      <c r="I8" s="9"/>
      <c r="J8" s="9"/>
      <c r="K8" s="10">
        <f t="shared" ref="K8" si="0">+H8+G8+F8+E8+D8+C8</f>
        <v>0</v>
      </c>
      <c r="L8" s="34"/>
      <c r="M8" s="9">
        <v>0</v>
      </c>
      <c r="N8" s="11">
        <f t="shared" ref="N8" si="1">IF(K8&gt;M8,K8-M8,0)</f>
        <v>0</v>
      </c>
      <c r="O8" s="12">
        <f t="shared" ref="O8:O9" si="2">IF(M8&gt;K8,M8-K8,0)</f>
        <v>0</v>
      </c>
    </row>
    <row r="9" spans="1:15" s="13" customFormat="1" ht="16.5" hidden="1" customHeight="1">
      <c r="A9" s="31" t="s">
        <v>25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41"/>
      <c r="I9" s="9"/>
      <c r="J9" s="9"/>
      <c r="K9" s="10">
        <f>+H9+G9+F9+E9+D9+C9</f>
        <v>0</v>
      </c>
      <c r="L9" s="34"/>
      <c r="M9" s="9">
        <v>0</v>
      </c>
      <c r="N9" s="11">
        <f>IF(K9&gt;M9,K9-M9,0)</f>
        <v>0</v>
      </c>
      <c r="O9" s="12">
        <f t="shared" si="2"/>
        <v>0</v>
      </c>
    </row>
    <row r="10" spans="1:15" ht="18" customHeight="1">
      <c r="A10" s="31" t="s">
        <v>25</v>
      </c>
      <c r="B10" s="9">
        <v>55</v>
      </c>
      <c r="C10" s="9">
        <f>20+20+46+22+42+7+47+15+128+32+20+26+20+20+41+116+13+13+32+20+20+15+12+24+52</f>
        <v>823</v>
      </c>
      <c r="D10" s="9">
        <v>0</v>
      </c>
      <c r="E10" s="9">
        <v>0</v>
      </c>
      <c r="F10" s="9">
        <v>64</v>
      </c>
      <c r="G10" s="9">
        <v>0</v>
      </c>
      <c r="H10" s="41">
        <v>0</v>
      </c>
      <c r="I10" s="9">
        <v>0</v>
      </c>
      <c r="J10" s="9">
        <v>0</v>
      </c>
      <c r="K10" s="40">
        <f>SUM(B10:J10)</f>
        <v>942</v>
      </c>
      <c r="L10" s="34"/>
      <c r="M10" s="9">
        <f>446+481</f>
        <v>927</v>
      </c>
      <c r="N10" s="11">
        <f t="shared" ref="N10" si="3">IF(K10&gt;M10,K10-M10,0)</f>
        <v>15</v>
      </c>
      <c r="O10" s="12">
        <f>IF(M10&gt;K10,M10-K10,0)</f>
        <v>0</v>
      </c>
    </row>
    <row r="11" spans="1:15" ht="17.25" thickBot="1">
      <c r="A11" s="14"/>
      <c r="B11" s="15">
        <f t="shared" ref="B11:K11" si="4">SUM(B4:B10)</f>
        <v>743</v>
      </c>
      <c r="C11" s="15">
        <f t="shared" si="4"/>
        <v>1955</v>
      </c>
      <c r="D11" s="15">
        <f t="shared" si="4"/>
        <v>39</v>
      </c>
      <c r="E11" s="15">
        <f t="shared" si="4"/>
        <v>0</v>
      </c>
      <c r="F11" s="15">
        <f t="shared" si="4"/>
        <v>316</v>
      </c>
      <c r="G11" s="15">
        <f t="shared" si="4"/>
        <v>0</v>
      </c>
      <c r="H11" s="38">
        <f t="shared" si="4"/>
        <v>93</v>
      </c>
      <c r="I11" s="15">
        <f t="shared" si="4"/>
        <v>0</v>
      </c>
      <c r="J11" s="15">
        <f t="shared" si="4"/>
        <v>0</v>
      </c>
      <c r="K11" s="15">
        <f t="shared" si="4"/>
        <v>3146</v>
      </c>
      <c r="L11" s="16"/>
      <c r="M11" s="15">
        <f>SUM(M4:M10)</f>
        <v>2905</v>
      </c>
      <c r="N11" s="15">
        <f>SUM(N4:N10)</f>
        <v>241</v>
      </c>
      <c r="O11" s="15">
        <f>SUM(O4:O10)</f>
        <v>0</v>
      </c>
    </row>
    <row r="12" spans="1:15" ht="17.25" thickBot="1">
      <c r="A12" s="17"/>
      <c r="B12" s="18"/>
      <c r="C12" s="18"/>
      <c r="D12" s="3"/>
      <c r="E12" s="18"/>
      <c r="F12" s="18"/>
      <c r="G12" s="18"/>
      <c r="I12" s="18"/>
      <c r="J12" s="18"/>
      <c r="K12" s="3"/>
      <c r="L12" s="3"/>
      <c r="M12" s="3"/>
      <c r="N12" s="3"/>
    </row>
    <row r="13" spans="1:15" ht="17.25" thickBot="1">
      <c r="A13" s="46" t="s">
        <v>71</v>
      </c>
      <c r="B13" s="47"/>
      <c r="C13" s="47"/>
      <c r="D13" s="48"/>
      <c r="E13" s="18"/>
      <c r="F13" s="18"/>
      <c r="G13" s="18"/>
      <c r="I13" s="18"/>
      <c r="M13" s="3"/>
      <c r="N13" s="3"/>
    </row>
    <row r="14" spans="1:15" ht="16.5">
      <c r="A14" s="19">
        <v>500</v>
      </c>
      <c r="B14" s="20" t="s">
        <v>18</v>
      </c>
      <c r="C14" s="21"/>
      <c r="D14" s="22">
        <f>A14*C14</f>
        <v>0</v>
      </c>
      <c r="F14" s="3"/>
      <c r="G14" s="3"/>
      <c r="H14" s="36"/>
      <c r="I14" s="3"/>
      <c r="L14" s="3"/>
    </row>
    <row r="15" spans="1:15" ht="16.5">
      <c r="A15" s="23">
        <v>100</v>
      </c>
      <c r="B15" s="24">
        <v>1</v>
      </c>
      <c r="C15" s="21">
        <v>6</v>
      </c>
      <c r="D15" s="22">
        <f t="shared" ref="D15" si="5">A15*C15</f>
        <v>600</v>
      </c>
      <c r="E15" s="3"/>
      <c r="F15" s="3"/>
      <c r="G15" s="3"/>
      <c r="H15" s="36"/>
      <c r="I15" s="3"/>
      <c r="M15" s="3"/>
    </row>
    <row r="16" spans="1:15" ht="16.5">
      <c r="A16" s="23">
        <v>50</v>
      </c>
      <c r="B16" s="24" t="s">
        <v>18</v>
      </c>
      <c r="C16" s="21">
        <v>1</v>
      </c>
      <c r="D16" s="22">
        <f>A16*C16</f>
        <v>50</v>
      </c>
      <c r="E16" s="3"/>
      <c r="F16" s="3"/>
      <c r="G16" s="3"/>
      <c r="H16" s="3"/>
      <c r="I16" s="3"/>
      <c r="J16" s="3"/>
      <c r="K16" s="3"/>
      <c r="L16" s="3"/>
      <c r="M16" s="3"/>
    </row>
    <row r="17" spans="1:23" ht="16.5">
      <c r="A17" s="23">
        <v>20</v>
      </c>
      <c r="B17" s="24" t="s">
        <v>18</v>
      </c>
      <c r="C17" s="21">
        <v>0</v>
      </c>
      <c r="D17" s="22">
        <f>A17*C17</f>
        <v>0</v>
      </c>
      <c r="E17" s="3"/>
      <c r="F17" s="3"/>
      <c r="H17" s="3"/>
      <c r="I17" s="3"/>
      <c r="J17" s="3"/>
      <c r="K17" s="3"/>
      <c r="L17" s="3"/>
      <c r="M17" s="3"/>
      <c r="T17" s="13"/>
      <c r="U17" s="13"/>
    </row>
    <row r="18" spans="1:23" ht="16.5">
      <c r="A18" s="23">
        <v>10</v>
      </c>
      <c r="B18" s="24" t="s">
        <v>18</v>
      </c>
      <c r="C18" s="21">
        <v>5</v>
      </c>
      <c r="D18" s="22">
        <f>A18*C18</f>
        <v>50</v>
      </c>
      <c r="E18" s="3"/>
      <c r="F18" s="3"/>
      <c r="H18" s="3"/>
      <c r="I18" s="3"/>
      <c r="J18" s="3"/>
      <c r="K18" s="3"/>
      <c r="L18" s="3"/>
      <c r="M18" s="3"/>
      <c r="T18" s="13"/>
    </row>
    <row r="19" spans="1:23" ht="16.5">
      <c r="A19" s="23">
        <v>5</v>
      </c>
      <c r="B19" s="24" t="s">
        <v>18</v>
      </c>
      <c r="C19" s="21">
        <v>8</v>
      </c>
      <c r="D19" s="22">
        <f>A19*C19</f>
        <v>40</v>
      </c>
      <c r="E19" s="3"/>
      <c r="F19" s="3"/>
      <c r="H19" s="3"/>
      <c r="I19" s="3"/>
      <c r="J19" s="3"/>
      <c r="K19" s="3"/>
      <c r="L19" s="3"/>
      <c r="M19" s="3"/>
      <c r="W19" s="13"/>
    </row>
    <row r="20" spans="1:23" ht="16.5">
      <c r="A20" s="25" t="s">
        <v>20</v>
      </c>
      <c r="B20" s="26" t="s">
        <v>18</v>
      </c>
      <c r="C20" s="21">
        <v>3</v>
      </c>
      <c r="D20" s="22">
        <f>+C20*1</f>
        <v>3</v>
      </c>
      <c r="E20" s="3"/>
      <c r="F20" s="3"/>
      <c r="H20" s="3"/>
      <c r="I20" s="3"/>
      <c r="J20" s="3"/>
      <c r="K20" s="3"/>
      <c r="L20" s="3"/>
      <c r="M20" s="3"/>
    </row>
    <row r="21" spans="1:23" ht="16.5">
      <c r="A21" s="25"/>
      <c r="B21" s="26"/>
      <c r="C21" s="21">
        <v>0</v>
      </c>
      <c r="D21" s="22">
        <f>+C21*0.025</f>
        <v>0</v>
      </c>
      <c r="E21" s="3"/>
      <c r="F21" s="3"/>
      <c r="H21"/>
    </row>
    <row r="22" spans="1:23" ht="16.5">
      <c r="A22" s="49" t="s">
        <v>21</v>
      </c>
      <c r="B22" s="50"/>
      <c r="C22" s="29"/>
      <c r="D22" s="30">
        <f>SUM(D14:D21)</f>
        <v>743</v>
      </c>
      <c r="E22" s="3"/>
      <c r="F22" s="3"/>
      <c r="H22"/>
    </row>
    <row r="23" spans="1:23" s="13" customFormat="1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3" ht="16.5">
      <c r="H24"/>
      <c r="W24" s="13"/>
    </row>
    <row r="25" spans="1:23" ht="16.5">
      <c r="H25"/>
      <c r="U25" s="13"/>
      <c r="V25" s="13"/>
    </row>
    <row r="26" spans="1:23">
      <c r="H26"/>
    </row>
    <row r="27" spans="1:23" ht="18" customHeight="1">
      <c r="H27"/>
    </row>
    <row r="28" spans="1:23">
      <c r="H28"/>
    </row>
    <row r="29" spans="1:23">
      <c r="H29"/>
    </row>
  </sheetData>
  <mergeCells count="3">
    <mergeCell ref="A2:N2"/>
    <mergeCell ref="A13:D13"/>
    <mergeCell ref="A22:B22"/>
  </mergeCells>
  <pageMargins left="0.7" right="0.7" top="0.75" bottom="0.75" header="0.3" footer="0.3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9733-D2E6-4637-98D6-115633C2CFA1}">
  <sheetPr>
    <pageSetUpPr fitToPage="1"/>
  </sheetPr>
  <dimension ref="A1:W29"/>
  <sheetViews>
    <sheetView workbookViewId="0"/>
  </sheetViews>
  <sheetFormatPr defaultRowHeight="15"/>
  <cols>
    <col min="1" max="1" width="29.85546875" bestFit="1" customWidth="1"/>
    <col min="3" max="4" width="9.42578125" bestFit="1" customWidth="1"/>
    <col min="8" max="8" width="9.140625" style="39"/>
  </cols>
  <sheetData>
    <row r="1" spans="1:15" ht="17.25" thickBot="1">
      <c r="A1" s="1" t="s">
        <v>82</v>
      </c>
      <c r="B1" s="2"/>
      <c r="C1" s="3"/>
      <c r="D1" s="3"/>
      <c r="E1" s="3"/>
      <c r="F1" s="3"/>
      <c r="G1" s="3"/>
      <c r="H1" s="36"/>
      <c r="I1" s="3"/>
      <c r="J1" s="3"/>
      <c r="K1" s="3"/>
      <c r="L1" s="3"/>
      <c r="M1" s="3"/>
      <c r="N1" s="4" t="s">
        <v>0</v>
      </c>
    </row>
    <row r="2" spans="1:15" ht="17.25" thickBot="1">
      <c r="A2" s="51" t="s">
        <v>1</v>
      </c>
      <c r="B2" s="52"/>
      <c r="C2" s="52"/>
      <c r="D2" s="52"/>
      <c r="E2" s="52"/>
      <c r="F2" s="52"/>
      <c r="G2" s="52"/>
      <c r="H2" s="55"/>
      <c r="I2" s="52"/>
      <c r="J2" s="52"/>
      <c r="K2" s="52"/>
      <c r="L2" s="52"/>
      <c r="M2" s="52"/>
      <c r="N2" s="52"/>
      <c r="O2" s="35"/>
    </row>
    <row r="3" spans="1:15" ht="66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37" t="s">
        <v>60</v>
      </c>
      <c r="I3" s="6" t="s">
        <v>51</v>
      </c>
      <c r="J3" s="6" t="s">
        <v>52</v>
      </c>
      <c r="K3" s="6" t="s">
        <v>8</v>
      </c>
      <c r="L3" s="34"/>
      <c r="M3" s="6" t="s">
        <v>9</v>
      </c>
      <c r="N3" s="6" t="s">
        <v>10</v>
      </c>
      <c r="O3" s="7" t="s">
        <v>11</v>
      </c>
    </row>
    <row r="4" spans="1:15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10">
        <f>SUM(C4:J4)</f>
        <v>0</v>
      </c>
      <c r="L4" s="34"/>
      <c r="M4" s="9">
        <v>0</v>
      </c>
      <c r="N4" s="11">
        <f>IF(K4&gt;M4,K4-M4,0)</f>
        <v>0</v>
      </c>
      <c r="O4" s="12">
        <f>IF(M4&gt;K4,M4-K4,0)</f>
        <v>0</v>
      </c>
    </row>
    <row r="5" spans="1:15" ht="16.5">
      <c r="A5" s="8" t="s">
        <v>13</v>
      </c>
      <c r="B5" s="9">
        <v>0</v>
      </c>
      <c r="C5" s="9">
        <v>0</v>
      </c>
      <c r="D5" s="9">
        <v>64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10">
        <f>SUM(C5:J5)</f>
        <v>64</v>
      </c>
      <c r="L5" s="34"/>
      <c r="M5" s="9">
        <v>64</v>
      </c>
      <c r="N5" s="11">
        <f>IF(K5&gt;M5,K5-M5,0)</f>
        <v>0</v>
      </c>
      <c r="O5" s="12">
        <f>IF(M5&gt;K5,M5-K5,0)</f>
        <v>0</v>
      </c>
    </row>
    <row r="6" spans="1:15" ht="16.5">
      <c r="A6" t="s">
        <v>25</v>
      </c>
      <c r="B6" s="9">
        <v>67</v>
      </c>
      <c r="C6" s="9">
        <f>20+105+20+10+90+20+32+52+122+72+32+77+14</f>
        <v>666</v>
      </c>
      <c r="D6" s="9">
        <v>0</v>
      </c>
      <c r="E6" s="9">
        <v>0</v>
      </c>
      <c r="F6" s="9">
        <v>32</v>
      </c>
      <c r="G6" s="9">
        <v>0</v>
      </c>
      <c r="H6" s="9">
        <v>160</v>
      </c>
      <c r="I6" s="9">
        <v>0</v>
      </c>
      <c r="J6" s="9">
        <v>0</v>
      </c>
      <c r="K6" s="10">
        <f>SUM(B6:I6)</f>
        <v>925</v>
      </c>
      <c r="L6" s="34"/>
      <c r="M6" s="9">
        <v>873</v>
      </c>
      <c r="N6" s="11">
        <f>IF(K6&gt;M6,K6-M6,0)</f>
        <v>52</v>
      </c>
      <c r="O6" s="12">
        <f>IF(M6&gt;K6,M6-K6,0)</f>
        <v>0</v>
      </c>
    </row>
    <row r="7" spans="1:15" ht="16.5" hidden="1">
      <c r="A7" s="31" t="s">
        <v>25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10">
        <f>SUM(B7:J7)</f>
        <v>0</v>
      </c>
      <c r="L7" s="34"/>
      <c r="M7" s="9">
        <v>0</v>
      </c>
      <c r="N7" s="11">
        <f>IF(K7&gt;M7,K7-M7,0)</f>
        <v>0</v>
      </c>
      <c r="O7" s="12">
        <f>IF(M7&gt;K7,M7-K7,0)</f>
        <v>0</v>
      </c>
    </row>
    <row r="8" spans="1:15" s="13" customFormat="1" ht="17.25" hidden="1" customHeight="1">
      <c r="A8" t="s">
        <v>25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10">
        <f t="shared" ref="K8" si="0">+H8+G8+F8+E8+D8+C8</f>
        <v>0</v>
      </c>
      <c r="L8" s="34"/>
      <c r="M8" s="9">
        <v>0</v>
      </c>
      <c r="N8" s="11">
        <f t="shared" ref="N8:N9" si="1">IF(K8&gt;M8,K8-M8,0)</f>
        <v>0</v>
      </c>
      <c r="O8" s="12">
        <f t="shared" ref="O8" si="2">IF(M8&gt;K8,M8-K8,0)</f>
        <v>0</v>
      </c>
    </row>
    <row r="9" spans="1:15" ht="18" customHeight="1">
      <c r="A9" t="s">
        <v>24</v>
      </c>
      <c r="B9" s="9">
        <v>226</v>
      </c>
      <c r="C9" s="9">
        <v>918</v>
      </c>
      <c r="D9" s="9">
        <v>0</v>
      </c>
      <c r="E9" s="9">
        <v>0</v>
      </c>
      <c r="F9" s="9">
        <v>64</v>
      </c>
      <c r="G9" s="9">
        <v>0</v>
      </c>
      <c r="H9" s="9">
        <v>256</v>
      </c>
      <c r="I9" s="9">
        <v>0</v>
      </c>
      <c r="J9" s="9">
        <v>0</v>
      </c>
      <c r="K9" s="40">
        <f>SUM(B9:J9)</f>
        <v>1464</v>
      </c>
      <c r="L9" s="34"/>
      <c r="M9" s="9">
        <v>1400</v>
      </c>
      <c r="N9" s="11">
        <f t="shared" si="1"/>
        <v>64</v>
      </c>
      <c r="O9" s="12">
        <f>IF(M9&gt;K9,M9-K9,0)</f>
        <v>0</v>
      </c>
    </row>
    <row r="10" spans="1:15" ht="18" customHeight="1">
      <c r="A10" t="s">
        <v>36</v>
      </c>
      <c r="B10" s="9">
        <v>136</v>
      </c>
      <c r="C10" s="9">
        <f>24+27+20+15+52+32+32+32+124+54+58+22+40+22+24+96+106+20</f>
        <v>800</v>
      </c>
      <c r="D10" s="9">
        <v>0</v>
      </c>
      <c r="E10" s="9">
        <v>0</v>
      </c>
      <c r="F10" s="9">
        <v>0</v>
      </c>
      <c r="G10" s="9">
        <v>0</v>
      </c>
      <c r="H10" s="9">
        <v>96</v>
      </c>
      <c r="I10" s="9">
        <v>0</v>
      </c>
      <c r="J10" s="9">
        <v>0</v>
      </c>
      <c r="K10" s="40">
        <f>SUM(B10:J10)</f>
        <v>1032</v>
      </c>
      <c r="L10" s="34"/>
      <c r="M10" s="9">
        <v>1056</v>
      </c>
      <c r="N10" s="11">
        <f t="shared" ref="N10" si="3">IF(K10&gt;M10,K10-M10,0)</f>
        <v>0</v>
      </c>
      <c r="O10" s="12">
        <f>IF(M10&gt;K10,M10-K10,0)</f>
        <v>24</v>
      </c>
    </row>
    <row r="11" spans="1:15" ht="17.25" thickBot="1">
      <c r="A11" s="14"/>
      <c r="B11" s="15">
        <f t="shared" ref="B11:K11" si="4">SUM(B4:B10)</f>
        <v>429</v>
      </c>
      <c r="C11" s="15">
        <f t="shared" si="4"/>
        <v>2384</v>
      </c>
      <c r="D11" s="15">
        <f t="shared" si="4"/>
        <v>64</v>
      </c>
      <c r="E11" s="15">
        <f t="shared" si="4"/>
        <v>0</v>
      </c>
      <c r="F11" s="15">
        <f t="shared" si="4"/>
        <v>96</v>
      </c>
      <c r="G11" s="15">
        <f t="shared" si="4"/>
        <v>0</v>
      </c>
      <c r="H11" s="38">
        <f t="shared" si="4"/>
        <v>512</v>
      </c>
      <c r="I11" s="15">
        <f t="shared" si="4"/>
        <v>0</v>
      </c>
      <c r="J11" s="15">
        <f t="shared" si="4"/>
        <v>0</v>
      </c>
      <c r="K11" s="15">
        <f t="shared" si="4"/>
        <v>3485</v>
      </c>
      <c r="L11" s="16"/>
      <c r="M11" s="15">
        <f>SUM(M4:M10)</f>
        <v>3393</v>
      </c>
      <c r="N11" s="15">
        <f>SUM(N4:N10)</f>
        <v>116</v>
      </c>
      <c r="O11" s="15">
        <f>SUM(O4:O10)</f>
        <v>24</v>
      </c>
    </row>
    <row r="12" spans="1:15" ht="17.25" thickBot="1">
      <c r="A12" s="17"/>
      <c r="B12" s="18"/>
      <c r="C12" s="18"/>
      <c r="D12" s="3"/>
      <c r="E12" s="18"/>
      <c r="F12" s="18"/>
      <c r="G12" s="18"/>
      <c r="I12" s="18"/>
      <c r="J12" s="18"/>
      <c r="K12" s="3"/>
      <c r="L12" s="3"/>
      <c r="M12" s="3"/>
      <c r="N12" s="3"/>
    </row>
    <row r="13" spans="1:15" ht="17.25" thickBot="1">
      <c r="A13" s="46" t="s">
        <v>74</v>
      </c>
      <c r="B13" s="47"/>
      <c r="C13" s="47"/>
      <c r="D13" s="48"/>
      <c r="E13" s="18"/>
      <c r="F13" s="18"/>
      <c r="G13" s="18"/>
      <c r="I13" s="18"/>
      <c r="M13" s="3"/>
      <c r="N13" s="3"/>
    </row>
    <row r="14" spans="1:15" ht="16.5">
      <c r="A14" s="19">
        <v>500</v>
      </c>
      <c r="B14" s="20" t="s">
        <v>18</v>
      </c>
      <c r="C14" s="21"/>
      <c r="D14" s="22">
        <f>A14*C14</f>
        <v>0</v>
      </c>
      <c r="F14" s="3"/>
      <c r="G14" s="3"/>
      <c r="H14" s="36"/>
      <c r="I14" s="3"/>
      <c r="L14" s="3"/>
    </row>
    <row r="15" spans="1:15" ht="16.5">
      <c r="A15" s="23">
        <v>100</v>
      </c>
      <c r="B15" s="24">
        <v>1</v>
      </c>
      <c r="C15" s="21">
        <v>0</v>
      </c>
      <c r="D15" s="22">
        <f t="shared" ref="D15" si="5">A15*C15</f>
        <v>0</v>
      </c>
      <c r="E15" s="3"/>
      <c r="F15" s="3"/>
      <c r="G15" s="3"/>
      <c r="H15" s="36"/>
      <c r="I15" s="3"/>
      <c r="M15" s="3"/>
    </row>
    <row r="16" spans="1:15" ht="16.5">
      <c r="A16" s="23">
        <v>50</v>
      </c>
      <c r="B16" s="24" t="s">
        <v>18</v>
      </c>
      <c r="C16" s="21">
        <v>0</v>
      </c>
      <c r="D16" s="22">
        <f>A16*C16</f>
        <v>0</v>
      </c>
      <c r="E16" s="3"/>
      <c r="F16" s="3"/>
      <c r="G16" s="3"/>
      <c r="H16" s="3"/>
      <c r="I16" s="3"/>
      <c r="J16" s="3"/>
      <c r="K16" s="3"/>
      <c r="L16" s="3"/>
      <c r="M16" s="3"/>
    </row>
    <row r="17" spans="1:23" ht="16.5">
      <c r="A17" s="23">
        <v>20</v>
      </c>
      <c r="B17" s="24" t="s">
        <v>18</v>
      </c>
      <c r="C17" s="21">
        <v>0</v>
      </c>
      <c r="D17" s="22">
        <f>A17*C17</f>
        <v>0</v>
      </c>
      <c r="E17" s="3"/>
      <c r="F17" s="3"/>
      <c r="H17" s="3"/>
      <c r="I17" s="3"/>
      <c r="J17" s="3"/>
      <c r="K17" s="3"/>
      <c r="L17" s="3"/>
      <c r="M17" s="3"/>
      <c r="T17" s="13"/>
      <c r="U17" s="13"/>
    </row>
    <row r="18" spans="1:23" ht="16.5">
      <c r="A18" s="23">
        <v>10</v>
      </c>
      <c r="B18" s="24" t="s">
        <v>18</v>
      </c>
      <c r="C18" s="21">
        <v>10</v>
      </c>
      <c r="D18" s="22">
        <f>A18*C18</f>
        <v>100</v>
      </c>
      <c r="E18" s="3"/>
      <c r="F18" s="3"/>
      <c r="H18" s="3"/>
      <c r="I18" s="3"/>
      <c r="J18" s="3"/>
      <c r="K18" s="3"/>
      <c r="L18" s="3"/>
      <c r="M18" s="3"/>
      <c r="T18" s="13"/>
    </row>
    <row r="19" spans="1:23" ht="16.5">
      <c r="A19" s="23">
        <v>5</v>
      </c>
      <c r="B19" s="24" t="s">
        <v>18</v>
      </c>
      <c r="C19" s="21">
        <v>59</v>
      </c>
      <c r="D19" s="22">
        <f>A19*C19</f>
        <v>295</v>
      </c>
      <c r="E19" s="3"/>
      <c r="F19" s="3"/>
      <c r="H19" s="3"/>
      <c r="I19" s="3"/>
      <c r="J19" s="3"/>
      <c r="K19" s="3"/>
      <c r="L19" s="3"/>
      <c r="M19" s="3"/>
      <c r="W19" s="13"/>
    </row>
    <row r="20" spans="1:23" ht="16.5">
      <c r="A20" s="25" t="s">
        <v>20</v>
      </c>
      <c r="B20" s="26" t="s">
        <v>18</v>
      </c>
      <c r="C20" s="21">
        <v>34</v>
      </c>
      <c r="D20" s="22">
        <f>+C20*1</f>
        <v>34</v>
      </c>
      <c r="E20" s="3"/>
      <c r="F20" s="3"/>
      <c r="H20" s="3"/>
      <c r="I20" s="3"/>
      <c r="J20" s="3"/>
      <c r="K20" s="3"/>
      <c r="L20" s="3"/>
      <c r="M20" s="3"/>
    </row>
    <row r="21" spans="1:23" ht="16.5">
      <c r="A21" s="25"/>
      <c r="B21" s="26"/>
      <c r="C21" s="21">
        <v>0</v>
      </c>
      <c r="D21" s="22">
        <f>+C21*0.025</f>
        <v>0</v>
      </c>
      <c r="E21" s="3"/>
      <c r="F21" s="3"/>
      <c r="H21"/>
    </row>
    <row r="22" spans="1:23" ht="16.5">
      <c r="A22" s="49" t="s">
        <v>21</v>
      </c>
      <c r="B22" s="50"/>
      <c r="C22" s="29"/>
      <c r="D22" s="30">
        <f>SUM(D14:D21)</f>
        <v>429</v>
      </c>
      <c r="E22" s="3"/>
      <c r="F22" s="3"/>
      <c r="H22"/>
    </row>
    <row r="23" spans="1:23" s="13" customFormat="1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3" ht="16.5">
      <c r="H24"/>
      <c r="W24" s="13"/>
    </row>
    <row r="25" spans="1:23" s="13" customFormat="1" ht="18" customHeight="1">
      <c r="A25"/>
      <c r="B25"/>
      <c r="C25"/>
      <c r="D25"/>
      <c r="E25"/>
      <c r="F25"/>
      <c r="G25"/>
      <c r="H25" s="39"/>
      <c r="I25"/>
      <c r="J25"/>
      <c r="K25"/>
      <c r="L25"/>
      <c r="M25"/>
      <c r="N25"/>
      <c r="O25"/>
    </row>
    <row r="26" spans="1:23">
      <c r="H26"/>
    </row>
    <row r="27" spans="1:23" ht="18" customHeight="1">
      <c r="H27"/>
    </row>
    <row r="28" spans="1:23">
      <c r="H28"/>
    </row>
    <row r="29" spans="1:23">
      <c r="H29"/>
    </row>
  </sheetData>
  <mergeCells count="3">
    <mergeCell ref="A2:N2"/>
    <mergeCell ref="A13:D13"/>
    <mergeCell ref="A22:B22"/>
  </mergeCells>
  <pageMargins left="0.7" right="0.7" top="0.75" bottom="0.75" header="0.3" footer="0.3"/>
  <pageSetup paperSize="9" scale="82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E5ED-525D-49E4-9FFD-4AE5B7D88E94}">
  <sheetPr>
    <pageSetUpPr fitToPage="1"/>
  </sheetPr>
  <dimension ref="A1:P20"/>
  <sheetViews>
    <sheetView workbookViewId="0"/>
  </sheetViews>
  <sheetFormatPr defaultRowHeight="15"/>
  <cols>
    <col min="1" max="1" width="29.85546875" bestFit="1" customWidth="1"/>
    <col min="7" max="8" width="9.140625" customWidth="1"/>
  </cols>
  <sheetData>
    <row r="1" spans="1:16" ht="16.5">
      <c r="A1" s="1" t="s">
        <v>75</v>
      </c>
      <c r="B1" s="2"/>
      <c r="C1" s="3"/>
      <c r="D1" s="3"/>
      <c r="E1" s="3"/>
      <c r="F1" s="3"/>
      <c r="G1" s="3"/>
      <c r="H1" s="3"/>
      <c r="I1" s="36"/>
      <c r="J1" s="3"/>
      <c r="K1" s="3"/>
      <c r="L1" s="3"/>
      <c r="M1" s="3"/>
      <c r="N1" s="3"/>
      <c r="O1" s="4" t="s">
        <v>0</v>
      </c>
    </row>
    <row r="2" spans="1:16" ht="16.5">
      <c r="A2" s="43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5"/>
    </row>
    <row r="3" spans="1:16" ht="66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6" t="s">
        <v>78</v>
      </c>
      <c r="I3" s="37" t="s">
        <v>60</v>
      </c>
      <c r="J3" s="6" t="s">
        <v>51</v>
      </c>
      <c r="K3" s="6" t="s">
        <v>52</v>
      </c>
      <c r="L3" s="6" t="s">
        <v>8</v>
      </c>
      <c r="M3" s="34"/>
      <c r="N3" s="6" t="s">
        <v>9</v>
      </c>
      <c r="O3" s="6" t="s">
        <v>10</v>
      </c>
      <c r="P3" s="7" t="s">
        <v>11</v>
      </c>
    </row>
    <row r="4" spans="1:16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10">
        <f>SUM(C4:K4)</f>
        <v>0</v>
      </c>
      <c r="M4" s="34"/>
      <c r="N4" s="9">
        <v>0</v>
      </c>
      <c r="O4" s="11">
        <f>IF(L4&gt;N4,L4-N4,0)</f>
        <v>0</v>
      </c>
      <c r="P4" s="12">
        <f>IF(N4&gt;L4,N4-L4,0)</f>
        <v>0</v>
      </c>
    </row>
    <row r="5" spans="1:16" ht="16.5">
      <c r="A5" s="8" t="s">
        <v>13</v>
      </c>
      <c r="B5" s="9">
        <v>0</v>
      </c>
      <c r="C5" s="9">
        <v>0</v>
      </c>
      <c r="D5" s="9">
        <v>96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10">
        <f>SUM(C5:K5)</f>
        <v>96</v>
      </c>
      <c r="M5" s="34"/>
      <c r="N5" s="9">
        <v>96</v>
      </c>
      <c r="O5" s="11">
        <f>IF(L5&gt;N5,L5-N5,0)</f>
        <v>0</v>
      </c>
      <c r="P5" s="12">
        <f>IF(N5&gt;L5,N5-L5,0)</f>
        <v>0</v>
      </c>
    </row>
    <row r="6" spans="1:16" ht="16.5">
      <c r="A6" t="s">
        <v>14</v>
      </c>
      <c r="B6" s="9">
        <v>405</v>
      </c>
      <c r="C6" s="9">
        <v>1017</v>
      </c>
      <c r="D6" s="9">
        <v>0</v>
      </c>
      <c r="E6" s="9">
        <v>0</v>
      </c>
      <c r="F6" s="9">
        <v>128</v>
      </c>
      <c r="G6" s="9">
        <v>0</v>
      </c>
      <c r="H6" s="9">
        <v>0</v>
      </c>
      <c r="I6" s="9">
        <v>224</v>
      </c>
      <c r="J6" s="9">
        <v>31</v>
      </c>
      <c r="K6" s="9">
        <v>0</v>
      </c>
      <c r="L6" s="10">
        <f>SUM(B6:J6)</f>
        <v>1805</v>
      </c>
      <c r="M6" s="34"/>
      <c r="N6" s="9">
        <v>1713</v>
      </c>
      <c r="O6" s="11">
        <f>IF(L6&gt;N6,L6-N6,0)</f>
        <v>92</v>
      </c>
      <c r="P6" s="12">
        <f>IF(N6&gt;L6,N6-L6,0)</f>
        <v>0</v>
      </c>
    </row>
    <row r="7" spans="1:16" ht="16.5">
      <c r="A7" t="s">
        <v>36</v>
      </c>
      <c r="B7" s="9">
        <v>79</v>
      </c>
      <c r="C7" s="9">
        <v>419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93</v>
      </c>
      <c r="J7" s="9">
        <v>0</v>
      </c>
      <c r="K7" s="9">
        <v>0</v>
      </c>
      <c r="L7" s="10">
        <f>SUM(B7:K7)</f>
        <v>591</v>
      </c>
      <c r="M7" s="34"/>
      <c r="N7" s="9">
        <v>591</v>
      </c>
      <c r="O7" s="11">
        <f>IF(L7&gt;N7,L7-N7,0)</f>
        <v>0</v>
      </c>
      <c r="P7" s="12">
        <f>IF(N7&gt;L7,N7-L7,0)</f>
        <v>0</v>
      </c>
    </row>
    <row r="8" spans="1:16" ht="16.5">
      <c r="A8" t="s">
        <v>25</v>
      </c>
      <c r="B8" s="9">
        <v>136</v>
      </c>
      <c r="C8" s="9">
        <v>1245</v>
      </c>
      <c r="D8" s="9">
        <v>0</v>
      </c>
      <c r="E8" s="9">
        <v>0</v>
      </c>
      <c r="F8" s="9">
        <v>0</v>
      </c>
      <c r="G8" s="9">
        <v>0</v>
      </c>
      <c r="H8" s="9">
        <v>75</v>
      </c>
      <c r="I8" s="9">
        <v>160</v>
      </c>
      <c r="J8" s="9">
        <v>0</v>
      </c>
      <c r="K8" s="9">
        <v>0</v>
      </c>
      <c r="L8" s="40">
        <f>SUM(B8:K8)</f>
        <v>1616</v>
      </c>
      <c r="M8" s="34"/>
      <c r="N8" s="9">
        <v>1638</v>
      </c>
      <c r="O8" s="11">
        <f t="shared" ref="O8" si="0">IF(L8&gt;N8,L8-N8,0)</f>
        <v>0</v>
      </c>
      <c r="P8" s="12">
        <f>IF(N8&gt;L8,N8-L8,0)</f>
        <v>22</v>
      </c>
    </row>
    <row r="9" spans="1:16" ht="17.25" thickBot="1">
      <c r="A9" s="14"/>
      <c r="B9" s="15">
        <f t="shared" ref="B9:L9" si="1">SUM(B4:B8)</f>
        <v>620</v>
      </c>
      <c r="C9" s="15">
        <f t="shared" si="1"/>
        <v>2681</v>
      </c>
      <c r="D9" s="15">
        <f t="shared" si="1"/>
        <v>96</v>
      </c>
      <c r="E9" s="15">
        <f t="shared" si="1"/>
        <v>0</v>
      </c>
      <c r="F9" s="15">
        <f t="shared" si="1"/>
        <v>128</v>
      </c>
      <c r="G9" s="15">
        <f t="shared" si="1"/>
        <v>0</v>
      </c>
      <c r="H9" s="15">
        <f t="shared" si="1"/>
        <v>75</v>
      </c>
      <c r="I9" s="38">
        <f t="shared" si="1"/>
        <v>477</v>
      </c>
      <c r="J9" s="15">
        <f t="shared" si="1"/>
        <v>31</v>
      </c>
      <c r="K9" s="15">
        <f t="shared" si="1"/>
        <v>0</v>
      </c>
      <c r="L9" s="15">
        <f t="shared" si="1"/>
        <v>4108</v>
      </c>
      <c r="M9" s="16"/>
      <c r="N9" s="15">
        <f>SUM(N4:N8)</f>
        <v>4038</v>
      </c>
      <c r="O9" s="15">
        <f>SUM(O4:O8)</f>
        <v>92</v>
      </c>
      <c r="P9" s="15">
        <f>SUM(P4:P8)</f>
        <v>22</v>
      </c>
    </row>
    <row r="10" spans="1:16" ht="17.25" thickBot="1">
      <c r="A10" s="17"/>
      <c r="B10" s="18"/>
      <c r="C10" s="18"/>
      <c r="D10" s="3"/>
      <c r="E10" s="18"/>
      <c r="F10" s="18"/>
      <c r="G10" s="18"/>
      <c r="H10" s="18"/>
      <c r="I10" s="39"/>
      <c r="J10" s="18"/>
      <c r="K10" s="18"/>
      <c r="L10" s="3"/>
      <c r="M10" s="3"/>
      <c r="N10" s="3"/>
      <c r="O10" s="3"/>
    </row>
    <row r="11" spans="1:16" ht="17.25" thickBot="1">
      <c r="A11" s="46" t="s">
        <v>74</v>
      </c>
      <c r="B11" s="47"/>
      <c r="C11" s="47"/>
      <c r="D11" s="48"/>
      <c r="E11" s="18"/>
      <c r="F11" s="18"/>
      <c r="G11" s="18"/>
      <c r="H11" s="18"/>
      <c r="I11" s="39"/>
      <c r="J11" s="18"/>
      <c r="N11" s="3"/>
      <c r="O11" s="3"/>
    </row>
    <row r="12" spans="1:16" ht="16.5">
      <c r="A12" s="19">
        <v>500</v>
      </c>
      <c r="B12" s="20" t="s">
        <v>18</v>
      </c>
      <c r="C12" s="21"/>
      <c r="D12" s="22">
        <f>A12*C12</f>
        <v>0</v>
      </c>
      <c r="F12" s="3"/>
      <c r="G12" s="3"/>
      <c r="H12" s="3"/>
      <c r="I12" s="36"/>
      <c r="J12" s="3"/>
      <c r="M12" s="3"/>
    </row>
    <row r="13" spans="1:16" ht="16.5">
      <c r="A13" s="23">
        <v>100</v>
      </c>
      <c r="B13" s="24">
        <v>1</v>
      </c>
      <c r="C13" s="21">
        <v>4</v>
      </c>
      <c r="D13" s="22">
        <f t="shared" ref="D13" si="2">A13*C13</f>
        <v>400</v>
      </c>
      <c r="E13" s="3"/>
      <c r="F13" s="3"/>
      <c r="G13" s="3"/>
      <c r="H13" s="3"/>
      <c r="I13" s="36"/>
      <c r="J13" s="3"/>
      <c r="N13" s="3"/>
    </row>
    <row r="14" spans="1:16" ht="16.5">
      <c r="A14" s="23">
        <v>50</v>
      </c>
      <c r="B14" s="24" t="s">
        <v>18</v>
      </c>
      <c r="C14" s="21">
        <v>1</v>
      </c>
      <c r="D14" s="22">
        <f>A14*C14</f>
        <v>50</v>
      </c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6" ht="16.5">
      <c r="A15" s="23">
        <v>20</v>
      </c>
      <c r="B15" s="24" t="s">
        <v>18</v>
      </c>
      <c r="C15" s="21">
        <v>1</v>
      </c>
      <c r="D15" s="22">
        <f>A15*C15</f>
        <v>20</v>
      </c>
      <c r="E15" s="3"/>
      <c r="F15" s="3"/>
      <c r="I15" s="3"/>
      <c r="J15" s="3"/>
      <c r="K15" s="3"/>
      <c r="L15" s="3"/>
      <c r="M15" s="3"/>
      <c r="N15" s="3"/>
    </row>
    <row r="16" spans="1:16" ht="16.5">
      <c r="A16" s="23">
        <v>10</v>
      </c>
      <c r="B16" s="24" t="s">
        <v>18</v>
      </c>
      <c r="C16" s="21">
        <v>0</v>
      </c>
      <c r="D16" s="22">
        <f>A16*C16</f>
        <v>0</v>
      </c>
      <c r="E16" s="3"/>
      <c r="F16" s="3"/>
      <c r="I16" s="3"/>
      <c r="J16" s="3"/>
      <c r="K16" s="3"/>
      <c r="L16" s="3"/>
      <c r="M16" s="3"/>
      <c r="N16" s="3"/>
    </row>
    <row r="17" spans="1:14" ht="16.5">
      <c r="A17" s="23">
        <v>5</v>
      </c>
      <c r="B17" s="24" t="s">
        <v>18</v>
      </c>
      <c r="C17" s="21">
        <v>29</v>
      </c>
      <c r="D17" s="22">
        <f>A17*C17</f>
        <v>145</v>
      </c>
      <c r="E17" s="3"/>
      <c r="F17" s="3"/>
      <c r="I17" s="3"/>
      <c r="J17" s="3"/>
      <c r="K17" s="3"/>
      <c r="L17" s="3"/>
      <c r="M17" s="3"/>
      <c r="N17" s="3"/>
    </row>
    <row r="18" spans="1:14" ht="16.5">
      <c r="A18" s="25" t="s">
        <v>20</v>
      </c>
      <c r="B18" s="26" t="s">
        <v>18</v>
      </c>
      <c r="C18" s="21">
        <v>5</v>
      </c>
      <c r="D18" s="22">
        <f>+C18*1</f>
        <v>5</v>
      </c>
      <c r="E18" s="3"/>
      <c r="F18" s="3"/>
      <c r="I18" s="3"/>
      <c r="J18" s="3"/>
      <c r="K18" s="3"/>
      <c r="L18" s="3"/>
      <c r="M18" s="3"/>
      <c r="N18" s="3"/>
    </row>
    <row r="19" spans="1:14" ht="16.5">
      <c r="A19" s="25"/>
      <c r="B19" s="26"/>
      <c r="C19" s="21">
        <v>0</v>
      </c>
      <c r="D19" s="22">
        <f>+C19*0.025</f>
        <v>0</v>
      </c>
      <c r="E19" s="3"/>
      <c r="F19" s="3"/>
    </row>
    <row r="20" spans="1:14" ht="16.5">
      <c r="A20" s="49" t="s">
        <v>21</v>
      </c>
      <c r="B20" s="50"/>
      <c r="C20" s="29"/>
      <c r="D20" s="30">
        <f>SUM(D12:D19)</f>
        <v>620</v>
      </c>
      <c r="E20" s="3"/>
      <c r="F20" s="3"/>
    </row>
  </sheetData>
  <mergeCells count="3">
    <mergeCell ref="A11:D11"/>
    <mergeCell ref="A20:B20"/>
    <mergeCell ref="A2:P2"/>
  </mergeCells>
  <pageMargins left="0.7" right="0.7" top="0.75" bottom="0.75" header="0.3" footer="0.3"/>
  <pageSetup paperSize="9" scale="78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1755-2BC4-491F-BC14-F48C550B3F87}">
  <sheetPr>
    <pageSetUpPr fitToPage="1"/>
  </sheetPr>
  <dimension ref="A1:P20"/>
  <sheetViews>
    <sheetView workbookViewId="0">
      <selection sqref="A1:XFD1048576"/>
    </sheetView>
  </sheetViews>
  <sheetFormatPr defaultRowHeight="15"/>
  <cols>
    <col min="1" max="1" width="29.85546875" bestFit="1" customWidth="1"/>
  </cols>
  <sheetData>
    <row r="1" spans="1:16" ht="16.5">
      <c r="A1" s="1" t="s">
        <v>76</v>
      </c>
      <c r="B1" s="2"/>
      <c r="C1" s="3"/>
      <c r="D1" s="3"/>
      <c r="E1" s="3"/>
      <c r="F1" s="3"/>
      <c r="G1" s="3"/>
      <c r="H1" s="3"/>
      <c r="I1" s="36"/>
      <c r="J1" s="3"/>
      <c r="K1" s="3"/>
      <c r="L1" s="3"/>
      <c r="M1" s="3"/>
      <c r="N1" s="3"/>
      <c r="O1" s="4" t="s">
        <v>0</v>
      </c>
    </row>
    <row r="2" spans="1:16" ht="16.5">
      <c r="A2" s="43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5"/>
    </row>
    <row r="3" spans="1:16" ht="66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6" t="s">
        <v>78</v>
      </c>
      <c r="I3" s="37" t="s">
        <v>60</v>
      </c>
      <c r="J3" s="6" t="s">
        <v>51</v>
      </c>
      <c r="K3" s="6" t="s">
        <v>52</v>
      </c>
      <c r="L3" s="6" t="s">
        <v>8</v>
      </c>
      <c r="M3" s="34"/>
      <c r="N3" s="6" t="s">
        <v>9</v>
      </c>
      <c r="O3" s="6" t="s">
        <v>10</v>
      </c>
      <c r="P3" s="7" t="s">
        <v>11</v>
      </c>
    </row>
    <row r="4" spans="1:16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10">
        <f>SUM(C4:K4)</f>
        <v>0</v>
      </c>
      <c r="M4" s="34"/>
      <c r="N4" s="9">
        <v>0</v>
      </c>
      <c r="O4" s="11">
        <f>IF(L4&gt;N4,L4-N4,0)</f>
        <v>0</v>
      </c>
      <c r="P4" s="12">
        <f>IF(N4&gt;L4,N4-L4,0)</f>
        <v>0</v>
      </c>
    </row>
    <row r="5" spans="1:16" ht="16.5">
      <c r="A5" s="8" t="s">
        <v>13</v>
      </c>
      <c r="B5" s="9">
        <v>0</v>
      </c>
      <c r="C5" s="9">
        <v>0</v>
      </c>
      <c r="D5" s="9">
        <v>64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10">
        <f>SUM(C5:K5)</f>
        <v>64</v>
      </c>
      <c r="M5" s="34"/>
      <c r="N5" s="9">
        <v>64</v>
      </c>
      <c r="O5" s="11">
        <f>IF(L5&gt;N5,L5-N5,0)</f>
        <v>0</v>
      </c>
      <c r="P5" s="12">
        <f>IF(N5&gt;L5,N5-L5,0)</f>
        <v>0</v>
      </c>
    </row>
    <row r="6" spans="1:16" ht="16.5">
      <c r="A6" t="s">
        <v>31</v>
      </c>
      <c r="B6" s="9">
        <v>23</v>
      </c>
      <c r="C6" s="9">
        <f>20+67+20+20+7+32+32+42+156+10+32+32+32+56+24+32+57+20+20+64+58+120+30+145+112</f>
        <v>1240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192</v>
      </c>
      <c r="J6" s="9">
        <v>0</v>
      </c>
      <c r="K6" s="9">
        <v>0</v>
      </c>
      <c r="L6" s="10">
        <f>SUM(B6:J6)</f>
        <v>1455</v>
      </c>
      <c r="M6" s="34"/>
      <c r="N6" s="9">
        <v>1455</v>
      </c>
      <c r="O6" s="11">
        <f>IF(L6&gt;N6,L6-N6,0)</f>
        <v>0</v>
      </c>
      <c r="P6" s="12">
        <f>IF(N6&gt;L6,N6-L6,0)</f>
        <v>0</v>
      </c>
    </row>
    <row r="7" spans="1:16" ht="16.5">
      <c r="A7" t="s">
        <v>15</v>
      </c>
      <c r="B7" s="9">
        <v>326</v>
      </c>
      <c r="C7" s="9">
        <f>25+68+12+20+32+44+216+87+254+64+26+29+20+7</f>
        <v>904</v>
      </c>
      <c r="D7" s="9">
        <v>0</v>
      </c>
      <c r="E7" s="9">
        <v>0</v>
      </c>
      <c r="F7" s="9">
        <v>32</v>
      </c>
      <c r="G7" s="9">
        <v>0</v>
      </c>
      <c r="H7" s="9">
        <v>0</v>
      </c>
      <c r="I7" s="9">
        <v>154</v>
      </c>
      <c r="J7" s="9">
        <v>0</v>
      </c>
      <c r="K7" s="9">
        <v>0</v>
      </c>
      <c r="L7" s="10">
        <f>SUM(B7:K7)</f>
        <v>1416</v>
      </c>
      <c r="M7" s="34"/>
      <c r="N7" s="9">
        <v>1416</v>
      </c>
      <c r="O7" s="11">
        <f>IF(L7&gt;N7,L7-N7,0)</f>
        <v>0</v>
      </c>
      <c r="P7" s="12">
        <f>IF(N7&gt;L7,N7-L7,0)</f>
        <v>0</v>
      </c>
    </row>
    <row r="8" spans="1:16" ht="16.5" hidden="1">
      <c r="A8" t="s">
        <v>25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40">
        <f>SUM(B8:K8)</f>
        <v>0</v>
      </c>
      <c r="M8" s="34"/>
      <c r="N8" s="9">
        <v>0</v>
      </c>
      <c r="O8" s="11">
        <f t="shared" ref="O8" si="0">IF(L8&gt;N8,L8-N8,0)</f>
        <v>0</v>
      </c>
      <c r="P8" s="12">
        <f>IF(N8&gt;L8,N8-L8,0)</f>
        <v>0</v>
      </c>
    </row>
    <row r="9" spans="1:16" ht="17.25" thickBot="1">
      <c r="A9" s="14"/>
      <c r="B9" s="15">
        <f t="shared" ref="B9:L9" si="1">SUM(B4:B8)</f>
        <v>349</v>
      </c>
      <c r="C9" s="15">
        <f t="shared" si="1"/>
        <v>2144</v>
      </c>
      <c r="D9" s="15">
        <f t="shared" si="1"/>
        <v>64</v>
      </c>
      <c r="E9" s="15">
        <f t="shared" si="1"/>
        <v>0</v>
      </c>
      <c r="F9" s="15">
        <f t="shared" si="1"/>
        <v>32</v>
      </c>
      <c r="G9" s="15">
        <f t="shared" si="1"/>
        <v>0</v>
      </c>
      <c r="H9" s="15">
        <f t="shared" si="1"/>
        <v>0</v>
      </c>
      <c r="I9" s="38">
        <f t="shared" si="1"/>
        <v>346</v>
      </c>
      <c r="J9" s="15">
        <f t="shared" si="1"/>
        <v>0</v>
      </c>
      <c r="K9" s="15">
        <f t="shared" si="1"/>
        <v>0</v>
      </c>
      <c r="L9" s="15">
        <f t="shared" si="1"/>
        <v>2935</v>
      </c>
      <c r="M9" s="16"/>
      <c r="N9" s="15">
        <f>SUM(N4:N8)</f>
        <v>2935</v>
      </c>
      <c r="O9" s="15">
        <f>SUM(O4:O8)</f>
        <v>0</v>
      </c>
      <c r="P9" s="15">
        <f>SUM(P4:P8)</f>
        <v>0</v>
      </c>
    </row>
    <row r="10" spans="1:16" ht="17.25" thickBot="1">
      <c r="A10" s="17"/>
      <c r="B10" s="18"/>
      <c r="C10" s="18"/>
      <c r="D10" s="3"/>
      <c r="E10" s="18"/>
      <c r="F10" s="18"/>
      <c r="G10" s="18"/>
      <c r="H10" s="18"/>
      <c r="I10" s="39"/>
      <c r="J10" s="18"/>
      <c r="K10" s="18"/>
      <c r="L10" s="3"/>
      <c r="M10" s="3"/>
      <c r="N10" s="3"/>
      <c r="O10" s="3"/>
    </row>
    <row r="11" spans="1:16" ht="17.25" thickBot="1">
      <c r="A11" s="46" t="s">
        <v>77</v>
      </c>
      <c r="B11" s="47"/>
      <c r="C11" s="47"/>
      <c r="D11" s="48"/>
      <c r="E11" s="18"/>
      <c r="F11" s="18"/>
      <c r="G11" s="18"/>
      <c r="H11" s="18"/>
      <c r="I11" s="39"/>
      <c r="J11" s="18"/>
      <c r="N11" s="3"/>
      <c r="O11" s="3"/>
    </row>
    <row r="12" spans="1:16" ht="16.5">
      <c r="A12" s="19">
        <v>500</v>
      </c>
      <c r="B12" s="20" t="s">
        <v>18</v>
      </c>
      <c r="C12" s="21"/>
      <c r="D12" s="22">
        <f>A12*C12</f>
        <v>0</v>
      </c>
      <c r="F12" s="3"/>
      <c r="G12" s="3"/>
      <c r="H12" s="3"/>
      <c r="I12" s="36"/>
      <c r="J12" s="3"/>
      <c r="M12" s="3"/>
    </row>
    <row r="13" spans="1:16" ht="16.5">
      <c r="A13" s="23">
        <v>100</v>
      </c>
      <c r="B13" s="24">
        <v>1</v>
      </c>
      <c r="C13" s="21">
        <v>3</v>
      </c>
      <c r="D13" s="22">
        <f t="shared" ref="D13" si="2">A13*C13</f>
        <v>300</v>
      </c>
      <c r="E13" s="3"/>
      <c r="F13" s="3"/>
      <c r="G13" s="3"/>
      <c r="H13" s="3"/>
      <c r="I13" s="36"/>
      <c r="J13" s="3"/>
      <c r="N13" s="3"/>
    </row>
    <row r="14" spans="1:16" ht="16.5">
      <c r="A14" s="23">
        <v>50</v>
      </c>
      <c r="B14" s="24" t="s">
        <v>18</v>
      </c>
      <c r="C14" s="21">
        <v>0</v>
      </c>
      <c r="D14" s="22">
        <f>A14*C14</f>
        <v>0</v>
      </c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6" ht="16.5">
      <c r="A15" s="23">
        <v>20</v>
      </c>
      <c r="B15" s="24" t="s">
        <v>18</v>
      </c>
      <c r="C15" s="21">
        <v>0</v>
      </c>
      <c r="D15" s="22">
        <f>A15*C15</f>
        <v>0</v>
      </c>
      <c r="E15" s="3"/>
      <c r="F15" s="3"/>
      <c r="I15" s="3"/>
      <c r="J15" s="3"/>
      <c r="K15" s="3"/>
      <c r="L15" s="3"/>
      <c r="M15" s="3"/>
      <c r="N15" s="3"/>
    </row>
    <row r="16" spans="1:16" ht="16.5">
      <c r="A16" s="23">
        <v>10</v>
      </c>
      <c r="B16" s="24" t="s">
        <v>18</v>
      </c>
      <c r="C16" s="21">
        <v>4</v>
      </c>
      <c r="D16" s="22">
        <f>A16*C16</f>
        <v>40</v>
      </c>
      <c r="E16" s="3"/>
      <c r="F16" s="3"/>
      <c r="I16" s="3"/>
      <c r="J16" s="3"/>
      <c r="K16" s="3"/>
      <c r="L16" s="3"/>
      <c r="M16" s="3"/>
      <c r="N16" s="3"/>
    </row>
    <row r="17" spans="1:14" ht="16.5">
      <c r="A17" s="23">
        <v>5</v>
      </c>
      <c r="B17" s="24" t="s">
        <v>18</v>
      </c>
      <c r="C17" s="21">
        <v>1</v>
      </c>
      <c r="D17" s="22">
        <f>A17*C17</f>
        <v>5</v>
      </c>
      <c r="E17" s="3"/>
      <c r="F17" s="3"/>
      <c r="I17" s="3"/>
      <c r="J17" s="3"/>
      <c r="K17" s="3"/>
      <c r="L17" s="3"/>
      <c r="M17" s="3"/>
      <c r="N17" s="3"/>
    </row>
    <row r="18" spans="1:14" ht="16.5">
      <c r="A18" s="25" t="s">
        <v>20</v>
      </c>
      <c r="B18" s="26" t="s">
        <v>18</v>
      </c>
      <c r="C18" s="21">
        <v>4</v>
      </c>
      <c r="D18" s="22">
        <f>+C18*1</f>
        <v>4</v>
      </c>
      <c r="E18" s="3"/>
      <c r="F18" s="3"/>
      <c r="I18" s="3"/>
      <c r="J18" s="3"/>
      <c r="K18" s="3"/>
      <c r="L18" s="3"/>
      <c r="M18" s="3"/>
      <c r="N18" s="3"/>
    </row>
    <row r="19" spans="1:14" ht="16.5">
      <c r="A19" s="25"/>
      <c r="B19" s="26"/>
      <c r="C19" s="21">
        <v>0</v>
      </c>
      <c r="D19" s="22">
        <f>+C19*0.025</f>
        <v>0</v>
      </c>
      <c r="E19" s="3"/>
      <c r="F19" s="3"/>
    </row>
    <row r="20" spans="1:14" ht="16.5">
      <c r="A20" s="49" t="s">
        <v>21</v>
      </c>
      <c r="B20" s="50"/>
      <c r="C20" s="29"/>
      <c r="D20" s="30">
        <f>SUM(D12:D19)</f>
        <v>349</v>
      </c>
      <c r="E20" s="3"/>
      <c r="F20" s="3"/>
    </row>
  </sheetData>
  <mergeCells count="3">
    <mergeCell ref="A2:P2"/>
    <mergeCell ref="A11:D11"/>
    <mergeCell ref="A20:B20"/>
  </mergeCells>
  <pageMargins left="0.7" right="0.7" top="0.75" bottom="0.75" header="0.3" footer="0.3"/>
  <pageSetup paperSize="9" scale="78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80D74-1402-4B9B-A6DA-37530254C773}">
  <sheetPr>
    <pageSetUpPr fitToPage="1"/>
  </sheetPr>
  <dimension ref="A1:P20"/>
  <sheetViews>
    <sheetView workbookViewId="0">
      <selection activeCell="H27" sqref="H27"/>
    </sheetView>
  </sheetViews>
  <sheetFormatPr defaultRowHeight="15"/>
  <cols>
    <col min="1" max="1" width="29.85546875" bestFit="1" customWidth="1"/>
  </cols>
  <sheetData>
    <row r="1" spans="1:16" ht="16.5">
      <c r="A1" s="1" t="s">
        <v>80</v>
      </c>
      <c r="B1" s="2"/>
      <c r="C1" s="3"/>
      <c r="D1" s="3"/>
      <c r="E1" s="3"/>
      <c r="F1" s="3"/>
      <c r="G1" s="3"/>
      <c r="H1" s="3"/>
      <c r="I1" s="36"/>
      <c r="J1" s="3"/>
      <c r="K1" s="3"/>
      <c r="L1" s="3"/>
      <c r="M1" s="3"/>
      <c r="N1" s="3"/>
      <c r="O1" s="4" t="s">
        <v>0</v>
      </c>
    </row>
    <row r="2" spans="1:16" ht="16.5">
      <c r="A2" s="43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5"/>
    </row>
    <row r="3" spans="1:16" ht="66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6" t="s">
        <v>78</v>
      </c>
      <c r="I3" s="37" t="s">
        <v>60</v>
      </c>
      <c r="J3" s="6" t="s">
        <v>51</v>
      </c>
      <c r="K3" s="6" t="s">
        <v>52</v>
      </c>
      <c r="L3" s="6" t="s">
        <v>8</v>
      </c>
      <c r="M3" s="34"/>
      <c r="N3" s="6" t="s">
        <v>9</v>
      </c>
      <c r="O3" s="6" t="s">
        <v>10</v>
      </c>
      <c r="P3" s="7" t="s">
        <v>11</v>
      </c>
    </row>
    <row r="4" spans="1:16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10">
        <f>SUM(C4:K4)</f>
        <v>0</v>
      </c>
      <c r="M4" s="34"/>
      <c r="N4" s="9">
        <v>186</v>
      </c>
      <c r="O4" s="11">
        <f>IF(L4&gt;N4,L4-N4,0)</f>
        <v>0</v>
      </c>
      <c r="P4" s="12">
        <f>IF(N4&gt;L4,N4-L4,0)</f>
        <v>186</v>
      </c>
    </row>
    <row r="5" spans="1:16" ht="16.5">
      <c r="A5" s="8" t="s">
        <v>13</v>
      </c>
      <c r="B5" s="9">
        <v>0</v>
      </c>
      <c r="C5" s="9">
        <v>0</v>
      </c>
      <c r="D5" s="9">
        <v>209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10">
        <f>SUM(C5:K5)</f>
        <v>209</v>
      </c>
      <c r="M5" s="34"/>
      <c r="N5" s="9">
        <v>209</v>
      </c>
      <c r="O5" s="11">
        <f>IF(L5&gt;N5,L5-N5,0)</f>
        <v>0</v>
      </c>
      <c r="P5" s="12">
        <f>IF(N5&gt;L5,N5-L5,0)</f>
        <v>0</v>
      </c>
    </row>
    <row r="6" spans="1:16" ht="16.5">
      <c r="A6" t="s">
        <v>31</v>
      </c>
      <c r="B6" s="9">
        <v>197</v>
      </c>
      <c r="C6" s="9">
        <f>8.8+8.6+78+32+32+32+32+65+27+48+68+20+26+24+32+32+32+32+24+32+38+40+26+20+38+50+32+118+84+8.6+32+137</f>
        <v>1309</v>
      </c>
      <c r="D6" s="9">
        <v>0</v>
      </c>
      <c r="E6" s="9">
        <v>0</v>
      </c>
      <c r="F6" s="9">
        <v>96</v>
      </c>
      <c r="G6" s="9">
        <v>0</v>
      </c>
      <c r="H6" s="9">
        <v>0</v>
      </c>
      <c r="I6" s="9">
        <v>192</v>
      </c>
      <c r="J6" s="9">
        <v>0</v>
      </c>
      <c r="K6" s="9">
        <v>0</v>
      </c>
      <c r="L6" s="10">
        <f>SUM(B6:J6)</f>
        <v>1794</v>
      </c>
      <c r="M6" s="34"/>
      <c r="N6" s="9">
        <v>1794</v>
      </c>
      <c r="O6" s="11">
        <f>IF(L6&gt;N6,L6-N6,0)</f>
        <v>0</v>
      </c>
      <c r="P6" s="12">
        <f>IF(N6&gt;L6,N6-L6,0)</f>
        <v>0</v>
      </c>
    </row>
    <row r="7" spans="1:16" ht="16.5">
      <c r="A7" t="s">
        <v>81</v>
      </c>
      <c r="B7" s="9">
        <v>151</v>
      </c>
      <c r="C7" s="9">
        <f>26+75+32+24+32+96+32+87+24+39+14+41+24+136+27+26+32+32+32+34+60+32+32+44+167+32</f>
        <v>1232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192</v>
      </c>
      <c r="J7" s="9">
        <v>0</v>
      </c>
      <c r="K7" s="9">
        <v>0</v>
      </c>
      <c r="L7" s="10">
        <f>SUM(B7:K7)</f>
        <v>1575</v>
      </c>
      <c r="M7" s="34"/>
      <c r="N7" s="9">
        <v>1575</v>
      </c>
      <c r="O7" s="11">
        <f>IF(L7&gt;N7,L7-N7,0)</f>
        <v>0</v>
      </c>
      <c r="P7" s="12">
        <f>IF(N7&gt;L7,N7-L7,0)</f>
        <v>0</v>
      </c>
    </row>
    <row r="8" spans="1:16" ht="16.5">
      <c r="A8" t="s">
        <v>25</v>
      </c>
      <c r="B8" s="9">
        <v>251</v>
      </c>
      <c r="C8" s="9">
        <f>96+20+20+16+15+53+16+16+16+35+32+32+156+32+6+44+48+20+26+20+24</f>
        <v>743</v>
      </c>
      <c r="D8" s="9">
        <v>0</v>
      </c>
      <c r="E8" s="9">
        <v>0</v>
      </c>
      <c r="F8" s="9">
        <v>128</v>
      </c>
      <c r="G8" s="9">
        <v>0</v>
      </c>
      <c r="H8" s="9">
        <v>0</v>
      </c>
      <c r="I8" s="9">
        <v>128</v>
      </c>
      <c r="J8" s="9">
        <v>0</v>
      </c>
      <c r="K8" s="9">
        <v>0</v>
      </c>
      <c r="L8" s="40">
        <f>SUM(B8:K8)</f>
        <v>1250</v>
      </c>
      <c r="M8" s="34"/>
      <c r="N8" s="9">
        <v>1224</v>
      </c>
      <c r="O8" s="11">
        <f t="shared" ref="O8" si="0">IF(L8&gt;N8,L8-N8,0)</f>
        <v>26</v>
      </c>
      <c r="P8" s="12">
        <f>IF(N8&gt;L8,N8-L8,0)</f>
        <v>0</v>
      </c>
    </row>
    <row r="9" spans="1:16" ht="17.25" thickBot="1">
      <c r="A9" s="14"/>
      <c r="B9" s="15">
        <f t="shared" ref="B9:L9" si="1">SUM(B4:B8)</f>
        <v>599</v>
      </c>
      <c r="C9" s="15">
        <f t="shared" si="1"/>
        <v>3284</v>
      </c>
      <c r="D9" s="15">
        <f t="shared" si="1"/>
        <v>209</v>
      </c>
      <c r="E9" s="15">
        <f t="shared" si="1"/>
        <v>0</v>
      </c>
      <c r="F9" s="15">
        <f t="shared" si="1"/>
        <v>224</v>
      </c>
      <c r="G9" s="15">
        <f t="shared" si="1"/>
        <v>0</v>
      </c>
      <c r="H9" s="15">
        <f t="shared" si="1"/>
        <v>0</v>
      </c>
      <c r="I9" s="38">
        <f t="shared" si="1"/>
        <v>512</v>
      </c>
      <c r="J9" s="15">
        <f t="shared" si="1"/>
        <v>0</v>
      </c>
      <c r="K9" s="15">
        <f t="shared" si="1"/>
        <v>0</v>
      </c>
      <c r="L9" s="15">
        <f t="shared" si="1"/>
        <v>4828</v>
      </c>
      <c r="M9" s="16"/>
      <c r="N9" s="15">
        <f>SUM(N4:N8)</f>
        <v>4988</v>
      </c>
      <c r="O9" s="15">
        <f>SUM(O4:O8)</f>
        <v>26</v>
      </c>
      <c r="P9" s="15">
        <f>SUM(P4:P8)</f>
        <v>186</v>
      </c>
    </row>
    <row r="10" spans="1:16" ht="17.25" thickBot="1">
      <c r="A10" s="17"/>
      <c r="B10" s="18"/>
      <c r="C10" s="18"/>
      <c r="D10" s="3"/>
      <c r="E10" s="18"/>
      <c r="F10" s="18"/>
      <c r="G10" s="18"/>
      <c r="H10" s="18"/>
      <c r="I10" s="39"/>
      <c r="J10" s="18"/>
      <c r="K10" s="18"/>
      <c r="L10" s="3"/>
      <c r="M10" s="3"/>
      <c r="N10" s="3"/>
      <c r="O10" s="3"/>
    </row>
    <row r="11" spans="1:16" ht="17.25" thickBot="1">
      <c r="A11" s="46" t="s">
        <v>79</v>
      </c>
      <c r="B11" s="47"/>
      <c r="C11" s="47"/>
      <c r="D11" s="48"/>
      <c r="E11" s="18"/>
      <c r="F11" s="18"/>
      <c r="G11" s="18"/>
      <c r="H11" s="18"/>
      <c r="I11" s="39"/>
      <c r="J11" s="18"/>
      <c r="N11" s="3"/>
      <c r="O11" s="3"/>
    </row>
    <row r="12" spans="1:16" ht="16.5">
      <c r="A12" s="19">
        <v>500</v>
      </c>
      <c r="B12" s="20" t="s">
        <v>18</v>
      </c>
      <c r="C12" s="21"/>
      <c r="D12" s="22">
        <f>A12*C12</f>
        <v>0</v>
      </c>
      <c r="F12" s="3"/>
      <c r="G12" s="3"/>
      <c r="H12" s="3"/>
      <c r="I12" s="36"/>
      <c r="J12" s="3"/>
      <c r="M12" s="3"/>
    </row>
    <row r="13" spans="1:16" ht="16.5">
      <c r="A13" s="23">
        <v>100</v>
      </c>
      <c r="B13" s="24">
        <v>1</v>
      </c>
      <c r="C13" s="21">
        <v>1</v>
      </c>
      <c r="D13" s="22">
        <f t="shared" ref="D13" si="2">A13*C13</f>
        <v>100</v>
      </c>
      <c r="E13" s="3"/>
      <c r="F13" s="3"/>
      <c r="G13" s="3"/>
      <c r="H13" s="3"/>
      <c r="I13" s="36"/>
      <c r="J13" s="3"/>
      <c r="N13" s="3"/>
    </row>
    <row r="14" spans="1:16" ht="16.5">
      <c r="A14" s="23">
        <v>50</v>
      </c>
      <c r="B14" s="24" t="s">
        <v>18</v>
      </c>
      <c r="C14" s="21">
        <v>6</v>
      </c>
      <c r="D14" s="22">
        <f>A14*C14</f>
        <v>300</v>
      </c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6" ht="16.5">
      <c r="A15" s="23">
        <v>20</v>
      </c>
      <c r="B15" s="24" t="s">
        <v>18</v>
      </c>
      <c r="C15" s="21">
        <v>1</v>
      </c>
      <c r="D15" s="22">
        <f>A15*C15</f>
        <v>20</v>
      </c>
      <c r="E15" s="3"/>
      <c r="F15" s="3"/>
      <c r="I15" s="3"/>
      <c r="J15" s="3"/>
      <c r="K15" s="3"/>
      <c r="L15" s="3"/>
      <c r="M15" s="3"/>
      <c r="N15" s="3"/>
    </row>
    <row r="16" spans="1:16" ht="16.5">
      <c r="A16" s="23">
        <v>10</v>
      </c>
      <c r="B16" s="24" t="s">
        <v>18</v>
      </c>
      <c r="C16" s="21">
        <v>5</v>
      </c>
      <c r="D16" s="22">
        <f>A16*C16</f>
        <v>50</v>
      </c>
      <c r="E16" s="3"/>
      <c r="F16" s="3"/>
      <c r="I16" s="3"/>
      <c r="J16" s="3"/>
      <c r="K16" s="3"/>
      <c r="L16" s="3"/>
      <c r="M16" s="3"/>
      <c r="N16" s="3"/>
    </row>
    <row r="17" spans="1:14" ht="16.5">
      <c r="A17" s="23">
        <v>5</v>
      </c>
      <c r="B17" s="24" t="s">
        <v>18</v>
      </c>
      <c r="C17" s="21">
        <v>25</v>
      </c>
      <c r="D17" s="22">
        <f>A17*C17</f>
        <v>125</v>
      </c>
      <c r="E17" s="3"/>
      <c r="F17" s="3"/>
      <c r="I17" s="3"/>
      <c r="J17" s="3"/>
      <c r="K17" s="3"/>
      <c r="L17" s="3"/>
      <c r="M17" s="3"/>
      <c r="N17" s="3"/>
    </row>
    <row r="18" spans="1:14" ht="16.5">
      <c r="A18" s="25" t="s">
        <v>20</v>
      </c>
      <c r="B18" s="26" t="s">
        <v>18</v>
      </c>
      <c r="C18" s="21">
        <v>4</v>
      </c>
      <c r="D18" s="22">
        <f>+C18*1</f>
        <v>4</v>
      </c>
      <c r="E18" s="3"/>
      <c r="F18" s="3"/>
      <c r="I18" s="3"/>
      <c r="J18" s="3"/>
      <c r="K18" s="3"/>
      <c r="L18" s="3"/>
      <c r="M18" s="3"/>
      <c r="N18" s="3"/>
    </row>
    <row r="19" spans="1:14" ht="16.5">
      <c r="A19" s="25"/>
      <c r="B19" s="26"/>
      <c r="C19" s="21">
        <v>0</v>
      </c>
      <c r="D19" s="22">
        <f>+C19*0.025</f>
        <v>0</v>
      </c>
      <c r="E19" s="3"/>
      <c r="F19" s="3"/>
    </row>
    <row r="20" spans="1:14" ht="16.5">
      <c r="A20" s="49" t="s">
        <v>21</v>
      </c>
      <c r="B20" s="50"/>
      <c r="C20" s="29"/>
      <c r="D20" s="30">
        <f>SUM(D12:D19)</f>
        <v>599</v>
      </c>
      <c r="E20" s="3"/>
      <c r="F20" s="3"/>
    </row>
  </sheetData>
  <mergeCells count="3">
    <mergeCell ref="A2:P2"/>
    <mergeCell ref="A11:D11"/>
    <mergeCell ref="A20:B20"/>
  </mergeCells>
  <pageMargins left="0.7" right="0.7" top="0.75" bottom="0.75" header="0.3" footer="0.3"/>
  <pageSetup paperSize="9" scale="78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3AD3-40E1-4833-A896-9BD63673BD70}">
  <sheetPr>
    <pageSetUpPr fitToPage="1"/>
  </sheetPr>
  <dimension ref="A1:P20"/>
  <sheetViews>
    <sheetView workbookViewId="0">
      <selection sqref="A1:XFD1048576"/>
    </sheetView>
  </sheetViews>
  <sheetFormatPr defaultRowHeight="15"/>
  <cols>
    <col min="1" max="1" width="29.85546875" bestFit="1" customWidth="1"/>
  </cols>
  <sheetData>
    <row r="1" spans="1:16" ht="16.5">
      <c r="A1" s="1" t="s">
        <v>84</v>
      </c>
      <c r="B1" s="2"/>
      <c r="C1" s="3"/>
      <c r="D1" s="3"/>
      <c r="E1" s="3"/>
      <c r="F1" s="3"/>
      <c r="G1" s="3"/>
      <c r="H1" s="3"/>
      <c r="I1" s="36"/>
      <c r="J1" s="3"/>
      <c r="K1" s="3"/>
      <c r="L1" s="3"/>
      <c r="M1" s="3"/>
      <c r="N1" s="3"/>
      <c r="O1" s="4" t="s">
        <v>0</v>
      </c>
    </row>
    <row r="2" spans="1:16" ht="16.5">
      <c r="A2" s="43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5"/>
    </row>
    <row r="3" spans="1:16" ht="66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6" t="s">
        <v>78</v>
      </c>
      <c r="I3" s="37" t="s">
        <v>60</v>
      </c>
      <c r="J3" s="6" t="s">
        <v>51</v>
      </c>
      <c r="K3" s="6" t="s">
        <v>52</v>
      </c>
      <c r="L3" s="6" t="s">
        <v>8</v>
      </c>
      <c r="M3" s="34"/>
      <c r="N3" s="6" t="s">
        <v>9</v>
      </c>
      <c r="O3" s="6" t="s">
        <v>10</v>
      </c>
      <c r="P3" s="7" t="s">
        <v>11</v>
      </c>
    </row>
    <row r="4" spans="1:16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10">
        <f>SUM(C4:K4)</f>
        <v>0</v>
      </c>
      <c r="M4" s="34"/>
      <c r="N4" s="9">
        <v>16</v>
      </c>
      <c r="O4" s="11">
        <f>IF(L4&gt;N4,L4-N4,0)</f>
        <v>0</v>
      </c>
      <c r="P4" s="12">
        <f>IF(N4&gt;L4,N4-L4,0)</f>
        <v>16</v>
      </c>
    </row>
    <row r="5" spans="1:16" ht="16.5">
      <c r="A5" s="8" t="s">
        <v>13</v>
      </c>
      <c r="B5" s="9">
        <v>0</v>
      </c>
      <c r="C5" s="9">
        <v>0</v>
      </c>
      <c r="D5" s="9">
        <v>180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10">
        <f>SUM(C5:K5)</f>
        <v>180</v>
      </c>
      <c r="M5" s="34"/>
      <c r="N5" s="9">
        <v>180</v>
      </c>
      <c r="O5" s="11">
        <f>IF(L5&gt;N5,L5-N5,0)</f>
        <v>0</v>
      </c>
      <c r="P5" s="12">
        <f>IF(N5&gt;L5,N5-L5,0)</f>
        <v>0</v>
      </c>
    </row>
    <row r="6" spans="1:16" ht="16.5">
      <c r="A6" t="s">
        <v>17</v>
      </c>
      <c r="B6" s="9">
        <v>213</v>
      </c>
      <c r="C6" s="9">
        <f>78+20+32+60+40+78+27+55+58+46+86+20+14+20+20+20+20+32+29+20+72+120+64+20+29+29+15+6+20+20+5</f>
        <v>1175</v>
      </c>
      <c r="D6" s="9">
        <v>0</v>
      </c>
      <c r="E6" s="9">
        <v>0</v>
      </c>
      <c r="F6" s="9">
        <v>32</v>
      </c>
      <c r="G6" s="9">
        <v>0</v>
      </c>
      <c r="H6" s="9">
        <v>0</v>
      </c>
      <c r="I6" s="9">
        <v>337</v>
      </c>
      <c r="J6" s="9">
        <v>0</v>
      </c>
      <c r="K6" s="9">
        <v>0</v>
      </c>
      <c r="L6" s="10">
        <f>SUM(B6:J6)</f>
        <v>1757</v>
      </c>
      <c r="M6" s="34"/>
      <c r="N6" s="9">
        <v>1876</v>
      </c>
      <c r="O6" s="11">
        <f>IF(L6&gt;N6,L6-N6,0)</f>
        <v>0</v>
      </c>
      <c r="P6" s="12">
        <f>IF(N6&gt;L6,N6-L6,0)</f>
        <v>119</v>
      </c>
    </row>
    <row r="7" spans="1:16" ht="16.5">
      <c r="A7" t="s">
        <v>14</v>
      </c>
      <c r="B7" s="9">
        <v>62</v>
      </c>
      <c r="C7" s="9">
        <f>166+128+26+26+25+29+20+20+20+20+20+40+12+42+110+40+38+38+26</f>
        <v>846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29</v>
      </c>
      <c r="J7" s="9">
        <v>0</v>
      </c>
      <c r="K7" s="9">
        <v>0</v>
      </c>
      <c r="L7" s="10">
        <f>SUM(B7:K7)</f>
        <v>937</v>
      </c>
      <c r="M7" s="34"/>
      <c r="N7" s="9">
        <v>937</v>
      </c>
      <c r="O7" s="11">
        <f>IF(L7&gt;N7,L7-N7,0)</f>
        <v>0</v>
      </c>
      <c r="P7" s="12">
        <f>IF(N7&gt;L7,N7-L7,0)</f>
        <v>0</v>
      </c>
    </row>
    <row r="8" spans="1:16" ht="16.5">
      <c r="A8" t="s">
        <v>36</v>
      </c>
      <c r="B8" s="9">
        <v>577</v>
      </c>
      <c r="C8" s="9">
        <f>80+7+40+26+29+32+32+60+20+12+72+64+26+32+52+209+127+224</f>
        <v>1144</v>
      </c>
      <c r="D8" s="9">
        <v>0</v>
      </c>
      <c r="E8" s="9">
        <v>0</v>
      </c>
      <c r="F8" s="9">
        <v>64</v>
      </c>
      <c r="G8" s="9">
        <v>0</v>
      </c>
      <c r="H8" s="9">
        <v>0</v>
      </c>
      <c r="I8" s="9">
        <v>192</v>
      </c>
      <c r="J8" s="9">
        <v>0</v>
      </c>
      <c r="K8" s="9">
        <v>0</v>
      </c>
      <c r="L8" s="40">
        <f>SUM(B8:K8)</f>
        <v>1977</v>
      </c>
      <c r="M8" s="34"/>
      <c r="N8" s="9">
        <v>1977</v>
      </c>
      <c r="O8" s="11">
        <f t="shared" ref="O8" si="0">IF(L8&gt;N8,L8-N8,0)</f>
        <v>0</v>
      </c>
      <c r="P8" s="12">
        <f>IF(N8&gt;L8,N8-L8,0)</f>
        <v>0</v>
      </c>
    </row>
    <row r="9" spans="1:16" ht="17.25" thickBot="1">
      <c r="A9" s="14"/>
      <c r="B9" s="15">
        <f t="shared" ref="B9:L9" si="1">SUM(B4:B8)</f>
        <v>852</v>
      </c>
      <c r="C9" s="15">
        <f t="shared" si="1"/>
        <v>3165</v>
      </c>
      <c r="D9" s="15">
        <f t="shared" si="1"/>
        <v>180</v>
      </c>
      <c r="E9" s="15">
        <f t="shared" si="1"/>
        <v>0</v>
      </c>
      <c r="F9" s="15">
        <f t="shared" si="1"/>
        <v>96</v>
      </c>
      <c r="G9" s="15">
        <f t="shared" si="1"/>
        <v>0</v>
      </c>
      <c r="H9" s="15">
        <f t="shared" si="1"/>
        <v>0</v>
      </c>
      <c r="I9" s="38">
        <f t="shared" si="1"/>
        <v>558</v>
      </c>
      <c r="J9" s="15">
        <f t="shared" si="1"/>
        <v>0</v>
      </c>
      <c r="K9" s="15">
        <f t="shared" si="1"/>
        <v>0</v>
      </c>
      <c r="L9" s="15">
        <f t="shared" si="1"/>
        <v>4851</v>
      </c>
      <c r="M9" s="16"/>
      <c r="N9" s="15">
        <f>SUM(N4:N8)</f>
        <v>4986</v>
      </c>
      <c r="O9" s="15">
        <f>SUM(O4:O8)</f>
        <v>0</v>
      </c>
      <c r="P9" s="15">
        <f>SUM(P4:P8)</f>
        <v>135</v>
      </c>
    </row>
    <row r="10" spans="1:16" ht="17.25" thickBot="1">
      <c r="A10" s="17"/>
      <c r="B10" s="18"/>
      <c r="C10" s="18"/>
      <c r="D10" s="3"/>
      <c r="E10" s="18"/>
      <c r="F10" s="18"/>
      <c r="G10" s="18"/>
      <c r="H10" s="18"/>
      <c r="I10" s="39"/>
      <c r="J10" s="18"/>
      <c r="K10" s="18"/>
      <c r="L10" s="3"/>
      <c r="M10" s="3"/>
      <c r="N10" s="3"/>
      <c r="O10" s="3"/>
    </row>
    <row r="11" spans="1:16" ht="17.25" thickBot="1">
      <c r="A11" s="46" t="s">
        <v>83</v>
      </c>
      <c r="B11" s="47"/>
      <c r="C11" s="47"/>
      <c r="D11" s="48"/>
      <c r="E11" s="18"/>
      <c r="F11" s="18"/>
      <c r="G11" s="18"/>
      <c r="H11" s="18"/>
      <c r="I11" s="39"/>
      <c r="J11" s="18"/>
      <c r="N11" s="3"/>
      <c r="O11" s="3"/>
    </row>
    <row r="12" spans="1:16" ht="16.5">
      <c r="A12" s="19">
        <v>500</v>
      </c>
      <c r="B12" s="20" t="s">
        <v>18</v>
      </c>
      <c r="C12" s="21">
        <v>1</v>
      </c>
      <c r="D12" s="22">
        <f>A12*C12</f>
        <v>500</v>
      </c>
      <c r="F12" s="3"/>
      <c r="G12" s="3"/>
      <c r="H12" s="3"/>
      <c r="I12" s="36"/>
      <c r="J12" s="3"/>
      <c r="M12" s="3"/>
    </row>
    <row r="13" spans="1:16" ht="16.5">
      <c r="A13" s="23">
        <v>100</v>
      </c>
      <c r="B13" s="24">
        <v>1</v>
      </c>
      <c r="C13" s="21">
        <v>0</v>
      </c>
      <c r="D13" s="22">
        <f t="shared" ref="D13" si="2">A13*C13</f>
        <v>0</v>
      </c>
      <c r="E13" s="3"/>
      <c r="F13" s="3"/>
      <c r="G13" s="3"/>
      <c r="H13" s="3"/>
      <c r="I13" s="36"/>
      <c r="J13" s="3"/>
      <c r="N13" s="3"/>
    </row>
    <row r="14" spans="1:16" ht="16.5">
      <c r="A14" s="23">
        <v>50</v>
      </c>
      <c r="B14" s="24" t="s">
        <v>18</v>
      </c>
      <c r="C14" s="21">
        <v>3</v>
      </c>
      <c r="D14" s="22">
        <f>A14*C14</f>
        <v>150</v>
      </c>
      <c r="E14" s="3"/>
    </row>
    <row r="15" spans="1:16" ht="16.5">
      <c r="A15" s="23">
        <v>20</v>
      </c>
      <c r="B15" s="24" t="s">
        <v>18</v>
      </c>
      <c r="C15" s="21">
        <v>2</v>
      </c>
      <c r="D15" s="22">
        <f>A15*C15</f>
        <v>40</v>
      </c>
      <c r="E15" s="3"/>
    </row>
    <row r="16" spans="1:16" ht="16.5">
      <c r="A16" s="23">
        <v>10</v>
      </c>
      <c r="B16" s="24" t="s">
        <v>18</v>
      </c>
      <c r="C16" s="21">
        <v>10</v>
      </c>
      <c r="D16" s="22">
        <f>A16*C16</f>
        <v>100</v>
      </c>
      <c r="E16" s="3"/>
    </row>
    <row r="17" spans="1:5" ht="16.5">
      <c r="A17" s="23">
        <v>5</v>
      </c>
      <c r="B17" s="24" t="s">
        <v>18</v>
      </c>
      <c r="C17" s="21">
        <v>7</v>
      </c>
      <c r="D17" s="22">
        <f>A17*C17</f>
        <v>35</v>
      </c>
      <c r="E17" s="3"/>
    </row>
    <row r="18" spans="1:5" ht="16.5">
      <c r="A18" s="25" t="s">
        <v>20</v>
      </c>
      <c r="B18" s="26" t="s">
        <v>18</v>
      </c>
      <c r="C18" s="21">
        <v>27</v>
      </c>
      <c r="D18" s="22">
        <f>+C18*1</f>
        <v>27</v>
      </c>
      <c r="E18" s="3"/>
    </row>
    <row r="19" spans="1:5" ht="16.5">
      <c r="A19" s="25"/>
      <c r="B19" s="26"/>
      <c r="C19" s="21">
        <v>0</v>
      </c>
      <c r="D19" s="22">
        <f>+C19*0.025</f>
        <v>0</v>
      </c>
      <c r="E19" s="3"/>
    </row>
    <row r="20" spans="1:5" ht="16.5">
      <c r="A20" s="49" t="s">
        <v>21</v>
      </c>
      <c r="B20" s="50"/>
      <c r="C20" s="29"/>
      <c r="D20" s="30">
        <f>SUM(D12:D19)</f>
        <v>852</v>
      </c>
      <c r="E20" s="3"/>
    </row>
  </sheetData>
  <mergeCells count="3">
    <mergeCell ref="A2:P2"/>
    <mergeCell ref="A11:D11"/>
    <mergeCell ref="A20:B20"/>
  </mergeCells>
  <pageMargins left="0.7" right="0.7" top="0.75" bottom="0.75" header="0.3" footer="0.3"/>
  <pageSetup paperSize="9" scale="7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B296-8493-4AED-B535-09AA0DE50BFC}">
  <sheetPr>
    <pageSetUpPr fitToPage="1"/>
  </sheetPr>
  <dimension ref="A1:P20"/>
  <sheetViews>
    <sheetView workbookViewId="0">
      <selection activeCell="J21" sqref="J21"/>
    </sheetView>
  </sheetViews>
  <sheetFormatPr defaultRowHeight="15"/>
  <cols>
    <col min="1" max="1" width="29.85546875" bestFit="1" customWidth="1"/>
  </cols>
  <sheetData>
    <row r="1" spans="1:16" ht="16.5">
      <c r="A1" s="1" t="s">
        <v>86</v>
      </c>
      <c r="B1" s="2"/>
      <c r="C1" s="3"/>
      <c r="D1" s="3"/>
      <c r="E1" s="3"/>
      <c r="F1" s="3"/>
      <c r="G1" s="3"/>
      <c r="H1" s="3"/>
      <c r="I1" s="36"/>
      <c r="J1" s="3"/>
      <c r="K1" s="3"/>
      <c r="L1" s="3"/>
      <c r="M1" s="3"/>
      <c r="N1" s="3"/>
      <c r="O1" s="4" t="s">
        <v>0</v>
      </c>
    </row>
    <row r="2" spans="1:16" ht="16.5">
      <c r="A2" s="43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5"/>
    </row>
    <row r="3" spans="1:16" ht="66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6" t="s">
        <v>78</v>
      </c>
      <c r="I3" s="37" t="s">
        <v>60</v>
      </c>
      <c r="J3" s="6" t="s">
        <v>51</v>
      </c>
      <c r="K3" s="6" t="s">
        <v>52</v>
      </c>
      <c r="L3" s="6" t="s">
        <v>8</v>
      </c>
      <c r="M3" s="34"/>
      <c r="N3" s="6" t="s">
        <v>9</v>
      </c>
      <c r="O3" s="6" t="s">
        <v>10</v>
      </c>
      <c r="P3" s="7" t="s">
        <v>11</v>
      </c>
    </row>
    <row r="4" spans="1:16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10">
        <f>SUM(C4:K4)</f>
        <v>0</v>
      </c>
      <c r="M4" s="34"/>
      <c r="N4" s="9">
        <v>0</v>
      </c>
      <c r="O4" s="11">
        <f>IF(L4&gt;N4,L4-N4,0)</f>
        <v>0</v>
      </c>
      <c r="P4" s="12">
        <f>IF(N4&gt;L4,N4-L4,0)</f>
        <v>0</v>
      </c>
    </row>
    <row r="5" spans="1:16" ht="16.5">
      <c r="A5" s="8" t="s">
        <v>13</v>
      </c>
      <c r="B5" s="9">
        <v>0</v>
      </c>
      <c r="C5" s="9">
        <v>0</v>
      </c>
      <c r="D5" s="9">
        <v>160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10">
        <f>SUM(C5:K5)</f>
        <v>160</v>
      </c>
      <c r="M5" s="34"/>
      <c r="N5" s="9">
        <v>160</v>
      </c>
      <c r="O5" s="11">
        <f>IF(L5&gt;N5,L5-N5,0)</f>
        <v>0</v>
      </c>
      <c r="P5" s="12">
        <f>IF(N5&gt;L5,N5-L5,0)</f>
        <v>0</v>
      </c>
    </row>
    <row r="6" spans="1:16" ht="16.5">
      <c r="A6" t="s">
        <v>24</v>
      </c>
      <c r="B6" s="9">
        <v>364</v>
      </c>
      <c r="C6" s="9">
        <f>78+32+4+12+20+47+232+32+31+128+24+40+59+32</f>
        <v>771</v>
      </c>
      <c r="D6" s="9">
        <v>0</v>
      </c>
      <c r="E6" s="9">
        <v>0</v>
      </c>
      <c r="F6" s="9">
        <v>0</v>
      </c>
      <c r="G6" s="9">
        <v>0</v>
      </c>
      <c r="H6" s="9">
        <v>323</v>
      </c>
      <c r="I6" s="9">
        <v>96</v>
      </c>
      <c r="J6" s="9">
        <v>0</v>
      </c>
      <c r="K6" s="9">
        <v>0</v>
      </c>
      <c r="L6" s="10">
        <f>SUM(B6:J6)</f>
        <v>1554</v>
      </c>
      <c r="M6" s="34"/>
      <c r="N6" s="9">
        <v>1616</v>
      </c>
      <c r="O6" s="11">
        <f>IF(L6&gt;N6,L6-N6,0)</f>
        <v>0</v>
      </c>
      <c r="P6" s="12">
        <f>IF(N6&gt;L6,N6-L6,0)</f>
        <v>62</v>
      </c>
    </row>
    <row r="7" spans="1:16" ht="16.5">
      <c r="A7" t="s">
        <v>25</v>
      </c>
      <c r="B7" s="9">
        <v>308</v>
      </c>
      <c r="C7" s="9">
        <f>40+26+32+92+104+55+141+20+30+4+32+24+32+32+32+46</f>
        <v>742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186</v>
      </c>
      <c r="J7" s="9">
        <v>0</v>
      </c>
      <c r="K7" s="9">
        <v>0</v>
      </c>
      <c r="L7" s="10">
        <f>SUM(B7:K7)</f>
        <v>1236</v>
      </c>
      <c r="M7" s="34"/>
      <c r="N7" s="9">
        <v>1236</v>
      </c>
      <c r="O7" s="11">
        <f>IF(L7&gt;N7,L7-N7,0)</f>
        <v>0</v>
      </c>
      <c r="P7" s="12">
        <f>IF(N7&gt;L7,N7-L7,0)</f>
        <v>0</v>
      </c>
    </row>
    <row r="8" spans="1:16" ht="16.5">
      <c r="A8" t="s">
        <v>36</v>
      </c>
      <c r="B8" s="9">
        <v>209</v>
      </c>
      <c r="C8" s="9">
        <f>32+20+153+27+20+116+40+142+32+32+32+32</f>
        <v>678</v>
      </c>
      <c r="D8" s="9">
        <v>0</v>
      </c>
      <c r="E8" s="9">
        <v>0</v>
      </c>
      <c r="F8" s="9">
        <v>32</v>
      </c>
      <c r="G8" s="9">
        <v>0</v>
      </c>
      <c r="H8" s="9">
        <v>0</v>
      </c>
      <c r="I8" s="9">
        <v>128</v>
      </c>
      <c r="J8" s="9">
        <v>0</v>
      </c>
      <c r="K8" s="9">
        <v>0</v>
      </c>
      <c r="L8" s="40">
        <f>SUM(B8:K8)</f>
        <v>1047</v>
      </c>
      <c r="M8" s="34"/>
      <c r="N8" s="9">
        <v>1047</v>
      </c>
      <c r="O8" s="11">
        <f t="shared" ref="O8" si="0">IF(L8&gt;N8,L8-N8,0)</f>
        <v>0</v>
      </c>
      <c r="P8" s="12">
        <f>IF(N8&gt;L8,N8-L8,0)</f>
        <v>0</v>
      </c>
    </row>
    <row r="9" spans="1:16" ht="17.25" thickBot="1">
      <c r="A9" s="14"/>
      <c r="B9" s="15">
        <f t="shared" ref="B9:L9" si="1">SUM(B4:B8)</f>
        <v>881</v>
      </c>
      <c r="C9" s="15">
        <f t="shared" si="1"/>
        <v>2191</v>
      </c>
      <c r="D9" s="15">
        <f t="shared" si="1"/>
        <v>160</v>
      </c>
      <c r="E9" s="15">
        <f t="shared" si="1"/>
        <v>0</v>
      </c>
      <c r="F9" s="15">
        <f t="shared" si="1"/>
        <v>32</v>
      </c>
      <c r="G9" s="15">
        <f t="shared" si="1"/>
        <v>0</v>
      </c>
      <c r="H9" s="15">
        <f t="shared" si="1"/>
        <v>323</v>
      </c>
      <c r="I9" s="38">
        <f t="shared" si="1"/>
        <v>410</v>
      </c>
      <c r="J9" s="15">
        <f t="shared" si="1"/>
        <v>0</v>
      </c>
      <c r="K9" s="15">
        <f t="shared" si="1"/>
        <v>0</v>
      </c>
      <c r="L9" s="15">
        <f t="shared" si="1"/>
        <v>3997</v>
      </c>
      <c r="M9" s="16"/>
      <c r="N9" s="15">
        <f>SUM(N4:N8)</f>
        <v>4059</v>
      </c>
      <c r="O9" s="15">
        <f>SUM(O4:O8)</f>
        <v>0</v>
      </c>
      <c r="P9" s="15">
        <f>SUM(P4:P8)</f>
        <v>62</v>
      </c>
    </row>
    <row r="10" spans="1:16" ht="17.25" thickBot="1">
      <c r="A10" s="17"/>
      <c r="B10" s="18"/>
      <c r="C10" s="18"/>
      <c r="D10" s="3"/>
      <c r="E10" s="18"/>
      <c r="F10" s="18"/>
      <c r="G10" s="18"/>
      <c r="H10" s="18"/>
      <c r="I10" s="39"/>
      <c r="J10" s="18"/>
      <c r="K10" s="18"/>
      <c r="L10" s="3"/>
      <c r="M10" s="3"/>
      <c r="N10" s="3"/>
      <c r="O10" s="3"/>
    </row>
    <row r="11" spans="1:16" ht="17.25" thickBot="1">
      <c r="A11" s="46" t="s">
        <v>85</v>
      </c>
      <c r="B11" s="47"/>
      <c r="C11" s="47"/>
      <c r="D11" s="48"/>
      <c r="E11" s="18"/>
      <c r="F11" s="18"/>
      <c r="G11" s="18"/>
      <c r="H11" s="18"/>
      <c r="I11" s="39"/>
      <c r="J11" s="18"/>
      <c r="N11" s="3"/>
      <c r="O11" s="3"/>
    </row>
    <row r="12" spans="1:16" ht="16.5">
      <c r="A12" s="19">
        <v>500</v>
      </c>
      <c r="B12" s="20" t="s">
        <v>18</v>
      </c>
      <c r="C12" s="21">
        <v>0</v>
      </c>
      <c r="D12" s="22">
        <f>A12*C12</f>
        <v>0</v>
      </c>
      <c r="F12" s="3"/>
      <c r="G12" s="3"/>
      <c r="H12" s="3"/>
      <c r="I12" s="36"/>
      <c r="J12" s="3"/>
      <c r="M12" s="3"/>
    </row>
    <row r="13" spans="1:16" ht="16.5">
      <c r="A13" s="23">
        <v>100</v>
      </c>
      <c r="B13" s="24">
        <v>1</v>
      </c>
      <c r="C13" s="21">
        <v>0</v>
      </c>
      <c r="D13" s="22">
        <f t="shared" ref="D13" si="2">A13*C13</f>
        <v>0</v>
      </c>
      <c r="E13" s="3"/>
      <c r="F13" s="3"/>
      <c r="G13" s="3"/>
      <c r="H13" s="3"/>
      <c r="I13" s="36"/>
      <c r="J13" s="3"/>
      <c r="N13" s="3"/>
    </row>
    <row r="14" spans="1:16" ht="16.5">
      <c r="A14" s="23">
        <v>50</v>
      </c>
      <c r="B14" s="24" t="s">
        <v>18</v>
      </c>
      <c r="C14" s="21">
        <v>1</v>
      </c>
      <c r="D14" s="22">
        <f>A14*C14</f>
        <v>50</v>
      </c>
      <c r="E14" s="3"/>
    </row>
    <row r="15" spans="1:16" ht="16.5">
      <c r="A15" s="23">
        <v>20</v>
      </c>
      <c r="B15" s="24" t="s">
        <v>18</v>
      </c>
      <c r="C15" s="21">
        <v>0</v>
      </c>
      <c r="D15" s="22">
        <f>A15*C15</f>
        <v>0</v>
      </c>
      <c r="E15" s="3"/>
    </row>
    <row r="16" spans="1:16" ht="16.5">
      <c r="A16" s="23">
        <v>10</v>
      </c>
      <c r="B16" s="24" t="s">
        <v>18</v>
      </c>
      <c r="C16" s="21">
        <v>49</v>
      </c>
      <c r="D16" s="22">
        <f>A16*C16</f>
        <v>490</v>
      </c>
      <c r="E16" s="3"/>
    </row>
    <row r="17" spans="1:5" ht="16.5">
      <c r="A17" s="23">
        <v>5</v>
      </c>
      <c r="B17" s="24" t="s">
        <v>18</v>
      </c>
      <c r="C17" s="21">
        <v>64</v>
      </c>
      <c r="D17" s="22">
        <f>A17*C17</f>
        <v>320</v>
      </c>
      <c r="E17" s="3"/>
    </row>
    <row r="18" spans="1:5" ht="16.5">
      <c r="A18" s="25" t="s">
        <v>20</v>
      </c>
      <c r="B18" s="26" t="s">
        <v>18</v>
      </c>
      <c r="C18" s="21">
        <v>21</v>
      </c>
      <c r="D18" s="22">
        <f>+C18*1</f>
        <v>21</v>
      </c>
      <c r="E18" s="3"/>
    </row>
    <row r="19" spans="1:5" ht="16.5">
      <c r="A19" s="25"/>
      <c r="B19" s="26"/>
      <c r="C19" s="21">
        <v>0</v>
      </c>
      <c r="D19" s="22">
        <f>+C19*0.025</f>
        <v>0</v>
      </c>
      <c r="E19" s="3"/>
    </row>
    <row r="20" spans="1:5" ht="16.5">
      <c r="A20" s="49" t="s">
        <v>21</v>
      </c>
      <c r="B20" s="50"/>
      <c r="C20" s="29"/>
      <c r="D20" s="30">
        <f>SUM(D12:D19)</f>
        <v>881</v>
      </c>
      <c r="E20" s="3"/>
    </row>
  </sheetData>
  <mergeCells count="3">
    <mergeCell ref="A2:P2"/>
    <mergeCell ref="A11:D11"/>
    <mergeCell ref="A20:B20"/>
  </mergeCells>
  <pageMargins left="0.7" right="0.7" top="0.75" bottom="0.75" header="0.3" footer="0.3"/>
  <pageSetup paperSize="9" scale="78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4BA96-13A4-48F8-8A6B-6E37788EC31E}">
  <sheetPr>
    <pageSetUpPr fitToPage="1"/>
  </sheetPr>
  <dimension ref="A1:P20"/>
  <sheetViews>
    <sheetView tabSelected="1" workbookViewId="0">
      <selection activeCell="H18" sqref="H18"/>
    </sheetView>
  </sheetViews>
  <sheetFormatPr defaultRowHeight="15"/>
  <cols>
    <col min="1" max="1" width="29.85546875" bestFit="1" customWidth="1"/>
  </cols>
  <sheetData>
    <row r="1" spans="1:16" ht="16.5">
      <c r="A1" s="1" t="s">
        <v>88</v>
      </c>
      <c r="B1" s="2"/>
      <c r="C1" s="3"/>
      <c r="D1" s="3"/>
      <c r="E1" s="3"/>
      <c r="F1" s="3"/>
      <c r="G1" s="3"/>
      <c r="H1" s="3"/>
      <c r="I1" s="36"/>
      <c r="J1" s="3"/>
      <c r="K1" s="3"/>
      <c r="L1" s="3"/>
      <c r="M1" s="3"/>
      <c r="N1" s="3"/>
      <c r="O1" s="4" t="s">
        <v>0</v>
      </c>
    </row>
    <row r="2" spans="1:16" ht="16.5">
      <c r="A2" s="43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5"/>
    </row>
    <row r="3" spans="1:16" ht="66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28</v>
      </c>
      <c r="G3" s="6" t="s">
        <v>7</v>
      </c>
      <c r="H3" s="6" t="s">
        <v>78</v>
      </c>
      <c r="I3" s="37" t="s">
        <v>60</v>
      </c>
      <c r="J3" s="6" t="s">
        <v>51</v>
      </c>
      <c r="K3" s="6" t="s">
        <v>52</v>
      </c>
      <c r="L3" s="6" t="s">
        <v>8</v>
      </c>
      <c r="M3" s="34"/>
      <c r="N3" s="6" t="s">
        <v>9</v>
      </c>
      <c r="O3" s="6" t="s">
        <v>10</v>
      </c>
      <c r="P3" s="7" t="s">
        <v>11</v>
      </c>
    </row>
    <row r="4" spans="1:16" ht="16.5">
      <c r="A4" s="8" t="s">
        <v>12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10">
        <f>SUM(C4:K4)</f>
        <v>0</v>
      </c>
      <c r="M4" s="34"/>
      <c r="N4" s="9">
        <v>0</v>
      </c>
      <c r="O4" s="11">
        <f>IF(L4&gt;N4,L4-N4,0)</f>
        <v>0</v>
      </c>
      <c r="P4" s="12">
        <f>IF(N4&gt;L4,N4-L4,0)</f>
        <v>0</v>
      </c>
    </row>
    <row r="5" spans="1:16" ht="16.5">
      <c r="A5" s="8" t="s">
        <v>13</v>
      </c>
      <c r="B5" s="9">
        <v>0</v>
      </c>
      <c r="C5" s="9">
        <v>0</v>
      </c>
      <c r="D5" s="9">
        <v>32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10">
        <f>SUM(C5:K5)</f>
        <v>32</v>
      </c>
      <c r="M5" s="34"/>
      <c r="N5" s="9">
        <v>32</v>
      </c>
      <c r="O5" s="11">
        <f>IF(L5&gt;N5,L5-N5,0)</f>
        <v>0</v>
      </c>
      <c r="P5" s="12">
        <f>IF(N5&gt;L5,N5-L5,0)</f>
        <v>0</v>
      </c>
    </row>
    <row r="6" spans="1:16" ht="16.5">
      <c r="A6" t="s">
        <v>17</v>
      </c>
      <c r="B6" s="9">
        <v>92</v>
      </c>
      <c r="C6" s="9">
        <f>205+29+58+20+58+20+40+7+180+148+20+64+78+20+32+113+32+32</f>
        <v>1156</v>
      </c>
      <c r="D6" s="9">
        <v>0</v>
      </c>
      <c r="E6" s="9">
        <v>0</v>
      </c>
      <c r="F6" s="9">
        <v>32</v>
      </c>
      <c r="G6" s="9">
        <v>0</v>
      </c>
      <c r="H6" s="9">
        <v>0</v>
      </c>
      <c r="I6" s="9">
        <v>157</v>
      </c>
      <c r="J6" s="9">
        <v>0</v>
      </c>
      <c r="K6" s="9">
        <v>0</v>
      </c>
      <c r="L6" s="10">
        <f>SUM(B6:J6)</f>
        <v>1437</v>
      </c>
      <c r="M6" s="34"/>
      <c r="N6" s="9">
        <v>1437</v>
      </c>
      <c r="O6" s="11">
        <f>IF(L6&gt;N6,L6-N6,0)</f>
        <v>0</v>
      </c>
      <c r="P6" s="12">
        <f>IF(N6&gt;L6,N6-L6,0)</f>
        <v>0</v>
      </c>
    </row>
    <row r="7" spans="1:16" ht="16.5">
      <c r="A7" t="s">
        <v>25</v>
      </c>
      <c r="B7" s="9">
        <v>35</v>
      </c>
      <c r="C7" s="9">
        <f>32+32+32+32+32+32+32+32+32+21+64+20+24+55+84+65+64+265+40+15+24+96+27+136+96+150+24+88+24+140+24+26+150+29+60</f>
        <v>2099</v>
      </c>
      <c r="D7" s="9">
        <v>0</v>
      </c>
      <c r="E7" s="9">
        <v>0</v>
      </c>
      <c r="F7" s="9">
        <v>32</v>
      </c>
      <c r="G7" s="9">
        <v>0</v>
      </c>
      <c r="H7" s="9">
        <v>0</v>
      </c>
      <c r="I7" s="9">
        <v>189</v>
      </c>
      <c r="J7" s="9">
        <v>0</v>
      </c>
      <c r="K7" s="9">
        <v>0</v>
      </c>
      <c r="L7" s="10">
        <f>SUM(B7:K7)</f>
        <v>2355</v>
      </c>
      <c r="M7" s="34"/>
      <c r="N7" s="9">
        <v>2355</v>
      </c>
      <c r="O7" s="11">
        <f>IF(L7&gt;N7,L7-N7,0)</f>
        <v>0</v>
      </c>
      <c r="P7" s="12">
        <f>IF(N7&gt;L7,N7-L7,0)</f>
        <v>0</v>
      </c>
    </row>
    <row r="8" spans="1:16" ht="16.5">
      <c r="A8" t="s">
        <v>24</v>
      </c>
      <c r="B8" s="9">
        <v>506</v>
      </c>
      <c r="C8" s="9">
        <f>70+26+59+40+70+20+26+32+20+20+20+12+7+32+26+112+45+20+32+32+34+24+20+20+38+32+32+32+32+84+38+20+40+107+150+129+5+29+20</f>
        <v>1607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375</v>
      </c>
      <c r="J8" s="9">
        <v>0</v>
      </c>
      <c r="K8" s="9">
        <v>0</v>
      </c>
      <c r="L8" s="10">
        <f>SUM(B8:K8)</f>
        <v>2488</v>
      </c>
      <c r="M8" s="34"/>
      <c r="N8" s="9">
        <v>2430</v>
      </c>
      <c r="O8" s="11">
        <f>IF(L8&gt;N8,L8-N8,0)</f>
        <v>58</v>
      </c>
      <c r="P8" s="12">
        <f>IF(N8&gt;L8,N8-L8,0)</f>
        <v>0</v>
      </c>
    </row>
    <row r="9" spans="1:16" ht="17.25" thickBot="1">
      <c r="A9" s="14"/>
      <c r="B9" s="15">
        <f t="shared" ref="B9:L9" ca="1" si="0">SUM(B4:B24)</f>
        <v>633</v>
      </c>
      <c r="C9" s="15">
        <f t="shared" ca="1" si="0"/>
        <v>0</v>
      </c>
      <c r="D9" s="15">
        <f t="shared" ca="1" si="0"/>
        <v>0</v>
      </c>
      <c r="E9" s="15">
        <f t="shared" ca="1" si="0"/>
        <v>0</v>
      </c>
      <c r="F9" s="15">
        <f t="shared" ca="1" si="0"/>
        <v>64</v>
      </c>
      <c r="G9" s="15">
        <f t="shared" ca="1" si="0"/>
        <v>0</v>
      </c>
      <c r="H9" s="15">
        <f t="shared" ca="1" si="0"/>
        <v>0</v>
      </c>
      <c r="I9" s="38">
        <f t="shared" ca="1" si="0"/>
        <v>721</v>
      </c>
      <c r="J9" s="15">
        <f t="shared" ca="1" si="0"/>
        <v>0</v>
      </c>
      <c r="K9" s="15">
        <f t="shared" ca="1" si="0"/>
        <v>0</v>
      </c>
      <c r="L9" s="15">
        <f t="shared" ca="1" si="0"/>
        <v>4673</v>
      </c>
      <c r="M9" s="16"/>
      <c r="N9" s="15">
        <f ca="1">SUM(N4:N24)</f>
        <v>6222</v>
      </c>
      <c r="O9" s="15">
        <f ca="1">SUM(O4:O24)</f>
        <v>0</v>
      </c>
      <c r="P9" s="15">
        <f ca="1">SUM(P4:P24)</f>
        <v>1549</v>
      </c>
    </row>
    <row r="10" spans="1:16" ht="17.25" thickBot="1">
      <c r="A10" s="17"/>
      <c r="B10" s="18"/>
      <c r="C10" s="18"/>
      <c r="D10" s="3"/>
      <c r="E10" s="18"/>
      <c r="F10" s="18"/>
      <c r="G10" s="18"/>
      <c r="H10" s="18"/>
      <c r="I10" s="39"/>
      <c r="J10" s="18"/>
      <c r="K10" s="18"/>
      <c r="L10" s="3"/>
      <c r="M10" s="3"/>
      <c r="N10" s="3"/>
      <c r="O10" s="3"/>
    </row>
    <row r="11" spans="1:16" ht="17.25" thickBot="1">
      <c r="A11" s="46" t="s">
        <v>87</v>
      </c>
      <c r="B11" s="47"/>
      <c r="C11" s="47"/>
      <c r="D11" s="48"/>
      <c r="E11" s="18"/>
      <c r="F11" s="18"/>
      <c r="G11" s="18"/>
      <c r="H11" s="18"/>
      <c r="I11" s="39"/>
      <c r="J11" s="18"/>
      <c r="N11" s="3"/>
      <c r="O11" s="3"/>
    </row>
    <row r="12" spans="1:16" ht="16.5">
      <c r="A12" s="19">
        <v>500</v>
      </c>
      <c r="B12" s="20" t="s">
        <v>18</v>
      </c>
      <c r="C12" s="21">
        <v>0</v>
      </c>
      <c r="D12" s="22">
        <f>A12*C12</f>
        <v>0</v>
      </c>
      <c r="F12" s="3"/>
      <c r="G12" s="3"/>
      <c r="H12" s="3"/>
      <c r="I12" s="36"/>
      <c r="J12" s="3"/>
      <c r="M12" s="3"/>
    </row>
    <row r="13" spans="1:16" ht="16.5">
      <c r="A13" s="23">
        <v>100</v>
      </c>
      <c r="B13" s="24">
        <v>1</v>
      </c>
      <c r="C13" s="21">
        <v>2</v>
      </c>
      <c r="D13" s="22">
        <f t="shared" ref="D13" si="1">A13*C13</f>
        <v>200</v>
      </c>
      <c r="E13" s="3"/>
      <c r="F13" s="3"/>
      <c r="G13" s="3"/>
      <c r="H13" s="3"/>
      <c r="I13" s="36"/>
      <c r="J13" s="3"/>
      <c r="N13" s="3"/>
    </row>
    <row r="14" spans="1:16" ht="16.5">
      <c r="A14" s="23">
        <v>50</v>
      </c>
      <c r="B14" s="24" t="s">
        <v>18</v>
      </c>
      <c r="C14" s="21">
        <v>5</v>
      </c>
      <c r="D14" s="22">
        <f>A14*C14</f>
        <v>250</v>
      </c>
      <c r="E14" s="3"/>
    </row>
    <row r="15" spans="1:16" ht="16.5">
      <c r="A15" s="23">
        <v>20</v>
      </c>
      <c r="B15" s="24" t="s">
        <v>18</v>
      </c>
      <c r="C15" s="21">
        <v>2</v>
      </c>
      <c r="D15" s="22">
        <f>A15*C15</f>
        <v>40</v>
      </c>
      <c r="E15" s="3"/>
    </row>
    <row r="16" spans="1:16" ht="16.5">
      <c r="A16" s="23">
        <v>10</v>
      </c>
      <c r="B16" s="24" t="s">
        <v>18</v>
      </c>
      <c r="C16" s="21">
        <v>6</v>
      </c>
      <c r="D16" s="22">
        <f>A16*C16</f>
        <v>60</v>
      </c>
      <c r="E16" s="3"/>
    </row>
    <row r="17" spans="1:5" ht="16.5">
      <c r="A17" s="23">
        <v>5</v>
      </c>
      <c r="B17" s="24" t="s">
        <v>18</v>
      </c>
      <c r="C17" s="21">
        <v>10</v>
      </c>
      <c r="D17" s="22">
        <f>A17*C17</f>
        <v>50</v>
      </c>
      <c r="E17" s="3"/>
    </row>
    <row r="18" spans="1:5" ht="16.5">
      <c r="A18" s="25" t="s">
        <v>20</v>
      </c>
      <c r="B18" s="26" t="s">
        <v>18</v>
      </c>
      <c r="C18" s="21">
        <v>33</v>
      </c>
      <c r="D18" s="22">
        <f>+C18*1</f>
        <v>33</v>
      </c>
      <c r="E18" s="3"/>
    </row>
    <row r="19" spans="1:5" ht="16.5">
      <c r="A19" s="25"/>
      <c r="B19" s="26"/>
      <c r="C19" s="21">
        <v>0</v>
      </c>
      <c r="D19" s="22">
        <f>+C19*0.025</f>
        <v>0</v>
      </c>
      <c r="E19" s="3"/>
    </row>
    <row r="20" spans="1:5" ht="16.5">
      <c r="A20" s="49" t="s">
        <v>21</v>
      </c>
      <c r="B20" s="50"/>
      <c r="C20" s="29"/>
      <c r="D20" s="30">
        <f>SUM(D12:D19)</f>
        <v>633</v>
      </c>
      <c r="E20" s="3"/>
    </row>
  </sheetData>
  <mergeCells count="3">
    <mergeCell ref="A2:P2"/>
    <mergeCell ref="A11:D11"/>
    <mergeCell ref="A20:B20"/>
  </mergeCells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01-02-2025</vt:lpstr>
      <vt:lpstr>02-02-205</vt:lpstr>
      <vt:lpstr>03.02.2025</vt:lpstr>
      <vt:lpstr>04.02.2025</vt:lpstr>
      <vt:lpstr>5.2.2025</vt:lpstr>
      <vt:lpstr>6.2.2025</vt:lpstr>
      <vt:lpstr>7.2.2025</vt:lpstr>
      <vt:lpstr>8.2.2025</vt:lpstr>
      <vt:lpstr>9.2.2025</vt:lpstr>
      <vt:lpstr>10-2-2025</vt:lpstr>
      <vt:lpstr>11.2.2025</vt:lpstr>
      <vt:lpstr>12.2.2025</vt:lpstr>
      <vt:lpstr>13.2.2025</vt:lpstr>
      <vt:lpstr>14.2.2025</vt:lpstr>
      <vt:lpstr>15.2.2025</vt:lpstr>
      <vt:lpstr>16.2.2025</vt:lpstr>
      <vt:lpstr>17.2.2025</vt:lpstr>
      <vt:lpstr>18.2.2025</vt:lpstr>
      <vt:lpstr>19.2.2025</vt:lpstr>
      <vt:lpstr>20-2-2025</vt:lpstr>
      <vt:lpstr>21-2-2025</vt:lpstr>
      <vt:lpstr>22-2-2025</vt:lpstr>
      <vt:lpstr>23.2.2025</vt:lpstr>
      <vt:lpstr>24.2.2025</vt:lpstr>
      <vt:lpstr>25.2.2025</vt:lpstr>
      <vt:lpstr>26.2.2025</vt:lpstr>
      <vt:lpstr>27.2.2025</vt:lpstr>
    </vt:vector>
  </TitlesOfParts>
  <Company>Al Othaim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Noir Finance Onizah</dc:creator>
  <cp:lastModifiedBy>Noir Finance Onizah</cp:lastModifiedBy>
  <cp:lastPrinted>2025-02-28T13:41:31Z</cp:lastPrinted>
  <dcterms:created xsi:type="dcterms:W3CDTF">2025-02-02T08:27:30Z</dcterms:created>
  <dcterms:modified xsi:type="dcterms:W3CDTF">2026-09-12T16:00:08Z</dcterms:modified>
</cp:coreProperties>
</file>