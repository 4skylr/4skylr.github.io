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irSupervisorOnizah\OneDrive - othaim.com\Desktop\R 2 OCT\"/>
    </mc:Choice>
  </mc:AlternateContent>
  <xr:revisionPtr revIDLastSave="0" documentId="8_{696881E0-4E0D-4733-B914-A014B15B122B}" xr6:coauthVersionLast="47" xr6:coauthVersionMax="47" xr10:uidLastSave="{00000000-0000-0000-0000-000000000000}"/>
  <bookViews>
    <workbookView xWindow="-120" yWindow="-120" windowWidth="29040" windowHeight="15720" tabRatio="500" activeTab="11" xr2:uid="{00000000-000D-0000-FFFF-FFFF00000000}"/>
  </bookViews>
  <sheets>
    <sheet name="YTD ummary" sheetId="1" r:id="rId1"/>
    <sheet name="MTD Summary" sheetId="2" r:id="rId2"/>
    <sheet name="Jan 2026" sheetId="3" r:id="rId3"/>
    <sheet name="Feb 2026" sheetId="4" r:id="rId4"/>
    <sheet name="Mar2026" sheetId="5" r:id="rId5"/>
    <sheet name="Apr2026" sheetId="6" r:id="rId6"/>
    <sheet name="May 2026" sheetId="7" r:id="rId7"/>
    <sheet name="Jun 2026" sheetId="8" r:id="rId8"/>
    <sheet name="Jul 2026" sheetId="9" r:id="rId9"/>
    <sheet name="Aug 2026" sheetId="10" r:id="rId10"/>
    <sheet name="Sep 2026" sheetId="11" r:id="rId11"/>
    <sheet name="Oct 2026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2" l="1"/>
  <c r="C14" i="2"/>
  <c r="F11" i="2"/>
  <c r="F13" i="2" s="1"/>
  <c r="G11" i="2"/>
  <c r="G13" i="2" s="1"/>
  <c r="E44" i="12"/>
  <c r="E12" i="12" s="1"/>
  <c r="L43" i="2"/>
  <c r="K43" i="2"/>
  <c r="J43" i="2"/>
  <c r="I43" i="2"/>
  <c r="H43" i="2"/>
  <c r="G43" i="2"/>
  <c r="F43" i="2"/>
  <c r="E43" i="2"/>
  <c r="D43" i="2"/>
  <c r="C43" i="2"/>
  <c r="L42" i="2"/>
  <c r="K42" i="2"/>
  <c r="J42" i="2"/>
  <c r="I42" i="2"/>
  <c r="H42" i="2"/>
  <c r="G42" i="2"/>
  <c r="F42" i="2"/>
  <c r="E42" i="2"/>
  <c r="D42" i="2"/>
  <c r="C42" i="2"/>
  <c r="L41" i="2"/>
  <c r="K41" i="2"/>
  <c r="J41" i="2"/>
  <c r="I41" i="2"/>
  <c r="H41" i="2"/>
  <c r="G41" i="2"/>
  <c r="F41" i="2"/>
  <c r="E41" i="2"/>
  <c r="D41" i="2"/>
  <c r="C41" i="2"/>
  <c r="L40" i="2"/>
  <c r="K40" i="2"/>
  <c r="J40" i="2"/>
  <c r="I40" i="2"/>
  <c r="H40" i="2"/>
  <c r="G40" i="2"/>
  <c r="F40" i="2"/>
  <c r="E40" i="2"/>
  <c r="D40" i="2"/>
  <c r="C40" i="2"/>
  <c r="L39" i="2"/>
  <c r="K39" i="2"/>
  <c r="J39" i="2"/>
  <c r="I39" i="2"/>
  <c r="H39" i="2"/>
  <c r="G39" i="2"/>
  <c r="F39" i="2"/>
  <c r="E39" i="2"/>
  <c r="D39" i="2"/>
  <c r="C39" i="2"/>
  <c r="L38" i="2"/>
  <c r="K38" i="2"/>
  <c r="J38" i="2"/>
  <c r="I38" i="2"/>
  <c r="H38" i="2"/>
  <c r="G38" i="2"/>
  <c r="F38" i="2"/>
  <c r="E38" i="2"/>
  <c r="D38" i="2"/>
  <c r="C38" i="2"/>
  <c r="L37" i="2"/>
  <c r="K37" i="2"/>
  <c r="J37" i="2"/>
  <c r="I37" i="2"/>
  <c r="H37" i="2"/>
  <c r="G37" i="2"/>
  <c r="F37" i="2"/>
  <c r="E37" i="2"/>
  <c r="D37" i="2"/>
  <c r="C37" i="2"/>
  <c r="L36" i="2"/>
  <c r="K36" i="2"/>
  <c r="J36" i="2"/>
  <c r="I36" i="2"/>
  <c r="H36" i="2"/>
  <c r="G36" i="2"/>
  <c r="F36" i="2"/>
  <c r="E36" i="2"/>
  <c r="D36" i="2"/>
  <c r="C36" i="2"/>
  <c r="L35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L33" i="2"/>
  <c r="K33" i="2"/>
  <c r="J33" i="2"/>
  <c r="I33" i="2"/>
  <c r="H33" i="2"/>
  <c r="G33" i="2"/>
  <c r="F33" i="2"/>
  <c r="E33" i="2"/>
  <c r="D33" i="2"/>
  <c r="C33" i="2"/>
  <c r="L32" i="2"/>
  <c r="K32" i="2"/>
  <c r="J32" i="2"/>
  <c r="I32" i="2"/>
  <c r="H32" i="2"/>
  <c r="G32" i="2"/>
  <c r="F32" i="2"/>
  <c r="E32" i="2"/>
  <c r="D32" i="2"/>
  <c r="C32" i="2"/>
  <c r="L31" i="2"/>
  <c r="K31" i="2"/>
  <c r="J31" i="2"/>
  <c r="I31" i="2"/>
  <c r="H31" i="2"/>
  <c r="G31" i="2"/>
  <c r="F31" i="2"/>
  <c r="E31" i="2"/>
  <c r="D31" i="2"/>
  <c r="C31" i="2"/>
  <c r="L30" i="2"/>
  <c r="K30" i="2"/>
  <c r="J30" i="2"/>
  <c r="I30" i="2"/>
  <c r="H30" i="2"/>
  <c r="G30" i="2"/>
  <c r="F30" i="2"/>
  <c r="E30" i="2"/>
  <c r="D30" i="2"/>
  <c r="C30" i="2"/>
  <c r="L29" i="2"/>
  <c r="K29" i="2"/>
  <c r="J29" i="2"/>
  <c r="I29" i="2"/>
  <c r="H29" i="2"/>
  <c r="G29" i="2"/>
  <c r="F29" i="2"/>
  <c r="E29" i="2"/>
  <c r="D29" i="2"/>
  <c r="C29" i="2"/>
  <c r="L28" i="2"/>
  <c r="K28" i="2"/>
  <c r="J28" i="2"/>
  <c r="I28" i="2"/>
  <c r="H28" i="2"/>
  <c r="G28" i="2"/>
  <c r="F28" i="2"/>
  <c r="E28" i="2"/>
  <c r="D28" i="2"/>
  <c r="C28" i="2"/>
  <c r="L27" i="2"/>
  <c r="K27" i="2"/>
  <c r="J27" i="2"/>
  <c r="I27" i="2"/>
  <c r="H27" i="2"/>
  <c r="G27" i="2"/>
  <c r="F27" i="2"/>
  <c r="E27" i="2"/>
  <c r="D27" i="2"/>
  <c r="C27" i="2"/>
  <c r="L26" i="2"/>
  <c r="K26" i="2"/>
  <c r="J26" i="2"/>
  <c r="I26" i="2"/>
  <c r="H26" i="2"/>
  <c r="G26" i="2"/>
  <c r="F26" i="2"/>
  <c r="E26" i="2"/>
  <c r="D26" i="2"/>
  <c r="C26" i="2"/>
  <c r="L25" i="2"/>
  <c r="K25" i="2"/>
  <c r="J25" i="2"/>
  <c r="I25" i="2"/>
  <c r="H25" i="2"/>
  <c r="G25" i="2"/>
  <c r="F25" i="2"/>
  <c r="E25" i="2"/>
  <c r="D25" i="2"/>
  <c r="C25" i="2"/>
  <c r="L24" i="2"/>
  <c r="K24" i="2"/>
  <c r="J24" i="2"/>
  <c r="I24" i="2"/>
  <c r="H24" i="2"/>
  <c r="G24" i="2"/>
  <c r="F24" i="2"/>
  <c r="E24" i="2"/>
  <c r="D24" i="2"/>
  <c r="C24" i="2"/>
  <c r="L23" i="2"/>
  <c r="K23" i="2"/>
  <c r="J23" i="2"/>
  <c r="I23" i="2"/>
  <c r="H23" i="2"/>
  <c r="G23" i="2"/>
  <c r="F23" i="2"/>
  <c r="E23" i="2"/>
  <c r="D23" i="2"/>
  <c r="C23" i="2"/>
  <c r="L22" i="2"/>
  <c r="K22" i="2"/>
  <c r="J22" i="2"/>
  <c r="I22" i="2"/>
  <c r="H22" i="2"/>
  <c r="G22" i="2"/>
  <c r="D22" i="2"/>
  <c r="C22" i="2"/>
  <c r="L21" i="2"/>
  <c r="K21" i="2"/>
  <c r="J21" i="2"/>
  <c r="I21" i="2"/>
  <c r="H21" i="2"/>
  <c r="G21" i="2"/>
  <c r="F21" i="2"/>
  <c r="E21" i="2"/>
  <c r="D21" i="2"/>
  <c r="C21" i="2"/>
  <c r="L20" i="2"/>
  <c r="K20" i="2"/>
  <c r="J20" i="2"/>
  <c r="I20" i="2"/>
  <c r="H20" i="2"/>
  <c r="G20" i="2"/>
  <c r="F20" i="2"/>
  <c r="E20" i="2"/>
  <c r="D20" i="2"/>
  <c r="C20" i="2"/>
  <c r="L19" i="2"/>
  <c r="K19" i="2"/>
  <c r="J19" i="2"/>
  <c r="I19" i="2"/>
  <c r="H19" i="2"/>
  <c r="G19" i="2"/>
  <c r="F19" i="2"/>
  <c r="E19" i="2"/>
  <c r="D19" i="2"/>
  <c r="C19" i="2"/>
  <c r="L18" i="2"/>
  <c r="K18" i="2"/>
  <c r="J18" i="2"/>
  <c r="I18" i="2"/>
  <c r="H18" i="2"/>
  <c r="G18" i="2"/>
  <c r="F18" i="2"/>
  <c r="E18" i="2"/>
  <c r="D18" i="2"/>
  <c r="C18" i="2"/>
  <c r="L17" i="2"/>
  <c r="K17" i="2"/>
  <c r="J17" i="2"/>
  <c r="I17" i="2"/>
  <c r="H17" i="2"/>
  <c r="G17" i="2"/>
  <c r="F17" i="2"/>
  <c r="E17" i="2"/>
  <c r="D17" i="2"/>
  <c r="C17" i="2"/>
  <c r="L16" i="2"/>
  <c r="K16" i="2"/>
  <c r="J16" i="2"/>
  <c r="I16" i="2"/>
  <c r="H16" i="2"/>
  <c r="G16" i="2"/>
  <c r="F16" i="2"/>
  <c r="E16" i="2"/>
  <c r="D16" i="2"/>
  <c r="C16" i="2"/>
  <c r="L15" i="2"/>
  <c r="K15" i="2"/>
  <c r="I15" i="2"/>
  <c r="D15" i="2"/>
  <c r="C15" i="2"/>
  <c r="L14" i="2"/>
  <c r="K14" i="2"/>
  <c r="I14" i="2"/>
  <c r="G14" i="2"/>
  <c r="D14" i="2"/>
  <c r="X43" i="11"/>
  <c r="V43" i="11"/>
  <c r="R43" i="11"/>
  <c r="S43" i="11" s="1"/>
  <c r="P43" i="11"/>
  <c r="P12" i="11" s="1"/>
  <c r="M43" i="11"/>
  <c r="H43" i="11"/>
  <c r="I43" i="11" s="1"/>
  <c r="I12" i="11" s="1"/>
  <c r="G43" i="11"/>
  <c r="C22" i="1" s="1"/>
  <c r="F43" i="11"/>
  <c r="F12" i="11" s="1"/>
  <c r="E43" i="11"/>
  <c r="E12" i="11" s="1"/>
  <c r="D43" i="11"/>
  <c r="D12" i="11" s="1"/>
  <c r="AC42" i="11"/>
  <c r="AA42" i="11"/>
  <c r="Y42" i="11"/>
  <c r="W42" i="11"/>
  <c r="T42" i="11"/>
  <c r="U42" i="11" s="1"/>
  <c r="AD42" i="11" s="1"/>
  <c r="S42" i="11"/>
  <c r="Q42" i="11"/>
  <c r="K42" i="11"/>
  <c r="L42" i="11" s="1"/>
  <c r="N42" i="11" s="1"/>
  <c r="AB42" i="11" s="1"/>
  <c r="AF42" i="11" s="1"/>
  <c r="J42" i="11"/>
  <c r="I42" i="11"/>
  <c r="AC41" i="11"/>
  <c r="AA41" i="11"/>
  <c r="AE41" i="11" s="1"/>
  <c r="Y41" i="11"/>
  <c r="W41" i="11"/>
  <c r="T41" i="11"/>
  <c r="U41" i="11" s="1"/>
  <c r="AD41" i="11" s="1"/>
  <c r="S41" i="11"/>
  <c r="Q41" i="11"/>
  <c r="K41" i="11"/>
  <c r="L41" i="11" s="1"/>
  <c r="N41" i="11" s="1"/>
  <c r="AB41" i="11" s="1"/>
  <c r="AF41" i="11" s="1"/>
  <c r="J41" i="11"/>
  <c r="I41" i="11"/>
  <c r="AE40" i="11"/>
  <c r="AC40" i="11"/>
  <c r="AA40" i="11"/>
  <c r="Y40" i="11"/>
  <c r="W40" i="11"/>
  <c r="T40" i="11"/>
  <c r="U40" i="11" s="1"/>
  <c r="AD40" i="11" s="1"/>
  <c r="S40" i="11"/>
  <c r="Q40" i="11"/>
  <c r="L40" i="11"/>
  <c r="N40" i="11" s="1"/>
  <c r="AB40" i="11" s="1"/>
  <c r="AF40" i="11" s="1"/>
  <c r="K40" i="11"/>
  <c r="J40" i="11"/>
  <c r="I40" i="11"/>
  <c r="AD39" i="11"/>
  <c r="AF39" i="11" s="1"/>
  <c r="AC39" i="11"/>
  <c r="AE39" i="11" s="1"/>
  <c r="AA39" i="11"/>
  <c r="Y39" i="11"/>
  <c r="W39" i="11"/>
  <c r="U39" i="11"/>
  <c r="T39" i="11"/>
  <c r="S39" i="11"/>
  <c r="Q39" i="11"/>
  <c r="L39" i="11"/>
  <c r="N39" i="11" s="1"/>
  <c r="AB39" i="11" s="1"/>
  <c r="K39" i="11"/>
  <c r="J39" i="11"/>
  <c r="I39" i="11"/>
  <c r="AC38" i="11"/>
  <c r="AE38" i="11" s="1"/>
  <c r="AA38" i="11"/>
  <c r="Y38" i="11"/>
  <c r="W38" i="11"/>
  <c r="T38" i="11"/>
  <c r="U38" i="11" s="1"/>
  <c r="AD38" i="11" s="1"/>
  <c r="S38" i="11"/>
  <c r="Q38" i="11"/>
  <c r="K38" i="11"/>
  <c r="L38" i="11" s="1"/>
  <c r="N38" i="11" s="1"/>
  <c r="AB38" i="11" s="1"/>
  <c r="AF38" i="11" s="1"/>
  <c r="J38" i="11"/>
  <c r="I38" i="11"/>
  <c r="AD37" i="11"/>
  <c r="AC37" i="11"/>
  <c r="AE37" i="11" s="1"/>
  <c r="AA37" i="11"/>
  <c r="Y37" i="11"/>
  <c r="W37" i="11"/>
  <c r="T37" i="11"/>
  <c r="U37" i="11" s="1"/>
  <c r="S37" i="11"/>
  <c r="Q37" i="11"/>
  <c r="K37" i="11"/>
  <c r="L37" i="11" s="1"/>
  <c r="N37" i="11" s="1"/>
  <c r="AB37" i="11" s="1"/>
  <c r="J37" i="11"/>
  <c r="I37" i="11"/>
  <c r="AC36" i="11"/>
  <c r="AB36" i="11"/>
  <c r="AF36" i="11" s="1"/>
  <c r="AA36" i="11"/>
  <c r="AE36" i="11" s="1"/>
  <c r="Y36" i="11"/>
  <c r="W36" i="11"/>
  <c r="T36" i="11"/>
  <c r="U36" i="11" s="1"/>
  <c r="AD36" i="11" s="1"/>
  <c r="S36" i="11"/>
  <c r="Q36" i="11"/>
  <c r="K36" i="11"/>
  <c r="L36" i="11" s="1"/>
  <c r="N36" i="11" s="1"/>
  <c r="J36" i="11"/>
  <c r="I36" i="11"/>
  <c r="AC35" i="11"/>
  <c r="AA35" i="11"/>
  <c r="AE35" i="11" s="1"/>
  <c r="Y35" i="11"/>
  <c r="W35" i="11"/>
  <c r="U35" i="11"/>
  <c r="AD35" i="11" s="1"/>
  <c r="T35" i="11"/>
  <c r="S35" i="11"/>
  <c r="Q35" i="11"/>
  <c r="N35" i="11"/>
  <c r="AB35" i="11" s="1"/>
  <c r="AF35" i="11" s="1"/>
  <c r="L35" i="11"/>
  <c r="K35" i="11"/>
  <c r="J35" i="11"/>
  <c r="I35" i="11"/>
  <c r="AC34" i="11"/>
  <c r="AA34" i="11"/>
  <c r="AE34" i="11" s="1"/>
  <c r="Y34" i="11"/>
  <c r="W34" i="11"/>
  <c r="U34" i="11"/>
  <c r="AD34" i="11" s="1"/>
  <c r="T34" i="11"/>
  <c r="S34" i="11"/>
  <c r="Q34" i="11"/>
  <c r="K34" i="11"/>
  <c r="L34" i="11" s="1"/>
  <c r="N34" i="11" s="1"/>
  <c r="AB34" i="11" s="1"/>
  <c r="AF34" i="11" s="1"/>
  <c r="J34" i="11"/>
  <c r="I34" i="11"/>
  <c r="AE33" i="11"/>
  <c r="AC33" i="11"/>
  <c r="AA33" i="11"/>
  <c r="Y33" i="11"/>
  <c r="W33" i="11"/>
  <c r="T33" i="11"/>
  <c r="U33" i="11" s="1"/>
  <c r="AD33" i="11" s="1"/>
  <c r="S33" i="11"/>
  <c r="Q33" i="11"/>
  <c r="K33" i="11"/>
  <c r="L33" i="11" s="1"/>
  <c r="N33" i="11" s="1"/>
  <c r="AB33" i="11" s="1"/>
  <c r="J33" i="11"/>
  <c r="I33" i="11"/>
  <c r="AC32" i="11"/>
  <c r="AA32" i="11"/>
  <c r="AE32" i="11" s="1"/>
  <c r="Y32" i="11"/>
  <c r="W32" i="11"/>
  <c r="U32" i="11"/>
  <c r="AD32" i="11" s="1"/>
  <c r="T32" i="11"/>
  <c r="S32" i="11"/>
  <c r="Q32" i="11"/>
  <c r="K32" i="11"/>
  <c r="L32" i="11" s="1"/>
  <c r="N32" i="11" s="1"/>
  <c r="AB32" i="11" s="1"/>
  <c r="AF32" i="11" s="1"/>
  <c r="J32" i="11"/>
  <c r="I32" i="11"/>
  <c r="AC31" i="11"/>
  <c r="AE31" i="11" s="1"/>
  <c r="AA31" i="11"/>
  <c r="Y31" i="11"/>
  <c r="W31" i="11"/>
  <c r="U31" i="11"/>
  <c r="AD31" i="11" s="1"/>
  <c r="T31" i="11"/>
  <c r="S31" i="11"/>
  <c r="Q31" i="11"/>
  <c r="K31" i="11"/>
  <c r="L31" i="11" s="1"/>
  <c r="N31" i="11" s="1"/>
  <c r="AB31" i="11" s="1"/>
  <c r="AF31" i="11" s="1"/>
  <c r="J31" i="11"/>
  <c r="I31" i="11"/>
  <c r="AD30" i="11"/>
  <c r="AC30" i="11"/>
  <c r="AE30" i="11" s="1"/>
  <c r="AB30" i="11"/>
  <c r="AF30" i="11" s="1"/>
  <c r="AA30" i="11"/>
  <c r="Y30" i="11"/>
  <c r="W30" i="11"/>
  <c r="U30" i="11"/>
  <c r="T30" i="11"/>
  <c r="S30" i="11"/>
  <c r="Q30" i="11"/>
  <c r="K30" i="11"/>
  <c r="L30" i="11" s="1"/>
  <c r="N30" i="11" s="1"/>
  <c r="J30" i="11"/>
  <c r="I30" i="11"/>
  <c r="AF29" i="11"/>
  <c r="AE29" i="11"/>
  <c r="AC29" i="11"/>
  <c r="AB29" i="11"/>
  <c r="AA29" i="11"/>
  <c r="Y29" i="11"/>
  <c r="W29" i="11"/>
  <c r="T29" i="11"/>
  <c r="U29" i="11" s="1"/>
  <c r="AD29" i="11" s="1"/>
  <c r="S29" i="11"/>
  <c r="Q29" i="11"/>
  <c r="K29" i="11"/>
  <c r="L29" i="11" s="1"/>
  <c r="N29" i="11" s="1"/>
  <c r="J29" i="11"/>
  <c r="I29" i="11"/>
  <c r="AE28" i="11"/>
  <c r="AC28" i="11"/>
  <c r="AA28" i="11"/>
  <c r="Y28" i="11"/>
  <c r="W28" i="11"/>
  <c r="T28" i="11"/>
  <c r="U28" i="11" s="1"/>
  <c r="AD28" i="11" s="1"/>
  <c r="S28" i="11"/>
  <c r="Q28" i="11"/>
  <c r="L28" i="11"/>
  <c r="N28" i="11" s="1"/>
  <c r="AB28" i="11" s="1"/>
  <c r="AF28" i="11" s="1"/>
  <c r="K28" i="11"/>
  <c r="J28" i="11"/>
  <c r="I28" i="11"/>
  <c r="AE27" i="11"/>
  <c r="AC27" i="11"/>
  <c r="AA27" i="11"/>
  <c r="Y27" i="11"/>
  <c r="W27" i="11"/>
  <c r="U27" i="11"/>
  <c r="AD27" i="11" s="1"/>
  <c r="T27" i="11"/>
  <c r="S27" i="11"/>
  <c r="Q27" i="11"/>
  <c r="N27" i="11"/>
  <c r="AB27" i="11" s="1"/>
  <c r="AF27" i="11" s="1"/>
  <c r="K27" i="11"/>
  <c r="L27" i="11" s="1"/>
  <c r="J27" i="11"/>
  <c r="I27" i="11"/>
  <c r="AC26" i="11"/>
  <c r="AE26" i="11" s="1"/>
  <c r="AA26" i="11"/>
  <c r="Y26" i="11"/>
  <c r="W26" i="11"/>
  <c r="U26" i="11"/>
  <c r="AD26" i="11" s="1"/>
  <c r="T26" i="11"/>
  <c r="S26" i="11"/>
  <c r="Q26" i="11"/>
  <c r="K26" i="11"/>
  <c r="L26" i="11" s="1"/>
  <c r="N26" i="11" s="1"/>
  <c r="AB26" i="11" s="1"/>
  <c r="J26" i="11"/>
  <c r="I26" i="11"/>
  <c r="AC25" i="11"/>
  <c r="AA25" i="11"/>
  <c r="AE25" i="11" s="1"/>
  <c r="Y25" i="11"/>
  <c r="W25" i="11"/>
  <c r="T25" i="11"/>
  <c r="U25" i="11" s="1"/>
  <c r="AD25" i="11" s="1"/>
  <c r="S25" i="11"/>
  <c r="Q25" i="11"/>
  <c r="K25" i="11"/>
  <c r="L25" i="11" s="1"/>
  <c r="N25" i="11" s="1"/>
  <c r="AB25" i="11" s="1"/>
  <c r="AF25" i="11" s="1"/>
  <c r="J25" i="11"/>
  <c r="I25" i="11"/>
  <c r="AC24" i="11"/>
  <c r="AA24" i="11"/>
  <c r="AE24" i="11" s="1"/>
  <c r="Y24" i="11"/>
  <c r="W24" i="11"/>
  <c r="T24" i="11"/>
  <c r="U24" i="11" s="1"/>
  <c r="AD24" i="11" s="1"/>
  <c r="S24" i="11"/>
  <c r="Q24" i="11"/>
  <c r="N24" i="11"/>
  <c r="AB24" i="11" s="1"/>
  <c r="AF24" i="11" s="1"/>
  <c r="L24" i="11"/>
  <c r="K24" i="11"/>
  <c r="J24" i="11"/>
  <c r="I24" i="11"/>
  <c r="AC23" i="11"/>
  <c r="AA23" i="11"/>
  <c r="Y23" i="11"/>
  <c r="W23" i="11"/>
  <c r="T23" i="11"/>
  <c r="U23" i="11" s="1"/>
  <c r="AD23" i="11" s="1"/>
  <c r="AF23" i="11" s="1"/>
  <c r="S23" i="11"/>
  <c r="Q23" i="11"/>
  <c r="N23" i="11"/>
  <c r="AB23" i="11" s="1"/>
  <c r="L23" i="11"/>
  <c r="K23" i="11"/>
  <c r="J23" i="11"/>
  <c r="I23" i="11"/>
  <c r="AD22" i="11"/>
  <c r="AC22" i="11"/>
  <c r="AA22" i="11"/>
  <c r="AE22" i="11" s="1"/>
  <c r="Y22" i="11"/>
  <c r="W22" i="11"/>
  <c r="U22" i="11"/>
  <c r="T22" i="11"/>
  <c r="S22" i="11"/>
  <c r="Q22" i="11"/>
  <c r="N22" i="11"/>
  <c r="AB22" i="11" s="1"/>
  <c r="AF22" i="11" s="1"/>
  <c r="K22" i="11"/>
  <c r="L22" i="11" s="1"/>
  <c r="J22" i="11"/>
  <c r="I22" i="11"/>
  <c r="AE21" i="11"/>
  <c r="AC21" i="11"/>
  <c r="AA21" i="11"/>
  <c r="Y21" i="11"/>
  <c r="W21" i="11"/>
  <c r="T21" i="11"/>
  <c r="U21" i="11" s="1"/>
  <c r="AD21" i="11" s="1"/>
  <c r="S21" i="11"/>
  <c r="Q21" i="11"/>
  <c r="K21" i="11"/>
  <c r="L21" i="11" s="1"/>
  <c r="N21" i="11" s="1"/>
  <c r="AB21" i="11" s="1"/>
  <c r="AF21" i="11" s="1"/>
  <c r="J21" i="11"/>
  <c r="I21" i="11"/>
  <c r="AE20" i="11"/>
  <c r="AD20" i="11"/>
  <c r="AF20" i="11" s="1"/>
  <c r="AC20" i="11"/>
  <c r="AA20" i="11"/>
  <c r="Y20" i="11"/>
  <c r="W20" i="11"/>
  <c r="T20" i="11"/>
  <c r="U20" i="11" s="1"/>
  <c r="S20" i="11"/>
  <c r="Q20" i="11"/>
  <c r="L20" i="11"/>
  <c r="N20" i="11" s="1"/>
  <c r="AB20" i="11" s="1"/>
  <c r="K20" i="11"/>
  <c r="J20" i="11"/>
  <c r="I20" i="11"/>
  <c r="AC19" i="11"/>
  <c r="AB19" i="11"/>
  <c r="AF19" i="11" s="1"/>
  <c r="AA19" i="11"/>
  <c r="Y19" i="11"/>
  <c r="W19" i="11"/>
  <c r="T19" i="11"/>
  <c r="U19" i="11" s="1"/>
  <c r="AD19" i="11" s="1"/>
  <c r="S19" i="11"/>
  <c r="Q19" i="11"/>
  <c r="L19" i="11"/>
  <c r="N19" i="11" s="1"/>
  <c r="K19" i="11"/>
  <c r="J19" i="11"/>
  <c r="I19" i="11"/>
  <c r="AC18" i="11"/>
  <c r="AA18" i="11"/>
  <c r="Y18" i="11"/>
  <c r="W18" i="11"/>
  <c r="T18" i="11"/>
  <c r="U18" i="11" s="1"/>
  <c r="AD18" i="11" s="1"/>
  <c r="S18" i="11"/>
  <c r="Q18" i="11"/>
  <c r="K18" i="11"/>
  <c r="L18" i="11" s="1"/>
  <c r="N18" i="11" s="1"/>
  <c r="AB18" i="11" s="1"/>
  <c r="J18" i="11"/>
  <c r="I18" i="11"/>
  <c r="AC17" i="11"/>
  <c r="AA17" i="11"/>
  <c r="AE17" i="11" s="1"/>
  <c r="Y17" i="11"/>
  <c r="W17" i="11"/>
  <c r="T17" i="11"/>
  <c r="U17" i="11" s="1"/>
  <c r="AD17" i="11" s="1"/>
  <c r="S17" i="11"/>
  <c r="Q17" i="11"/>
  <c r="K17" i="11"/>
  <c r="L17" i="11" s="1"/>
  <c r="N17" i="11" s="1"/>
  <c r="AB17" i="11" s="1"/>
  <c r="AF17" i="11" s="1"/>
  <c r="J17" i="11"/>
  <c r="I17" i="11"/>
  <c r="AE16" i="11"/>
  <c r="AC16" i="11"/>
  <c r="AA16" i="11"/>
  <c r="Y16" i="11"/>
  <c r="W16" i="11"/>
  <c r="T16" i="11"/>
  <c r="U16" i="11" s="1"/>
  <c r="AD16" i="11" s="1"/>
  <c r="S16" i="11"/>
  <c r="Q16" i="11"/>
  <c r="L16" i="11"/>
  <c r="N16" i="11" s="1"/>
  <c r="AB16" i="11" s="1"/>
  <c r="AF16" i="11" s="1"/>
  <c r="K16" i="11"/>
  <c r="J16" i="11"/>
  <c r="I16" i="11"/>
  <c r="AC15" i="11"/>
  <c r="AE15" i="11" s="1"/>
  <c r="AA15" i="11"/>
  <c r="Y15" i="11"/>
  <c r="W15" i="11"/>
  <c r="U15" i="11"/>
  <c r="AD15" i="11" s="1"/>
  <c r="T15" i="11"/>
  <c r="S15" i="11"/>
  <c r="Q15" i="11"/>
  <c r="L15" i="11"/>
  <c r="N15" i="11" s="1"/>
  <c r="AB15" i="11" s="1"/>
  <c r="AF15" i="11" s="1"/>
  <c r="K15" i="11"/>
  <c r="J15" i="11"/>
  <c r="I15" i="11"/>
  <c r="AC14" i="11"/>
  <c r="AE14" i="11" s="1"/>
  <c r="AA14" i="11"/>
  <c r="Y14" i="11"/>
  <c r="W14" i="11"/>
  <c r="T14" i="11"/>
  <c r="U14" i="11" s="1"/>
  <c r="AD14" i="11" s="1"/>
  <c r="S14" i="11"/>
  <c r="Q14" i="11"/>
  <c r="K14" i="11"/>
  <c r="L14" i="11" s="1"/>
  <c r="N14" i="11" s="1"/>
  <c r="AB14" i="11" s="1"/>
  <c r="J14" i="11"/>
  <c r="I14" i="11"/>
  <c r="AE13" i="11"/>
  <c r="AD13" i="11"/>
  <c r="AC13" i="11"/>
  <c r="AA13" i="11"/>
  <c r="Y13" i="11"/>
  <c r="W13" i="11"/>
  <c r="T13" i="11"/>
  <c r="U13" i="11" s="1"/>
  <c r="S13" i="11"/>
  <c r="Q13" i="11"/>
  <c r="K13" i="11"/>
  <c r="J13" i="11"/>
  <c r="I13" i="11"/>
  <c r="V12" i="11"/>
  <c r="M12" i="11"/>
  <c r="H12" i="11"/>
  <c r="G12" i="11"/>
  <c r="X44" i="10"/>
  <c r="X12" i="10" s="1"/>
  <c r="V44" i="10"/>
  <c r="W44" i="10" s="1"/>
  <c r="R44" i="10"/>
  <c r="S44" i="10" s="1"/>
  <c r="I21" i="1" s="1"/>
  <c r="Q44" i="10"/>
  <c r="P44" i="10"/>
  <c r="M44" i="10"/>
  <c r="H44" i="10"/>
  <c r="G44" i="10"/>
  <c r="F44" i="10"/>
  <c r="E44" i="10"/>
  <c r="D44" i="10"/>
  <c r="D12" i="10" s="1"/>
  <c r="AD43" i="10"/>
  <c r="AC43" i="10"/>
  <c r="AE43" i="10" s="1"/>
  <c r="AB43" i="10"/>
  <c r="AF43" i="10" s="1"/>
  <c r="AA43" i="10"/>
  <c r="Y43" i="10"/>
  <c r="W43" i="10"/>
  <c r="U43" i="10"/>
  <c r="T43" i="10"/>
  <c r="S43" i="10"/>
  <c r="Q43" i="10"/>
  <c r="K43" i="10"/>
  <c r="L43" i="10" s="1"/>
  <c r="N43" i="10" s="1"/>
  <c r="J43" i="10"/>
  <c r="I43" i="10"/>
  <c r="AC42" i="10"/>
  <c r="AB42" i="10"/>
  <c r="AF42" i="10" s="1"/>
  <c r="AA42" i="10"/>
  <c r="AE42" i="10" s="1"/>
  <c r="Y42" i="10"/>
  <c r="W42" i="10"/>
  <c r="T42" i="10"/>
  <c r="U42" i="10" s="1"/>
  <c r="AD42" i="10" s="1"/>
  <c r="S42" i="10"/>
  <c r="Q42" i="10"/>
  <c r="K42" i="10"/>
  <c r="L42" i="10" s="1"/>
  <c r="N42" i="10" s="1"/>
  <c r="J42" i="10"/>
  <c r="I42" i="10"/>
  <c r="AF41" i="10"/>
  <c r="AC41" i="10"/>
  <c r="AA41" i="10"/>
  <c r="AE41" i="10" s="1"/>
  <c r="Y41" i="10"/>
  <c r="W41" i="10"/>
  <c r="U41" i="10"/>
  <c r="AD41" i="10" s="1"/>
  <c r="T41" i="10"/>
  <c r="S41" i="10"/>
  <c r="Q41" i="10"/>
  <c r="K41" i="10"/>
  <c r="L41" i="10" s="1"/>
  <c r="N41" i="10" s="1"/>
  <c r="AB41" i="10" s="1"/>
  <c r="J41" i="10"/>
  <c r="I41" i="10"/>
  <c r="AE40" i="10"/>
  <c r="AC40" i="10"/>
  <c r="AA40" i="10"/>
  <c r="Y40" i="10"/>
  <c r="W40" i="10"/>
  <c r="U40" i="10"/>
  <c r="AD40" i="10" s="1"/>
  <c r="T40" i="10"/>
  <c r="S40" i="10"/>
  <c r="Q40" i="10"/>
  <c r="K40" i="10"/>
  <c r="L40" i="10" s="1"/>
  <c r="N40" i="10" s="1"/>
  <c r="AB40" i="10" s="1"/>
  <c r="AF40" i="10" s="1"/>
  <c r="J40" i="10"/>
  <c r="I40" i="10"/>
  <c r="AD39" i="10"/>
  <c r="AC39" i="10"/>
  <c r="AE39" i="10" s="1"/>
  <c r="AA39" i="10"/>
  <c r="Y39" i="10"/>
  <c r="W39" i="10"/>
  <c r="U39" i="10"/>
  <c r="T39" i="10"/>
  <c r="S39" i="10"/>
  <c r="Q39" i="10"/>
  <c r="K39" i="10"/>
  <c r="L39" i="10" s="1"/>
  <c r="N39" i="10" s="1"/>
  <c r="AB39" i="10" s="1"/>
  <c r="J39" i="10"/>
  <c r="I39" i="10"/>
  <c r="AC38" i="10"/>
  <c r="AA38" i="10"/>
  <c r="AE38" i="10" s="1"/>
  <c r="Y38" i="10"/>
  <c r="W38" i="10"/>
  <c r="T38" i="10"/>
  <c r="U38" i="10" s="1"/>
  <c r="AD38" i="10" s="1"/>
  <c r="S38" i="10"/>
  <c r="Q38" i="10"/>
  <c r="K38" i="10"/>
  <c r="L38" i="10" s="1"/>
  <c r="N38" i="10" s="1"/>
  <c r="AB38" i="10" s="1"/>
  <c r="AF38" i="10" s="1"/>
  <c r="J38" i="10"/>
  <c r="I38" i="10"/>
  <c r="AC37" i="10"/>
  <c r="AA37" i="10"/>
  <c r="AE37" i="10" s="1"/>
  <c r="Y37" i="10"/>
  <c r="W37" i="10"/>
  <c r="T37" i="10"/>
  <c r="U37" i="10" s="1"/>
  <c r="AD37" i="10" s="1"/>
  <c r="S37" i="10"/>
  <c r="Q37" i="10"/>
  <c r="L37" i="10"/>
  <c r="N37" i="10" s="1"/>
  <c r="AB37" i="10" s="1"/>
  <c r="AF37" i="10" s="1"/>
  <c r="K37" i="10"/>
  <c r="J37" i="10"/>
  <c r="I37" i="10"/>
  <c r="AC36" i="10"/>
  <c r="AE36" i="10" s="1"/>
  <c r="AA36" i="10"/>
  <c r="Y36" i="10"/>
  <c r="W36" i="10"/>
  <c r="T36" i="10"/>
  <c r="U36" i="10" s="1"/>
  <c r="AD36" i="10" s="1"/>
  <c r="S36" i="10"/>
  <c r="Q36" i="10"/>
  <c r="N36" i="10"/>
  <c r="AB36" i="10" s="1"/>
  <c r="L36" i="10"/>
  <c r="K36" i="10"/>
  <c r="J36" i="10"/>
  <c r="I36" i="10"/>
  <c r="AD35" i="10"/>
  <c r="AC35" i="10"/>
  <c r="AA35" i="10"/>
  <c r="AE35" i="10" s="1"/>
  <c r="Y35" i="10"/>
  <c r="W35" i="10"/>
  <c r="U35" i="10"/>
  <c r="T35" i="10"/>
  <c r="S35" i="10"/>
  <c r="Q35" i="10"/>
  <c r="N35" i="10"/>
  <c r="AB35" i="10" s="1"/>
  <c r="AF35" i="10" s="1"/>
  <c r="K35" i="10"/>
  <c r="L35" i="10" s="1"/>
  <c r="J35" i="10"/>
  <c r="I35" i="10"/>
  <c r="AE34" i="10"/>
  <c r="AC34" i="10"/>
  <c r="AA34" i="10"/>
  <c r="Y34" i="10"/>
  <c r="W34" i="10"/>
  <c r="T34" i="10"/>
  <c r="U34" i="10" s="1"/>
  <c r="AD34" i="10" s="1"/>
  <c r="S34" i="10"/>
  <c r="Q34" i="10"/>
  <c r="K34" i="10"/>
  <c r="L34" i="10" s="1"/>
  <c r="N34" i="10" s="1"/>
  <c r="AB34" i="10" s="1"/>
  <c r="J34" i="10"/>
  <c r="I34" i="10"/>
  <c r="AE33" i="10"/>
  <c r="AC33" i="10"/>
  <c r="AA33" i="10"/>
  <c r="Y33" i="10"/>
  <c r="W33" i="10"/>
  <c r="U33" i="10"/>
  <c r="AD33" i="10" s="1"/>
  <c r="T33" i="10"/>
  <c r="S33" i="10"/>
  <c r="Q33" i="10"/>
  <c r="L33" i="10"/>
  <c r="N33" i="10" s="1"/>
  <c r="AB33" i="10" s="1"/>
  <c r="AF33" i="10" s="1"/>
  <c r="K33" i="10"/>
  <c r="J33" i="10"/>
  <c r="I33" i="10"/>
  <c r="AD32" i="10"/>
  <c r="AC32" i="10"/>
  <c r="AB32" i="10"/>
  <c r="AF32" i="10" s="1"/>
  <c r="AA32" i="10"/>
  <c r="Y32" i="10"/>
  <c r="W32" i="10"/>
  <c r="T32" i="10"/>
  <c r="U32" i="10" s="1"/>
  <c r="S32" i="10"/>
  <c r="Q32" i="10"/>
  <c r="L32" i="10"/>
  <c r="N32" i="10" s="1"/>
  <c r="K32" i="10"/>
  <c r="J32" i="10"/>
  <c r="I32" i="10"/>
  <c r="AC31" i="10"/>
  <c r="AA31" i="10"/>
  <c r="AE31" i="10" s="1"/>
  <c r="Y31" i="10"/>
  <c r="W31" i="10"/>
  <c r="T31" i="10"/>
  <c r="U31" i="10" s="1"/>
  <c r="AD31" i="10" s="1"/>
  <c r="S31" i="10"/>
  <c r="Q31" i="10"/>
  <c r="K31" i="10"/>
  <c r="L31" i="10" s="1"/>
  <c r="N31" i="10" s="1"/>
  <c r="AB31" i="10" s="1"/>
  <c r="AF31" i="10" s="1"/>
  <c r="J31" i="10"/>
  <c r="I31" i="10"/>
  <c r="AC30" i="10"/>
  <c r="AA30" i="10"/>
  <c r="AE30" i="10" s="1"/>
  <c r="Y30" i="10"/>
  <c r="W30" i="10"/>
  <c r="T30" i="10"/>
  <c r="U30" i="10" s="1"/>
  <c r="AD30" i="10" s="1"/>
  <c r="S30" i="10"/>
  <c r="Q30" i="10"/>
  <c r="K30" i="10"/>
  <c r="L30" i="10" s="1"/>
  <c r="N30" i="10" s="1"/>
  <c r="AB30" i="10" s="1"/>
  <c r="AF30" i="10" s="1"/>
  <c r="J30" i="10"/>
  <c r="I30" i="10"/>
  <c r="AE29" i="10"/>
  <c r="AD29" i="10"/>
  <c r="AC29" i="10"/>
  <c r="AA29" i="10"/>
  <c r="Y29" i="10"/>
  <c r="W29" i="10"/>
  <c r="T29" i="10"/>
  <c r="U29" i="10" s="1"/>
  <c r="S29" i="10"/>
  <c r="Q29" i="10"/>
  <c r="L29" i="10"/>
  <c r="N29" i="10" s="1"/>
  <c r="AB29" i="10" s="1"/>
  <c r="AF29" i="10" s="1"/>
  <c r="K29" i="10"/>
  <c r="J29" i="10"/>
  <c r="I29" i="10"/>
  <c r="AE28" i="10"/>
  <c r="AC28" i="10"/>
  <c r="AA28" i="10"/>
  <c r="Y28" i="10"/>
  <c r="W28" i="10"/>
  <c r="T28" i="10"/>
  <c r="U28" i="10" s="1"/>
  <c r="AD28" i="10" s="1"/>
  <c r="AF28" i="10" s="1"/>
  <c r="S28" i="10"/>
  <c r="Q28" i="10"/>
  <c r="L28" i="10"/>
  <c r="N28" i="10" s="1"/>
  <c r="AB28" i="10" s="1"/>
  <c r="K28" i="10"/>
  <c r="J28" i="10"/>
  <c r="I28" i="10"/>
  <c r="AC27" i="10"/>
  <c r="AE27" i="10" s="1"/>
  <c r="AA27" i="10"/>
  <c r="Y27" i="10"/>
  <c r="W27" i="10"/>
  <c r="T27" i="10"/>
  <c r="U27" i="10" s="1"/>
  <c r="AD27" i="10" s="1"/>
  <c r="S27" i="10"/>
  <c r="Q27" i="10"/>
  <c r="L27" i="10"/>
  <c r="N27" i="10" s="1"/>
  <c r="AB27" i="10" s="1"/>
  <c r="AF27" i="10" s="1"/>
  <c r="K27" i="10"/>
  <c r="J27" i="10"/>
  <c r="I27" i="10"/>
  <c r="AC26" i="10"/>
  <c r="AE26" i="10" s="1"/>
  <c r="AA26" i="10"/>
  <c r="Y26" i="10"/>
  <c r="W26" i="10"/>
  <c r="T26" i="10"/>
  <c r="U26" i="10" s="1"/>
  <c r="AD26" i="10" s="1"/>
  <c r="S26" i="10"/>
  <c r="Q26" i="10"/>
  <c r="K26" i="10"/>
  <c r="L26" i="10" s="1"/>
  <c r="N26" i="10" s="1"/>
  <c r="AB26" i="10" s="1"/>
  <c r="AF26" i="10" s="1"/>
  <c r="J26" i="10"/>
  <c r="I26" i="10"/>
  <c r="AC25" i="10"/>
  <c r="AB25" i="10"/>
  <c r="AA25" i="10"/>
  <c r="AE25" i="10" s="1"/>
  <c r="Y25" i="10"/>
  <c r="W25" i="10"/>
  <c r="T25" i="10"/>
  <c r="U25" i="10" s="1"/>
  <c r="AD25" i="10" s="1"/>
  <c r="S25" i="10"/>
  <c r="Q25" i="10"/>
  <c r="K25" i="10"/>
  <c r="L25" i="10" s="1"/>
  <c r="N25" i="10" s="1"/>
  <c r="J25" i="10"/>
  <c r="I25" i="10"/>
  <c r="AF24" i="10"/>
  <c r="AC24" i="10"/>
  <c r="AB24" i="10"/>
  <c r="AA24" i="10"/>
  <c r="AE24" i="10" s="1"/>
  <c r="Y24" i="10"/>
  <c r="W24" i="10"/>
  <c r="U24" i="10"/>
  <c r="AD24" i="10" s="1"/>
  <c r="T24" i="10"/>
  <c r="S24" i="10"/>
  <c r="Q24" i="10"/>
  <c r="L24" i="10"/>
  <c r="N24" i="10" s="1"/>
  <c r="K24" i="10"/>
  <c r="J24" i="10"/>
  <c r="I24" i="10"/>
  <c r="AC23" i="10"/>
  <c r="AA23" i="10"/>
  <c r="AE23" i="10" s="1"/>
  <c r="Y23" i="10"/>
  <c r="W23" i="10"/>
  <c r="U23" i="10"/>
  <c r="AD23" i="10" s="1"/>
  <c r="T23" i="10"/>
  <c r="S23" i="10"/>
  <c r="Q23" i="10"/>
  <c r="K23" i="10"/>
  <c r="L23" i="10" s="1"/>
  <c r="N23" i="10" s="1"/>
  <c r="AB23" i="10" s="1"/>
  <c r="AF23" i="10" s="1"/>
  <c r="J23" i="10"/>
  <c r="I23" i="10"/>
  <c r="AE22" i="10"/>
  <c r="AD22" i="10"/>
  <c r="AC22" i="10"/>
  <c r="AA22" i="10"/>
  <c r="Y22" i="10"/>
  <c r="W22" i="10"/>
  <c r="T22" i="10"/>
  <c r="U22" i="10" s="1"/>
  <c r="S22" i="10"/>
  <c r="Q22" i="10"/>
  <c r="L22" i="10"/>
  <c r="N22" i="10" s="1"/>
  <c r="AB22" i="10" s="1"/>
  <c r="AF22" i="10" s="1"/>
  <c r="K22" i="10"/>
  <c r="J22" i="10"/>
  <c r="I22" i="10"/>
  <c r="AC21" i="10"/>
  <c r="AA21" i="10"/>
  <c r="AE21" i="10" s="1"/>
  <c r="Y21" i="10"/>
  <c r="W21" i="10"/>
  <c r="T21" i="10"/>
  <c r="U21" i="10" s="1"/>
  <c r="AD21" i="10" s="1"/>
  <c r="S21" i="10"/>
  <c r="Q21" i="10"/>
  <c r="L21" i="10"/>
  <c r="N21" i="10" s="1"/>
  <c r="AB21" i="10" s="1"/>
  <c r="K21" i="10"/>
  <c r="J21" i="10"/>
  <c r="I21" i="10"/>
  <c r="AC20" i="10"/>
  <c r="AE20" i="10" s="1"/>
  <c r="AB20" i="10"/>
  <c r="AF20" i="10" s="1"/>
  <c r="AA20" i="10"/>
  <c r="Y20" i="10"/>
  <c r="W20" i="10"/>
  <c r="T20" i="10"/>
  <c r="U20" i="10" s="1"/>
  <c r="AD20" i="10" s="1"/>
  <c r="S20" i="10"/>
  <c r="Q20" i="10"/>
  <c r="K20" i="10"/>
  <c r="L20" i="10" s="1"/>
  <c r="N20" i="10" s="1"/>
  <c r="J20" i="10"/>
  <c r="I20" i="10"/>
  <c r="AD19" i="10"/>
  <c r="AC19" i="10"/>
  <c r="AE19" i="10" s="1"/>
  <c r="AB19" i="10"/>
  <c r="AF19" i="10" s="1"/>
  <c r="AA19" i="10"/>
  <c r="Y19" i="10"/>
  <c r="W19" i="10"/>
  <c r="U19" i="10"/>
  <c r="T19" i="10"/>
  <c r="S19" i="10"/>
  <c r="Q19" i="10"/>
  <c r="K19" i="10"/>
  <c r="L19" i="10" s="1"/>
  <c r="N19" i="10" s="1"/>
  <c r="J19" i="10"/>
  <c r="I19" i="10"/>
  <c r="AF18" i="10"/>
  <c r="AE18" i="10"/>
  <c r="AD18" i="10"/>
  <c r="AC18" i="10"/>
  <c r="AB18" i="10"/>
  <c r="AA18" i="10"/>
  <c r="Y18" i="10"/>
  <c r="W18" i="10"/>
  <c r="T18" i="10"/>
  <c r="U18" i="10" s="1"/>
  <c r="S18" i="10"/>
  <c r="Q18" i="10"/>
  <c r="K18" i="10"/>
  <c r="L18" i="10" s="1"/>
  <c r="N18" i="10" s="1"/>
  <c r="J18" i="10"/>
  <c r="I18" i="10"/>
  <c r="AE17" i="10"/>
  <c r="AC17" i="10"/>
  <c r="AA17" i="10"/>
  <c r="Y17" i="10"/>
  <c r="W17" i="10"/>
  <c r="T17" i="10"/>
  <c r="U17" i="10" s="1"/>
  <c r="AD17" i="10" s="1"/>
  <c r="S17" i="10"/>
  <c r="Q17" i="10"/>
  <c r="N17" i="10"/>
  <c r="AB17" i="10" s="1"/>
  <c r="AF17" i="10" s="1"/>
  <c r="K17" i="10"/>
  <c r="L17" i="10" s="1"/>
  <c r="J17" i="10"/>
  <c r="I17" i="10"/>
  <c r="AE16" i="10"/>
  <c r="AC16" i="10"/>
  <c r="AA16" i="10"/>
  <c r="Y16" i="10"/>
  <c r="W16" i="10"/>
  <c r="U16" i="10"/>
  <c r="AD16" i="10" s="1"/>
  <c r="T16" i="10"/>
  <c r="S16" i="10"/>
  <c r="Q16" i="10"/>
  <c r="K16" i="10"/>
  <c r="L16" i="10" s="1"/>
  <c r="N16" i="10" s="1"/>
  <c r="AB16" i="10" s="1"/>
  <c r="AF16" i="10" s="1"/>
  <c r="J16" i="10"/>
  <c r="I16" i="10"/>
  <c r="AC15" i="10"/>
  <c r="AE15" i="10" s="1"/>
  <c r="AB15" i="10"/>
  <c r="AF15" i="10" s="1"/>
  <c r="AA15" i="10"/>
  <c r="Y15" i="10"/>
  <c r="W15" i="10"/>
  <c r="U15" i="10"/>
  <c r="AD15" i="10" s="1"/>
  <c r="T15" i="10"/>
  <c r="S15" i="10"/>
  <c r="Q15" i="10"/>
  <c r="K15" i="10"/>
  <c r="L15" i="10" s="1"/>
  <c r="N15" i="10" s="1"/>
  <c r="J15" i="10"/>
  <c r="I15" i="10"/>
  <c r="AC14" i="10"/>
  <c r="AA14" i="10"/>
  <c r="AE14" i="10" s="1"/>
  <c r="Y14" i="10"/>
  <c r="W14" i="10"/>
  <c r="T14" i="10"/>
  <c r="U14" i="10" s="1"/>
  <c r="AD14" i="10" s="1"/>
  <c r="S14" i="10"/>
  <c r="Q14" i="10"/>
  <c r="K14" i="10"/>
  <c r="J14" i="10"/>
  <c r="I14" i="10"/>
  <c r="AC13" i="10"/>
  <c r="AB13" i="10"/>
  <c r="AA13" i="10"/>
  <c r="Y13" i="10"/>
  <c r="W13" i="10"/>
  <c r="T13" i="10"/>
  <c r="S13" i="10"/>
  <c r="Q13" i="10"/>
  <c r="N13" i="10"/>
  <c r="L13" i="10"/>
  <c r="K13" i="10"/>
  <c r="J13" i="10"/>
  <c r="I13" i="10"/>
  <c r="V12" i="10"/>
  <c r="S12" i="10"/>
  <c r="P12" i="10"/>
  <c r="M12" i="10"/>
  <c r="G12" i="10"/>
  <c r="E12" i="10"/>
  <c r="X44" i="9"/>
  <c r="V44" i="9"/>
  <c r="R44" i="9"/>
  <c r="P44" i="9"/>
  <c r="Y44" i="9" s="1"/>
  <c r="M44" i="9"/>
  <c r="H44" i="9"/>
  <c r="I44" i="9" s="1"/>
  <c r="I12" i="9" s="1"/>
  <c r="G44" i="9"/>
  <c r="F44" i="9"/>
  <c r="J44" i="9" s="1"/>
  <c r="E44" i="9"/>
  <c r="E12" i="9" s="1"/>
  <c r="D44" i="9"/>
  <c r="D12" i="9" s="1"/>
  <c r="AC43" i="9"/>
  <c r="AA43" i="9"/>
  <c r="AE43" i="9" s="1"/>
  <c r="Y43" i="9"/>
  <c r="W43" i="9"/>
  <c r="T43" i="9"/>
  <c r="U43" i="9" s="1"/>
  <c r="AD43" i="9" s="1"/>
  <c r="S43" i="9"/>
  <c r="Q43" i="9"/>
  <c r="K43" i="9"/>
  <c r="L43" i="9" s="1"/>
  <c r="N43" i="9" s="1"/>
  <c r="AB43" i="9" s="1"/>
  <c r="J43" i="9"/>
  <c r="I43" i="9"/>
  <c r="AF42" i="9"/>
  <c r="AE42" i="9"/>
  <c r="AC42" i="9"/>
  <c r="AA42" i="9"/>
  <c r="Y42" i="9"/>
  <c r="W42" i="9"/>
  <c r="T42" i="9"/>
  <c r="U42" i="9" s="1"/>
  <c r="AD42" i="9" s="1"/>
  <c r="S42" i="9"/>
  <c r="Q42" i="9"/>
  <c r="L42" i="9"/>
  <c r="N42" i="9" s="1"/>
  <c r="AB42" i="9" s="1"/>
  <c r="K42" i="9"/>
  <c r="J42" i="9"/>
  <c r="I42" i="9"/>
  <c r="AE41" i="9"/>
  <c r="AC41" i="9"/>
  <c r="AB41" i="9"/>
  <c r="AA41" i="9"/>
  <c r="Y41" i="9"/>
  <c r="W41" i="9"/>
  <c r="T41" i="9"/>
  <c r="U41" i="9" s="1"/>
  <c r="AD41" i="9" s="1"/>
  <c r="AF41" i="9" s="1"/>
  <c r="S41" i="9"/>
  <c r="Q41" i="9"/>
  <c r="L41" i="9"/>
  <c r="N41" i="9" s="1"/>
  <c r="K41" i="9"/>
  <c r="J41" i="9"/>
  <c r="I41" i="9"/>
  <c r="AC40" i="9"/>
  <c r="AE40" i="9" s="1"/>
  <c r="AA40" i="9"/>
  <c r="Y40" i="9"/>
  <c r="W40" i="9"/>
  <c r="T40" i="9"/>
  <c r="U40" i="9" s="1"/>
  <c r="AD40" i="9" s="1"/>
  <c r="S40" i="9"/>
  <c r="Q40" i="9"/>
  <c r="L40" i="9"/>
  <c r="N40" i="9" s="1"/>
  <c r="AB40" i="9" s="1"/>
  <c r="AF40" i="9" s="1"/>
  <c r="K40" i="9"/>
  <c r="J40" i="9"/>
  <c r="I40" i="9"/>
  <c r="AE39" i="9"/>
  <c r="AD39" i="9"/>
  <c r="AC39" i="9"/>
  <c r="AA39" i="9"/>
  <c r="Y39" i="9"/>
  <c r="W39" i="9"/>
  <c r="T39" i="9"/>
  <c r="U39" i="9" s="1"/>
  <c r="S39" i="9"/>
  <c r="Q39" i="9"/>
  <c r="K39" i="9"/>
  <c r="L39" i="9" s="1"/>
  <c r="N39" i="9" s="1"/>
  <c r="AB39" i="9" s="1"/>
  <c r="J39" i="9"/>
  <c r="I39" i="9"/>
  <c r="AC38" i="9"/>
  <c r="AA38" i="9"/>
  <c r="AE38" i="9" s="1"/>
  <c r="Y38" i="9"/>
  <c r="W38" i="9"/>
  <c r="T38" i="9"/>
  <c r="U38" i="9" s="1"/>
  <c r="AD38" i="9" s="1"/>
  <c r="S38" i="9"/>
  <c r="Q38" i="9"/>
  <c r="K38" i="9"/>
  <c r="L38" i="9" s="1"/>
  <c r="N38" i="9" s="1"/>
  <c r="AB38" i="9" s="1"/>
  <c r="AF38" i="9" s="1"/>
  <c r="J38" i="9"/>
  <c r="I38" i="9"/>
  <c r="AC37" i="9"/>
  <c r="AA37" i="9"/>
  <c r="AE37" i="9" s="1"/>
  <c r="Y37" i="9"/>
  <c r="W37" i="9"/>
  <c r="U37" i="9"/>
  <c r="AD37" i="9" s="1"/>
  <c r="T37" i="9"/>
  <c r="S37" i="9"/>
  <c r="Q37" i="9"/>
  <c r="N37" i="9"/>
  <c r="AB37" i="9" s="1"/>
  <c r="AF37" i="9" s="1"/>
  <c r="L37" i="9"/>
  <c r="K37" i="9"/>
  <c r="J37" i="9"/>
  <c r="I37" i="9"/>
  <c r="AC36" i="9"/>
  <c r="AA36" i="9"/>
  <c r="AE36" i="9" s="1"/>
  <c r="Y36" i="9"/>
  <c r="W36" i="9"/>
  <c r="U36" i="9"/>
  <c r="AD36" i="9" s="1"/>
  <c r="T36" i="9"/>
  <c r="S36" i="9"/>
  <c r="Q36" i="9"/>
  <c r="K36" i="9"/>
  <c r="L36" i="9" s="1"/>
  <c r="N36" i="9" s="1"/>
  <c r="AB36" i="9" s="1"/>
  <c r="AF36" i="9" s="1"/>
  <c r="J36" i="9"/>
  <c r="I36" i="9"/>
  <c r="AD35" i="9"/>
  <c r="AC35" i="9"/>
  <c r="AA35" i="9"/>
  <c r="AE35" i="9" s="1"/>
  <c r="Y35" i="9"/>
  <c r="W35" i="9"/>
  <c r="U35" i="9"/>
  <c r="T35" i="9"/>
  <c r="S35" i="9"/>
  <c r="Q35" i="9"/>
  <c r="K35" i="9"/>
  <c r="L35" i="9" s="1"/>
  <c r="N35" i="9" s="1"/>
  <c r="AB35" i="9" s="1"/>
  <c r="AF35" i="9" s="1"/>
  <c r="J35" i="9"/>
  <c r="I35" i="9"/>
  <c r="AC34" i="9"/>
  <c r="AA34" i="9"/>
  <c r="Y34" i="9"/>
  <c r="W34" i="9"/>
  <c r="U34" i="9"/>
  <c r="AD34" i="9" s="1"/>
  <c r="T34" i="9"/>
  <c r="S34" i="9"/>
  <c r="Q34" i="9"/>
  <c r="K34" i="9"/>
  <c r="L34" i="9" s="1"/>
  <c r="N34" i="9" s="1"/>
  <c r="AB34" i="9" s="1"/>
  <c r="AF34" i="9" s="1"/>
  <c r="J34" i="9"/>
  <c r="I34" i="9"/>
  <c r="AC33" i="9"/>
  <c r="AE33" i="9" s="1"/>
  <c r="AA33" i="9"/>
  <c r="Y33" i="9"/>
  <c r="W33" i="9"/>
  <c r="T33" i="9"/>
  <c r="U33" i="9" s="1"/>
  <c r="AD33" i="9" s="1"/>
  <c r="S33" i="9"/>
  <c r="Q33" i="9"/>
  <c r="K33" i="9"/>
  <c r="L33" i="9" s="1"/>
  <c r="N33" i="9" s="1"/>
  <c r="AB33" i="9" s="1"/>
  <c r="J33" i="9"/>
  <c r="I33" i="9"/>
  <c r="AD32" i="9"/>
  <c r="AF32" i="9" s="1"/>
  <c r="AC32" i="9"/>
  <c r="AA32" i="9"/>
  <c r="Y32" i="9"/>
  <c r="W32" i="9"/>
  <c r="U32" i="9"/>
  <c r="T32" i="9"/>
  <c r="S32" i="9"/>
  <c r="Q32" i="9"/>
  <c r="K32" i="9"/>
  <c r="L32" i="9" s="1"/>
  <c r="N32" i="9" s="1"/>
  <c r="AB32" i="9" s="1"/>
  <c r="J32" i="9"/>
  <c r="I32" i="9"/>
  <c r="AF31" i="9"/>
  <c r="AD31" i="9"/>
  <c r="AC31" i="9"/>
  <c r="AA31" i="9"/>
  <c r="AE31" i="9" s="1"/>
  <c r="Y31" i="9"/>
  <c r="W31" i="9"/>
  <c r="T31" i="9"/>
  <c r="U31" i="9" s="1"/>
  <c r="S31" i="9"/>
  <c r="Q31" i="9"/>
  <c r="K31" i="9"/>
  <c r="L31" i="9" s="1"/>
  <c r="N31" i="9" s="1"/>
  <c r="AB31" i="9" s="1"/>
  <c r="J31" i="9"/>
  <c r="I31" i="9"/>
  <c r="AE30" i="9"/>
  <c r="AC30" i="9"/>
  <c r="AA30" i="9"/>
  <c r="Y30" i="9"/>
  <c r="W30" i="9"/>
  <c r="T30" i="9"/>
  <c r="U30" i="9" s="1"/>
  <c r="AD30" i="9" s="1"/>
  <c r="S30" i="9"/>
  <c r="Q30" i="9"/>
  <c r="K30" i="9"/>
  <c r="L30" i="9" s="1"/>
  <c r="N30" i="9" s="1"/>
  <c r="AB30" i="9" s="1"/>
  <c r="AF30" i="9" s="1"/>
  <c r="J30" i="9"/>
  <c r="I30" i="9"/>
  <c r="AE29" i="9"/>
  <c r="AC29" i="9"/>
  <c r="AA29" i="9"/>
  <c r="Y29" i="9"/>
  <c r="W29" i="9"/>
  <c r="U29" i="9"/>
  <c r="AD29" i="9" s="1"/>
  <c r="T29" i="9"/>
  <c r="S29" i="9"/>
  <c r="Q29" i="9"/>
  <c r="K29" i="9"/>
  <c r="L29" i="9" s="1"/>
  <c r="N29" i="9" s="1"/>
  <c r="AB29" i="9" s="1"/>
  <c r="AF29" i="9" s="1"/>
  <c r="J29" i="9"/>
  <c r="I29" i="9"/>
  <c r="AC28" i="9"/>
  <c r="AE28" i="9" s="1"/>
  <c r="AA28" i="9"/>
  <c r="Y28" i="9"/>
  <c r="W28" i="9"/>
  <c r="U28" i="9"/>
  <c r="AD28" i="9" s="1"/>
  <c r="T28" i="9"/>
  <c r="S28" i="9"/>
  <c r="Q28" i="9"/>
  <c r="K28" i="9"/>
  <c r="L28" i="9" s="1"/>
  <c r="N28" i="9" s="1"/>
  <c r="AB28" i="9" s="1"/>
  <c r="J28" i="9"/>
  <c r="I28" i="9"/>
  <c r="AC27" i="9"/>
  <c r="AB27" i="9"/>
  <c r="AA27" i="9"/>
  <c r="Y27" i="9"/>
  <c r="W27" i="9"/>
  <c r="T27" i="9"/>
  <c r="U27" i="9" s="1"/>
  <c r="AD27" i="9" s="1"/>
  <c r="S27" i="9"/>
  <c r="Q27" i="9"/>
  <c r="L27" i="9"/>
  <c r="N27" i="9" s="1"/>
  <c r="K27" i="9"/>
  <c r="J27" i="9"/>
  <c r="I27" i="9"/>
  <c r="AC26" i="9"/>
  <c r="AA26" i="9"/>
  <c r="AE26" i="9" s="1"/>
  <c r="Y26" i="9"/>
  <c r="W26" i="9"/>
  <c r="T26" i="9"/>
  <c r="U26" i="9" s="1"/>
  <c r="AD26" i="9" s="1"/>
  <c r="S26" i="9"/>
  <c r="Q26" i="9"/>
  <c r="L26" i="9"/>
  <c r="N26" i="9" s="1"/>
  <c r="AB26" i="9" s="1"/>
  <c r="AF26" i="9" s="1"/>
  <c r="K26" i="9"/>
  <c r="J26" i="9"/>
  <c r="I26" i="9"/>
  <c r="AC25" i="9"/>
  <c r="AB25" i="9"/>
  <c r="AA25" i="9"/>
  <c r="AE25" i="9" s="1"/>
  <c r="Y25" i="9"/>
  <c r="W25" i="9"/>
  <c r="T25" i="9"/>
  <c r="U25" i="9" s="1"/>
  <c r="AD25" i="9" s="1"/>
  <c r="S25" i="9"/>
  <c r="Q25" i="9"/>
  <c r="N25" i="9"/>
  <c r="L25" i="9"/>
  <c r="K25" i="9"/>
  <c r="J25" i="9"/>
  <c r="I25" i="9"/>
  <c r="AC24" i="9"/>
  <c r="AE24" i="9" s="1"/>
  <c r="AA24" i="9"/>
  <c r="Y24" i="9"/>
  <c r="W24" i="9"/>
  <c r="U24" i="9"/>
  <c r="AD24" i="9" s="1"/>
  <c r="AF24" i="9" s="1"/>
  <c r="T24" i="9"/>
  <c r="S24" i="9"/>
  <c r="Q24" i="9"/>
  <c r="N24" i="9"/>
  <c r="AB24" i="9" s="1"/>
  <c r="L24" i="9"/>
  <c r="K24" i="9"/>
  <c r="J24" i="9"/>
  <c r="I24" i="9"/>
  <c r="AE23" i="9"/>
  <c r="AD23" i="9"/>
  <c r="AC23" i="9"/>
  <c r="AA23" i="9"/>
  <c r="Y23" i="9"/>
  <c r="W23" i="9"/>
  <c r="T23" i="9"/>
  <c r="U23" i="9" s="1"/>
  <c r="S23" i="9"/>
  <c r="Q23" i="9"/>
  <c r="K23" i="9"/>
  <c r="L23" i="9" s="1"/>
  <c r="N23" i="9" s="1"/>
  <c r="AB23" i="9" s="1"/>
  <c r="AF23" i="9" s="1"/>
  <c r="J23" i="9"/>
  <c r="I23" i="9"/>
  <c r="AE22" i="9"/>
  <c r="AC22" i="9"/>
  <c r="AA22" i="9"/>
  <c r="Y22" i="9"/>
  <c r="W22" i="9"/>
  <c r="T22" i="9"/>
  <c r="U22" i="9" s="1"/>
  <c r="AD22" i="9" s="1"/>
  <c r="S22" i="9"/>
  <c r="Q22" i="9"/>
  <c r="K22" i="9"/>
  <c r="L22" i="9" s="1"/>
  <c r="N22" i="9" s="1"/>
  <c r="AB22" i="9" s="1"/>
  <c r="AF22" i="9" s="1"/>
  <c r="J22" i="9"/>
  <c r="I22" i="9"/>
  <c r="AC21" i="9"/>
  <c r="AB21" i="9"/>
  <c r="AA21" i="9"/>
  <c r="AE21" i="9" s="1"/>
  <c r="Y21" i="9"/>
  <c r="W21" i="9"/>
  <c r="U21" i="9"/>
  <c r="AD21" i="9" s="1"/>
  <c r="T21" i="9"/>
  <c r="S21" i="9"/>
  <c r="Q21" i="9"/>
  <c r="L21" i="9"/>
  <c r="N21" i="9" s="1"/>
  <c r="K21" i="9"/>
  <c r="J21" i="9"/>
  <c r="I21" i="9"/>
  <c r="AC20" i="9"/>
  <c r="AB20" i="9"/>
  <c r="AF20" i="9" s="1"/>
  <c r="AA20" i="9"/>
  <c r="Y20" i="9"/>
  <c r="W20" i="9"/>
  <c r="T20" i="9"/>
  <c r="U20" i="9" s="1"/>
  <c r="AD20" i="9" s="1"/>
  <c r="S20" i="9"/>
  <c r="Q20" i="9"/>
  <c r="N20" i="9"/>
  <c r="K20" i="9"/>
  <c r="L20" i="9" s="1"/>
  <c r="J20" i="9"/>
  <c r="I20" i="9"/>
  <c r="AC19" i="9"/>
  <c r="AA19" i="9"/>
  <c r="AE19" i="9" s="1"/>
  <c r="Y19" i="9"/>
  <c r="W19" i="9"/>
  <c r="T19" i="9"/>
  <c r="U19" i="9" s="1"/>
  <c r="AD19" i="9" s="1"/>
  <c r="S19" i="9"/>
  <c r="Q19" i="9"/>
  <c r="K19" i="9"/>
  <c r="L19" i="9" s="1"/>
  <c r="N19" i="9" s="1"/>
  <c r="AB19" i="9" s="1"/>
  <c r="J19" i="9"/>
  <c r="I19" i="9"/>
  <c r="AE18" i="9"/>
  <c r="AD18" i="9"/>
  <c r="AF18" i="9" s="1"/>
  <c r="AC18" i="9"/>
  <c r="AB18" i="9"/>
  <c r="AA18" i="9"/>
  <c r="Y18" i="9"/>
  <c r="W18" i="9"/>
  <c r="T18" i="9"/>
  <c r="U18" i="9" s="1"/>
  <c r="S18" i="9"/>
  <c r="Q18" i="9"/>
  <c r="L18" i="9"/>
  <c r="N18" i="9" s="1"/>
  <c r="K18" i="9"/>
  <c r="J18" i="9"/>
  <c r="I18" i="9"/>
  <c r="AC17" i="9"/>
  <c r="AE17" i="9" s="1"/>
  <c r="AA17" i="9"/>
  <c r="Y17" i="9"/>
  <c r="W17" i="9"/>
  <c r="T17" i="9"/>
  <c r="U17" i="9" s="1"/>
  <c r="AD17" i="9" s="1"/>
  <c r="S17" i="9"/>
  <c r="Q17" i="9"/>
  <c r="L17" i="9"/>
  <c r="N17" i="9" s="1"/>
  <c r="AB17" i="9" s="1"/>
  <c r="AF17" i="9" s="1"/>
  <c r="K17" i="9"/>
  <c r="J17" i="9"/>
  <c r="I17" i="9"/>
  <c r="AC16" i="9"/>
  <c r="AE16" i="9" s="1"/>
  <c r="AA16" i="9"/>
  <c r="Y16" i="9"/>
  <c r="W16" i="9"/>
  <c r="T16" i="9"/>
  <c r="U16" i="9" s="1"/>
  <c r="AD16" i="9" s="1"/>
  <c r="S16" i="9"/>
  <c r="Q16" i="9"/>
  <c r="K16" i="9"/>
  <c r="L16" i="9" s="1"/>
  <c r="N16" i="9" s="1"/>
  <c r="AB16" i="9" s="1"/>
  <c r="AF16" i="9" s="1"/>
  <c r="J16" i="9"/>
  <c r="I16" i="9"/>
  <c r="AC15" i="9"/>
  <c r="AE15" i="9" s="1"/>
  <c r="AA15" i="9"/>
  <c r="Y15" i="9"/>
  <c r="W15" i="9"/>
  <c r="T15" i="9"/>
  <c r="U15" i="9" s="1"/>
  <c r="AD15" i="9" s="1"/>
  <c r="S15" i="9"/>
  <c r="Q15" i="9"/>
  <c r="K15" i="9"/>
  <c r="J15" i="9"/>
  <c r="I15" i="9"/>
  <c r="AC14" i="9"/>
  <c r="AB14" i="9"/>
  <c r="AA14" i="9"/>
  <c r="AE14" i="9" s="1"/>
  <c r="Y14" i="9"/>
  <c r="W14" i="9"/>
  <c r="T14" i="9"/>
  <c r="U14" i="9" s="1"/>
  <c r="AD14" i="9" s="1"/>
  <c r="AF14" i="9" s="1"/>
  <c r="S14" i="9"/>
  <c r="Q14" i="9"/>
  <c r="K14" i="9"/>
  <c r="L14" i="9" s="1"/>
  <c r="N14" i="9" s="1"/>
  <c r="J14" i="9"/>
  <c r="I14" i="9"/>
  <c r="AC13" i="9"/>
  <c r="AB13" i="9"/>
  <c r="AA13" i="9"/>
  <c r="Y13" i="9"/>
  <c r="W13" i="9"/>
  <c r="U13" i="9"/>
  <c r="T13" i="9"/>
  <c r="S13" i="9"/>
  <c r="Q13" i="9"/>
  <c r="N13" i="9"/>
  <c r="L13" i="9"/>
  <c r="K13" i="9"/>
  <c r="J13" i="9"/>
  <c r="I13" i="9"/>
  <c r="Y12" i="9"/>
  <c r="X12" i="9"/>
  <c r="P12" i="9"/>
  <c r="M12" i="9"/>
  <c r="J12" i="9"/>
  <c r="H12" i="9"/>
  <c r="G12" i="9"/>
  <c r="F12" i="9"/>
  <c r="X44" i="8"/>
  <c r="Y44" i="8" s="1"/>
  <c r="V44" i="8"/>
  <c r="S44" i="8"/>
  <c r="R44" i="8"/>
  <c r="Q44" i="8"/>
  <c r="P44" i="8"/>
  <c r="M44" i="8"/>
  <c r="J44" i="8"/>
  <c r="J12" i="8" s="1"/>
  <c r="I44" i="8"/>
  <c r="I12" i="8" s="1"/>
  <c r="H44" i="8"/>
  <c r="H12" i="8" s="1"/>
  <c r="G44" i="8"/>
  <c r="F44" i="8"/>
  <c r="E44" i="8"/>
  <c r="D44" i="8"/>
  <c r="AC43" i="8"/>
  <c r="AA43" i="8"/>
  <c r="AE43" i="8" s="1"/>
  <c r="Y43" i="8"/>
  <c r="W43" i="8"/>
  <c r="T43" i="8"/>
  <c r="U43" i="8" s="1"/>
  <c r="AD43" i="8" s="1"/>
  <c r="AF43" i="8" s="1"/>
  <c r="S43" i="8"/>
  <c r="Q43" i="8"/>
  <c r="K43" i="8"/>
  <c r="L43" i="8" s="1"/>
  <c r="N43" i="8" s="1"/>
  <c r="AB43" i="8" s="1"/>
  <c r="J43" i="8"/>
  <c r="I43" i="8"/>
  <c r="AE42" i="8"/>
  <c r="AC42" i="8"/>
  <c r="AA42" i="8"/>
  <c r="Y42" i="8"/>
  <c r="W42" i="8"/>
  <c r="U42" i="8"/>
  <c r="AD42" i="8" s="1"/>
  <c r="T42" i="8"/>
  <c r="S42" i="8"/>
  <c r="Q42" i="8"/>
  <c r="K42" i="8"/>
  <c r="L42" i="8" s="1"/>
  <c r="N42" i="8" s="1"/>
  <c r="AB42" i="8" s="1"/>
  <c r="AF42" i="8" s="1"/>
  <c r="J42" i="8"/>
  <c r="I42" i="8"/>
  <c r="AC41" i="8"/>
  <c r="AE41" i="8" s="1"/>
  <c r="AA41" i="8"/>
  <c r="Y41" i="8"/>
  <c r="W41" i="8"/>
  <c r="U41" i="8"/>
  <c r="AD41" i="8" s="1"/>
  <c r="AF41" i="8" s="1"/>
  <c r="T41" i="8"/>
  <c r="S41" i="8"/>
  <c r="Q41" i="8"/>
  <c r="K41" i="8"/>
  <c r="L41" i="8" s="1"/>
  <c r="N41" i="8" s="1"/>
  <c r="AB41" i="8" s="1"/>
  <c r="J41" i="8"/>
  <c r="I41" i="8"/>
  <c r="AC40" i="8"/>
  <c r="AA40" i="8"/>
  <c r="Y40" i="8"/>
  <c r="W40" i="8"/>
  <c r="T40" i="8"/>
  <c r="U40" i="8" s="1"/>
  <c r="AD40" i="8" s="1"/>
  <c r="S40" i="8"/>
  <c r="Q40" i="8"/>
  <c r="L40" i="8"/>
  <c r="N40" i="8" s="1"/>
  <c r="AB40" i="8" s="1"/>
  <c r="AF40" i="8" s="1"/>
  <c r="K40" i="8"/>
  <c r="J40" i="8"/>
  <c r="I40" i="8"/>
  <c r="AC39" i="8"/>
  <c r="AB39" i="8"/>
  <c r="AF39" i="8" s="1"/>
  <c r="AA39" i="8"/>
  <c r="Y39" i="8"/>
  <c r="W39" i="8"/>
  <c r="T39" i="8"/>
  <c r="U39" i="8" s="1"/>
  <c r="AD39" i="8" s="1"/>
  <c r="S39" i="8"/>
  <c r="Q39" i="8"/>
  <c r="K39" i="8"/>
  <c r="L39" i="8" s="1"/>
  <c r="N39" i="8" s="1"/>
  <c r="J39" i="8"/>
  <c r="I39" i="8"/>
  <c r="AD38" i="8"/>
  <c r="AC38" i="8"/>
  <c r="AA38" i="8"/>
  <c r="Y38" i="8"/>
  <c r="W38" i="8"/>
  <c r="T38" i="8"/>
  <c r="U38" i="8" s="1"/>
  <c r="S38" i="8"/>
  <c r="Q38" i="8"/>
  <c r="K38" i="8"/>
  <c r="L38" i="8" s="1"/>
  <c r="N38" i="8" s="1"/>
  <c r="AB38" i="8" s="1"/>
  <c r="AF38" i="8" s="1"/>
  <c r="J38" i="8"/>
  <c r="I38" i="8"/>
  <c r="AC37" i="8"/>
  <c r="AB37" i="8"/>
  <c r="AF37" i="8" s="1"/>
  <c r="AA37" i="8"/>
  <c r="Y37" i="8"/>
  <c r="W37" i="8"/>
  <c r="U37" i="8"/>
  <c r="AD37" i="8" s="1"/>
  <c r="T37" i="8"/>
  <c r="S37" i="8"/>
  <c r="Q37" i="8"/>
  <c r="N37" i="8"/>
  <c r="L37" i="8"/>
  <c r="K37" i="8"/>
  <c r="J37" i="8"/>
  <c r="I37" i="8"/>
  <c r="AE36" i="8"/>
  <c r="AC36" i="8"/>
  <c r="AA36" i="8"/>
  <c r="Y36" i="8"/>
  <c r="W36" i="8"/>
  <c r="T36" i="8"/>
  <c r="U36" i="8" s="1"/>
  <c r="AD36" i="8" s="1"/>
  <c r="S36" i="8"/>
  <c r="Q36" i="8"/>
  <c r="L36" i="8"/>
  <c r="N36" i="8" s="1"/>
  <c r="AB36" i="8" s="1"/>
  <c r="AF36" i="8" s="1"/>
  <c r="K36" i="8"/>
  <c r="J36" i="8"/>
  <c r="I36" i="8"/>
  <c r="AE35" i="8"/>
  <c r="AC35" i="8"/>
  <c r="AA35" i="8"/>
  <c r="Y35" i="8"/>
  <c r="W35" i="8"/>
  <c r="U35" i="8"/>
  <c r="AD35" i="8" s="1"/>
  <c r="T35" i="8"/>
  <c r="S35" i="8"/>
  <c r="Q35" i="8"/>
  <c r="K35" i="8"/>
  <c r="L35" i="8" s="1"/>
  <c r="N35" i="8" s="1"/>
  <c r="AB35" i="8" s="1"/>
  <c r="AF35" i="8" s="1"/>
  <c r="J35" i="8"/>
  <c r="I35" i="8"/>
  <c r="AC34" i="8"/>
  <c r="AB34" i="8"/>
  <c r="AA34" i="8"/>
  <c r="AE34" i="8" s="1"/>
  <c r="Y34" i="8"/>
  <c r="W34" i="8"/>
  <c r="U34" i="8"/>
  <c r="AD34" i="8" s="1"/>
  <c r="T34" i="8"/>
  <c r="S34" i="8"/>
  <c r="Q34" i="8"/>
  <c r="K34" i="8"/>
  <c r="L34" i="8" s="1"/>
  <c r="N34" i="8" s="1"/>
  <c r="J34" i="8"/>
  <c r="I34" i="8"/>
  <c r="AC33" i="8"/>
  <c r="AE33" i="8" s="1"/>
  <c r="AA33" i="8"/>
  <c r="Y33" i="8"/>
  <c r="W33" i="8"/>
  <c r="U33" i="8"/>
  <c r="AD33" i="8" s="1"/>
  <c r="T33" i="8"/>
  <c r="S33" i="8"/>
  <c r="Q33" i="8"/>
  <c r="K33" i="8"/>
  <c r="L33" i="8" s="1"/>
  <c r="N33" i="8" s="1"/>
  <c r="AB33" i="8" s="1"/>
  <c r="J33" i="8"/>
  <c r="I33" i="8"/>
  <c r="AC32" i="8"/>
  <c r="AB32" i="8"/>
  <c r="AF32" i="8" s="1"/>
  <c r="AA32" i="8"/>
  <c r="AE32" i="8" s="1"/>
  <c r="Y32" i="8"/>
  <c r="W32" i="8"/>
  <c r="U32" i="8"/>
  <c r="AD32" i="8" s="1"/>
  <c r="T32" i="8"/>
  <c r="S32" i="8"/>
  <c r="Q32" i="8"/>
  <c r="L32" i="8"/>
  <c r="N32" i="8" s="1"/>
  <c r="K32" i="8"/>
  <c r="J32" i="8"/>
  <c r="I32" i="8"/>
  <c r="AE31" i="8"/>
  <c r="AC31" i="8"/>
  <c r="AA31" i="8"/>
  <c r="Y31" i="8"/>
  <c r="W31" i="8"/>
  <c r="T31" i="8"/>
  <c r="U31" i="8" s="1"/>
  <c r="AD31" i="8" s="1"/>
  <c r="S31" i="8"/>
  <c r="Q31" i="8"/>
  <c r="L31" i="8"/>
  <c r="N31" i="8" s="1"/>
  <c r="AB31" i="8" s="1"/>
  <c r="AF31" i="8" s="1"/>
  <c r="K31" i="8"/>
  <c r="J31" i="8"/>
  <c r="I31" i="8"/>
  <c r="AE30" i="8"/>
  <c r="AC30" i="8"/>
  <c r="AB30" i="8"/>
  <c r="AA30" i="8"/>
  <c r="Y30" i="8"/>
  <c r="W30" i="8"/>
  <c r="T30" i="8"/>
  <c r="U30" i="8" s="1"/>
  <c r="AD30" i="8" s="1"/>
  <c r="S30" i="8"/>
  <c r="Q30" i="8"/>
  <c r="N30" i="8"/>
  <c r="L30" i="8"/>
  <c r="K30" i="8"/>
  <c r="J30" i="8"/>
  <c r="I30" i="8"/>
  <c r="AD29" i="8"/>
  <c r="AC29" i="8"/>
  <c r="AE29" i="8" s="1"/>
  <c r="AA29" i="8"/>
  <c r="Y29" i="8"/>
  <c r="W29" i="8"/>
  <c r="T29" i="8"/>
  <c r="U29" i="8" s="1"/>
  <c r="S29" i="8"/>
  <c r="Q29" i="8"/>
  <c r="K29" i="8"/>
  <c r="L29" i="8" s="1"/>
  <c r="N29" i="8" s="1"/>
  <c r="AB29" i="8" s="1"/>
  <c r="AF29" i="8" s="1"/>
  <c r="J29" i="8"/>
  <c r="I29" i="8"/>
  <c r="AE28" i="8"/>
  <c r="AC28" i="8"/>
  <c r="AA28" i="8"/>
  <c r="Y28" i="8"/>
  <c r="W28" i="8"/>
  <c r="T28" i="8"/>
  <c r="U28" i="8" s="1"/>
  <c r="AD28" i="8" s="1"/>
  <c r="S28" i="8"/>
  <c r="Q28" i="8"/>
  <c r="N28" i="8"/>
  <c r="AB28" i="8" s="1"/>
  <c r="AF28" i="8" s="1"/>
  <c r="K28" i="8"/>
  <c r="L28" i="8" s="1"/>
  <c r="J28" i="8"/>
  <c r="I28" i="8"/>
  <c r="AC27" i="8"/>
  <c r="AB27" i="8"/>
  <c r="AA27" i="8"/>
  <c r="AE27" i="8" s="1"/>
  <c r="Y27" i="8"/>
  <c r="W27" i="8"/>
  <c r="T27" i="8"/>
  <c r="U27" i="8" s="1"/>
  <c r="AD27" i="8" s="1"/>
  <c r="AF27" i="8" s="1"/>
  <c r="S27" i="8"/>
  <c r="Q27" i="8"/>
  <c r="K27" i="8"/>
  <c r="L27" i="8" s="1"/>
  <c r="N27" i="8" s="1"/>
  <c r="J27" i="8"/>
  <c r="I27" i="8"/>
  <c r="AC26" i="8"/>
  <c r="AA26" i="8"/>
  <c r="AE26" i="8" s="1"/>
  <c r="Y26" i="8"/>
  <c r="W26" i="8"/>
  <c r="T26" i="8"/>
  <c r="U26" i="8" s="1"/>
  <c r="AD26" i="8" s="1"/>
  <c r="S26" i="8"/>
  <c r="Q26" i="8"/>
  <c r="K26" i="8"/>
  <c r="L26" i="8" s="1"/>
  <c r="N26" i="8" s="1"/>
  <c r="AB26" i="8" s="1"/>
  <c r="J26" i="8"/>
  <c r="I26" i="8"/>
  <c r="AC25" i="8"/>
  <c r="AA25" i="8"/>
  <c r="AE25" i="8" s="1"/>
  <c r="Y25" i="8"/>
  <c r="W25" i="8"/>
  <c r="T25" i="8"/>
  <c r="U25" i="8" s="1"/>
  <c r="AD25" i="8" s="1"/>
  <c r="S25" i="8"/>
  <c r="Q25" i="8"/>
  <c r="N25" i="8"/>
  <c r="AB25" i="8" s="1"/>
  <c r="AF25" i="8" s="1"/>
  <c r="L25" i="8"/>
  <c r="K25" i="8"/>
  <c r="J25" i="8"/>
  <c r="I25" i="8"/>
  <c r="AD24" i="8"/>
  <c r="AC24" i="8"/>
  <c r="AA24" i="8"/>
  <c r="Y24" i="8"/>
  <c r="W24" i="8"/>
  <c r="U24" i="8"/>
  <c r="T24" i="8"/>
  <c r="S24" i="8"/>
  <c r="Q24" i="8"/>
  <c r="K24" i="8"/>
  <c r="L24" i="8" s="1"/>
  <c r="N24" i="8" s="1"/>
  <c r="AB24" i="8" s="1"/>
  <c r="AF24" i="8" s="1"/>
  <c r="J24" i="8"/>
  <c r="I24" i="8"/>
  <c r="AD23" i="8"/>
  <c r="AC23" i="8"/>
  <c r="AA23" i="8"/>
  <c r="AE23" i="8" s="1"/>
  <c r="Y23" i="8"/>
  <c r="W23" i="8"/>
  <c r="T23" i="8"/>
  <c r="U23" i="8" s="1"/>
  <c r="S23" i="8"/>
  <c r="Q23" i="8"/>
  <c r="K23" i="8"/>
  <c r="L23" i="8" s="1"/>
  <c r="N23" i="8" s="1"/>
  <c r="AB23" i="8" s="1"/>
  <c r="AF23" i="8" s="1"/>
  <c r="J23" i="8"/>
  <c r="I23" i="8"/>
  <c r="AC22" i="8"/>
  <c r="AE22" i="8" s="1"/>
  <c r="AA22" i="8"/>
  <c r="Y22" i="8"/>
  <c r="W22" i="8"/>
  <c r="T22" i="8"/>
  <c r="U22" i="8" s="1"/>
  <c r="AD22" i="8" s="1"/>
  <c r="S22" i="8"/>
  <c r="Q22" i="8"/>
  <c r="N22" i="8"/>
  <c r="AB22" i="8" s="1"/>
  <c r="AF22" i="8" s="1"/>
  <c r="K22" i="8"/>
  <c r="L22" i="8" s="1"/>
  <c r="J22" i="8"/>
  <c r="I22" i="8"/>
  <c r="AC21" i="8"/>
  <c r="AE21" i="8" s="1"/>
  <c r="AA21" i="8"/>
  <c r="Y21" i="8"/>
  <c r="W21" i="8"/>
  <c r="T21" i="8"/>
  <c r="U21" i="8" s="1"/>
  <c r="AD21" i="8" s="1"/>
  <c r="S21" i="8"/>
  <c r="Q21" i="8"/>
  <c r="L21" i="8"/>
  <c r="N21" i="8" s="1"/>
  <c r="AB21" i="8" s="1"/>
  <c r="AF21" i="8" s="1"/>
  <c r="K21" i="8"/>
  <c r="J21" i="8"/>
  <c r="I21" i="8"/>
  <c r="AC20" i="8"/>
  <c r="AB20" i="8"/>
  <c r="AA20" i="8"/>
  <c r="AE20" i="8" s="1"/>
  <c r="Y20" i="8"/>
  <c r="W20" i="8"/>
  <c r="T20" i="8"/>
  <c r="U20" i="8" s="1"/>
  <c r="AD20" i="8" s="1"/>
  <c r="S20" i="8"/>
  <c r="Q20" i="8"/>
  <c r="K20" i="8"/>
  <c r="L20" i="8" s="1"/>
  <c r="N20" i="8" s="1"/>
  <c r="J20" i="8"/>
  <c r="I20" i="8"/>
  <c r="AC19" i="8"/>
  <c r="AA19" i="8"/>
  <c r="AE19" i="8" s="1"/>
  <c r="Y19" i="8"/>
  <c r="W19" i="8"/>
  <c r="U19" i="8"/>
  <c r="AD19" i="8" s="1"/>
  <c r="T19" i="8"/>
  <c r="S19" i="8"/>
  <c r="Q19" i="8"/>
  <c r="K19" i="8"/>
  <c r="L19" i="8" s="1"/>
  <c r="N19" i="8" s="1"/>
  <c r="AB19" i="8" s="1"/>
  <c r="J19" i="8"/>
  <c r="I19" i="8"/>
  <c r="AE18" i="8"/>
  <c r="AC18" i="8"/>
  <c r="AA18" i="8"/>
  <c r="Y18" i="8"/>
  <c r="W18" i="8"/>
  <c r="U18" i="8"/>
  <c r="AD18" i="8" s="1"/>
  <c r="T18" i="8"/>
  <c r="S18" i="8"/>
  <c r="Q18" i="8"/>
  <c r="K18" i="8"/>
  <c r="L18" i="8" s="1"/>
  <c r="N18" i="8" s="1"/>
  <c r="AB18" i="8" s="1"/>
  <c r="AF18" i="8" s="1"/>
  <c r="J18" i="8"/>
  <c r="I18" i="8"/>
  <c r="AE17" i="8"/>
  <c r="AD17" i="8"/>
  <c r="AC17" i="8"/>
  <c r="AA17" i="8"/>
  <c r="Y17" i="8"/>
  <c r="W17" i="8"/>
  <c r="U17" i="8"/>
  <c r="T17" i="8"/>
  <c r="S17" i="8"/>
  <c r="Q17" i="8"/>
  <c r="K17" i="8"/>
  <c r="L17" i="8" s="1"/>
  <c r="N17" i="8" s="1"/>
  <c r="AB17" i="8" s="1"/>
  <c r="J17" i="8"/>
  <c r="I17" i="8"/>
  <c r="AC16" i="8"/>
  <c r="AA16" i="8"/>
  <c r="AE16" i="8" s="1"/>
  <c r="Y16" i="8"/>
  <c r="W16" i="8"/>
  <c r="T16" i="8"/>
  <c r="U16" i="8" s="1"/>
  <c r="AD16" i="8" s="1"/>
  <c r="S16" i="8"/>
  <c r="Q16" i="8"/>
  <c r="K16" i="8"/>
  <c r="L16" i="8" s="1"/>
  <c r="N16" i="8" s="1"/>
  <c r="AB16" i="8" s="1"/>
  <c r="J16" i="8"/>
  <c r="I16" i="8"/>
  <c r="AC15" i="8"/>
  <c r="AB15" i="8"/>
  <c r="AA15" i="8"/>
  <c r="AE15" i="8" s="1"/>
  <c r="Y15" i="8"/>
  <c r="W15" i="8"/>
  <c r="T15" i="8"/>
  <c r="S15" i="8"/>
  <c r="Q15" i="8"/>
  <c r="L15" i="8"/>
  <c r="N15" i="8" s="1"/>
  <c r="K15" i="8"/>
  <c r="J15" i="8"/>
  <c r="I15" i="8"/>
  <c r="AD14" i="8"/>
  <c r="AC14" i="8"/>
  <c r="AE14" i="8" s="1"/>
  <c r="AA14" i="8"/>
  <c r="Y14" i="8"/>
  <c r="W14" i="8"/>
  <c r="T14" i="8"/>
  <c r="U14" i="8" s="1"/>
  <c r="S14" i="8"/>
  <c r="Q14" i="8"/>
  <c r="K14" i="8"/>
  <c r="J14" i="8"/>
  <c r="I14" i="8"/>
  <c r="AF13" i="8"/>
  <c r="AE13" i="8"/>
  <c r="AD13" i="8"/>
  <c r="AC13" i="8"/>
  <c r="AC44" i="8" s="1"/>
  <c r="AC12" i="8" s="1"/>
  <c r="AB13" i="8"/>
  <c r="AA13" i="8"/>
  <c r="Y13" i="8"/>
  <c r="W13" i="8"/>
  <c r="T13" i="8"/>
  <c r="U13" i="8" s="1"/>
  <c r="S13" i="8"/>
  <c r="Q13" i="8"/>
  <c r="N13" i="8"/>
  <c r="L13" i="8"/>
  <c r="K13" i="8"/>
  <c r="J13" i="8"/>
  <c r="I13" i="8"/>
  <c r="X12" i="8"/>
  <c r="S12" i="8"/>
  <c r="R12" i="8"/>
  <c r="Q12" i="8"/>
  <c r="P12" i="8"/>
  <c r="M12" i="8"/>
  <c r="G12" i="8"/>
  <c r="F12" i="8"/>
  <c r="E12" i="8"/>
  <c r="D12" i="8"/>
  <c r="Y44" i="7"/>
  <c r="X44" i="7"/>
  <c r="X12" i="7" s="1"/>
  <c r="V44" i="7"/>
  <c r="R44" i="7"/>
  <c r="P44" i="7"/>
  <c r="M44" i="7"/>
  <c r="M12" i="7" s="1"/>
  <c r="H44" i="7"/>
  <c r="G44" i="7"/>
  <c r="F44" i="7"/>
  <c r="E44" i="7"/>
  <c r="D44" i="7"/>
  <c r="AC43" i="7"/>
  <c r="AA43" i="7"/>
  <c r="AE43" i="7" s="1"/>
  <c r="Y43" i="7"/>
  <c r="W43" i="7"/>
  <c r="U43" i="7"/>
  <c r="AD43" i="7" s="1"/>
  <c r="T43" i="7"/>
  <c r="S43" i="7"/>
  <c r="Q43" i="7"/>
  <c r="N43" i="7"/>
  <c r="AB43" i="7" s="1"/>
  <c r="AF43" i="7" s="1"/>
  <c r="L43" i="7"/>
  <c r="K43" i="7"/>
  <c r="J43" i="7"/>
  <c r="I43" i="7"/>
  <c r="AE42" i="7"/>
  <c r="AC42" i="7"/>
  <c r="AA42" i="7"/>
  <c r="Y42" i="7"/>
  <c r="W42" i="7"/>
  <c r="U42" i="7"/>
  <c r="AD42" i="7" s="1"/>
  <c r="T42" i="7"/>
  <c r="S42" i="7"/>
  <c r="Q42" i="7"/>
  <c r="K42" i="7"/>
  <c r="L42" i="7" s="1"/>
  <c r="N42" i="7" s="1"/>
  <c r="AB42" i="7" s="1"/>
  <c r="J42" i="7"/>
  <c r="I42" i="7"/>
  <c r="AE41" i="7"/>
  <c r="AC41" i="7"/>
  <c r="AA41" i="7"/>
  <c r="Y41" i="7"/>
  <c r="W41" i="7"/>
  <c r="U41" i="7"/>
  <c r="AD41" i="7" s="1"/>
  <c r="T41" i="7"/>
  <c r="S41" i="7"/>
  <c r="Q41" i="7"/>
  <c r="K41" i="7"/>
  <c r="L41" i="7" s="1"/>
  <c r="N41" i="7" s="1"/>
  <c r="AB41" i="7" s="1"/>
  <c r="AF41" i="7" s="1"/>
  <c r="J41" i="7"/>
  <c r="I41" i="7"/>
  <c r="AE40" i="7"/>
  <c r="AC40" i="7"/>
  <c r="AB40" i="7"/>
  <c r="AA40" i="7"/>
  <c r="Y40" i="7"/>
  <c r="W40" i="7"/>
  <c r="T40" i="7"/>
  <c r="U40" i="7" s="1"/>
  <c r="AD40" i="7" s="1"/>
  <c r="AF40" i="7" s="1"/>
  <c r="S40" i="7"/>
  <c r="Q40" i="7"/>
  <c r="K40" i="7"/>
  <c r="L40" i="7" s="1"/>
  <c r="N40" i="7" s="1"/>
  <c r="J40" i="7"/>
  <c r="I40" i="7"/>
  <c r="AD39" i="7"/>
  <c r="AF39" i="7" s="1"/>
  <c r="AC39" i="7"/>
  <c r="AA39" i="7"/>
  <c r="Y39" i="7"/>
  <c r="W39" i="7"/>
  <c r="U39" i="7"/>
  <c r="T39" i="7"/>
  <c r="S39" i="7"/>
  <c r="Q39" i="7"/>
  <c r="K39" i="7"/>
  <c r="L39" i="7" s="1"/>
  <c r="N39" i="7" s="1"/>
  <c r="AB39" i="7" s="1"/>
  <c r="J39" i="7"/>
  <c r="I39" i="7"/>
  <c r="AC38" i="7"/>
  <c r="AA38" i="7"/>
  <c r="AE38" i="7" s="1"/>
  <c r="Y38" i="7"/>
  <c r="W38" i="7"/>
  <c r="T38" i="7"/>
  <c r="U38" i="7" s="1"/>
  <c r="AD38" i="7" s="1"/>
  <c r="S38" i="7"/>
  <c r="Q38" i="7"/>
  <c r="K38" i="7"/>
  <c r="L38" i="7" s="1"/>
  <c r="N38" i="7" s="1"/>
  <c r="AB38" i="7" s="1"/>
  <c r="AF38" i="7" s="1"/>
  <c r="J38" i="7"/>
  <c r="I38" i="7"/>
  <c r="AF37" i="7"/>
  <c r="AD37" i="7"/>
  <c r="AC37" i="7"/>
  <c r="AA37" i="7"/>
  <c r="AE37" i="7" s="1"/>
  <c r="Y37" i="7"/>
  <c r="W37" i="7"/>
  <c r="U37" i="7"/>
  <c r="T37" i="7"/>
  <c r="S37" i="7"/>
  <c r="Q37" i="7"/>
  <c r="K37" i="7"/>
  <c r="L37" i="7" s="1"/>
  <c r="N37" i="7" s="1"/>
  <c r="AB37" i="7" s="1"/>
  <c r="J37" i="7"/>
  <c r="I37" i="7"/>
  <c r="AC36" i="7"/>
  <c r="AA36" i="7"/>
  <c r="AE36" i="7" s="1"/>
  <c r="Y36" i="7"/>
  <c r="W36" i="7"/>
  <c r="T36" i="7"/>
  <c r="U36" i="7" s="1"/>
  <c r="AD36" i="7" s="1"/>
  <c r="S36" i="7"/>
  <c r="Q36" i="7"/>
  <c r="N36" i="7"/>
  <c r="AB36" i="7" s="1"/>
  <c r="K36" i="7"/>
  <c r="L36" i="7" s="1"/>
  <c r="J36" i="7"/>
  <c r="I36" i="7"/>
  <c r="AC35" i="7"/>
  <c r="AE35" i="7" s="1"/>
  <c r="AA35" i="7"/>
  <c r="Y35" i="7"/>
  <c r="W35" i="7"/>
  <c r="T35" i="7"/>
  <c r="U35" i="7" s="1"/>
  <c r="AD35" i="7" s="1"/>
  <c r="S35" i="7"/>
  <c r="Q35" i="7"/>
  <c r="L35" i="7"/>
  <c r="N35" i="7" s="1"/>
  <c r="AB35" i="7" s="1"/>
  <c r="AF35" i="7" s="1"/>
  <c r="K35" i="7"/>
  <c r="J35" i="7"/>
  <c r="I35" i="7"/>
  <c r="AD34" i="7"/>
  <c r="AC34" i="7"/>
  <c r="AE34" i="7" s="1"/>
  <c r="AB34" i="7"/>
  <c r="AF34" i="7" s="1"/>
  <c r="AA34" i="7"/>
  <c r="Y34" i="7"/>
  <c r="W34" i="7"/>
  <c r="T34" i="7"/>
  <c r="U34" i="7" s="1"/>
  <c r="S34" i="7"/>
  <c r="Q34" i="7"/>
  <c r="L34" i="7"/>
  <c r="N34" i="7" s="1"/>
  <c r="K34" i="7"/>
  <c r="J34" i="7"/>
  <c r="I34" i="7"/>
  <c r="AC33" i="7"/>
  <c r="AB33" i="7"/>
  <c r="AF33" i="7" s="1"/>
  <c r="AA33" i="7"/>
  <c r="AE33" i="7" s="1"/>
  <c r="Y33" i="7"/>
  <c r="W33" i="7"/>
  <c r="T33" i="7"/>
  <c r="U33" i="7" s="1"/>
  <c r="AD33" i="7" s="1"/>
  <c r="S33" i="7"/>
  <c r="Q33" i="7"/>
  <c r="K33" i="7"/>
  <c r="L33" i="7" s="1"/>
  <c r="N33" i="7" s="1"/>
  <c r="J33" i="7"/>
  <c r="I33" i="7"/>
  <c r="AC32" i="7"/>
  <c r="AE32" i="7" s="1"/>
  <c r="AA32" i="7"/>
  <c r="Y32" i="7"/>
  <c r="W32" i="7"/>
  <c r="U32" i="7"/>
  <c r="AD32" i="7" s="1"/>
  <c r="T32" i="7"/>
  <c r="S32" i="7"/>
  <c r="Q32" i="7"/>
  <c r="K32" i="7"/>
  <c r="L32" i="7" s="1"/>
  <c r="N32" i="7" s="1"/>
  <c r="AB32" i="7" s="1"/>
  <c r="AF32" i="7" s="1"/>
  <c r="J32" i="7"/>
  <c r="I32" i="7"/>
  <c r="AF31" i="7"/>
  <c r="AE31" i="7"/>
  <c r="AC31" i="7"/>
  <c r="AA31" i="7"/>
  <c r="Y31" i="7"/>
  <c r="W31" i="7"/>
  <c r="U31" i="7"/>
  <c r="AD31" i="7" s="1"/>
  <c r="T31" i="7"/>
  <c r="S31" i="7"/>
  <c r="Q31" i="7"/>
  <c r="N31" i="7"/>
  <c r="AB31" i="7" s="1"/>
  <c r="L31" i="7"/>
  <c r="K31" i="7"/>
  <c r="J31" i="7"/>
  <c r="I31" i="7"/>
  <c r="AC30" i="7"/>
  <c r="AE30" i="7" s="1"/>
  <c r="AA30" i="7"/>
  <c r="Y30" i="7"/>
  <c r="W30" i="7"/>
  <c r="U30" i="7"/>
  <c r="AD30" i="7" s="1"/>
  <c r="T30" i="7"/>
  <c r="S30" i="7"/>
  <c r="Q30" i="7"/>
  <c r="K30" i="7"/>
  <c r="L30" i="7" s="1"/>
  <c r="N30" i="7" s="1"/>
  <c r="AB30" i="7" s="1"/>
  <c r="AF30" i="7" s="1"/>
  <c r="J30" i="7"/>
  <c r="I30" i="7"/>
  <c r="AC29" i="7"/>
  <c r="AB29" i="7"/>
  <c r="AA29" i="7"/>
  <c r="AE29" i="7" s="1"/>
  <c r="Y29" i="7"/>
  <c r="W29" i="7"/>
  <c r="T29" i="7"/>
  <c r="U29" i="7" s="1"/>
  <c r="AD29" i="7" s="1"/>
  <c r="S29" i="7"/>
  <c r="Q29" i="7"/>
  <c r="K29" i="7"/>
  <c r="L29" i="7" s="1"/>
  <c r="N29" i="7" s="1"/>
  <c r="J29" i="7"/>
  <c r="I29" i="7"/>
  <c r="AC28" i="7"/>
  <c r="AA28" i="7"/>
  <c r="AE28" i="7" s="1"/>
  <c r="Y28" i="7"/>
  <c r="W28" i="7"/>
  <c r="T28" i="7"/>
  <c r="U28" i="7" s="1"/>
  <c r="AD28" i="7" s="1"/>
  <c r="S28" i="7"/>
  <c r="Q28" i="7"/>
  <c r="L28" i="7"/>
  <c r="N28" i="7" s="1"/>
  <c r="AB28" i="7" s="1"/>
  <c r="AF28" i="7" s="1"/>
  <c r="K28" i="7"/>
  <c r="J28" i="7"/>
  <c r="I28" i="7"/>
  <c r="AD27" i="7"/>
  <c r="AC27" i="7"/>
  <c r="AE27" i="7" s="1"/>
  <c r="AA27" i="7"/>
  <c r="Y27" i="7"/>
  <c r="W27" i="7"/>
  <c r="T27" i="7"/>
  <c r="U27" i="7" s="1"/>
  <c r="S27" i="7"/>
  <c r="Q27" i="7"/>
  <c r="K27" i="7"/>
  <c r="L27" i="7" s="1"/>
  <c r="N27" i="7" s="1"/>
  <c r="AB27" i="7" s="1"/>
  <c r="J27" i="7"/>
  <c r="I27" i="7"/>
  <c r="AC26" i="7"/>
  <c r="AB26" i="7"/>
  <c r="AF26" i="7" s="1"/>
  <c r="AA26" i="7"/>
  <c r="AE26" i="7" s="1"/>
  <c r="Y26" i="7"/>
  <c r="W26" i="7"/>
  <c r="U26" i="7"/>
  <c r="AD26" i="7" s="1"/>
  <c r="T26" i="7"/>
  <c r="S26" i="7"/>
  <c r="Q26" i="7"/>
  <c r="N26" i="7"/>
  <c r="L26" i="7"/>
  <c r="K26" i="7"/>
  <c r="J26" i="7"/>
  <c r="I26" i="7"/>
  <c r="AC25" i="7"/>
  <c r="AA25" i="7"/>
  <c r="AE25" i="7" s="1"/>
  <c r="Y25" i="7"/>
  <c r="W25" i="7"/>
  <c r="U25" i="7"/>
  <c r="AD25" i="7" s="1"/>
  <c r="T25" i="7"/>
  <c r="S25" i="7"/>
  <c r="Q25" i="7"/>
  <c r="K25" i="7"/>
  <c r="L25" i="7" s="1"/>
  <c r="N25" i="7" s="1"/>
  <c r="AB25" i="7" s="1"/>
  <c r="AF25" i="7" s="1"/>
  <c r="J25" i="7"/>
  <c r="I25" i="7"/>
  <c r="AE24" i="7"/>
  <c r="AD24" i="7"/>
  <c r="AC24" i="7"/>
  <c r="AA24" i="7"/>
  <c r="Y24" i="7"/>
  <c r="W24" i="7"/>
  <c r="U24" i="7"/>
  <c r="T24" i="7"/>
  <c r="S24" i="7"/>
  <c r="Q24" i="7"/>
  <c r="K24" i="7"/>
  <c r="L24" i="7" s="1"/>
  <c r="N24" i="7" s="1"/>
  <c r="AB24" i="7" s="1"/>
  <c r="AF24" i="7" s="1"/>
  <c r="J24" i="7"/>
  <c r="I24" i="7"/>
  <c r="AC23" i="7"/>
  <c r="AA23" i="7"/>
  <c r="Y23" i="7"/>
  <c r="W23" i="7"/>
  <c r="T23" i="7"/>
  <c r="U23" i="7" s="1"/>
  <c r="AD23" i="7" s="1"/>
  <c r="S23" i="7"/>
  <c r="Q23" i="7"/>
  <c r="K23" i="7"/>
  <c r="L23" i="7" s="1"/>
  <c r="N23" i="7" s="1"/>
  <c r="AB23" i="7" s="1"/>
  <c r="AF23" i="7" s="1"/>
  <c r="J23" i="7"/>
  <c r="I23" i="7"/>
  <c r="AE22" i="7"/>
  <c r="AC22" i="7"/>
  <c r="AA22" i="7"/>
  <c r="Y22" i="7"/>
  <c r="W22" i="7"/>
  <c r="T22" i="7"/>
  <c r="U22" i="7" s="1"/>
  <c r="AD22" i="7" s="1"/>
  <c r="S22" i="7"/>
  <c r="Q22" i="7"/>
  <c r="N22" i="7"/>
  <c r="AB22" i="7" s="1"/>
  <c r="AF22" i="7" s="1"/>
  <c r="K22" i="7"/>
  <c r="L22" i="7" s="1"/>
  <c r="J22" i="7"/>
  <c r="I22" i="7"/>
  <c r="AC21" i="7"/>
  <c r="AB21" i="7"/>
  <c r="AF21" i="7" s="1"/>
  <c r="AA21" i="7"/>
  <c r="AE21" i="7" s="1"/>
  <c r="Y21" i="7"/>
  <c r="W21" i="7"/>
  <c r="T21" i="7"/>
  <c r="U21" i="7" s="1"/>
  <c r="AD21" i="7" s="1"/>
  <c r="S21" i="7"/>
  <c r="Q21" i="7"/>
  <c r="N21" i="7"/>
  <c r="L21" i="7"/>
  <c r="K21" i="7"/>
  <c r="J21" i="7"/>
  <c r="I21" i="7"/>
  <c r="AE20" i="7"/>
  <c r="AC20" i="7"/>
  <c r="AA20" i="7"/>
  <c r="Y20" i="7"/>
  <c r="W20" i="7"/>
  <c r="T20" i="7"/>
  <c r="U20" i="7" s="1"/>
  <c r="AD20" i="7" s="1"/>
  <c r="S20" i="7"/>
  <c r="Q20" i="7"/>
  <c r="N20" i="7"/>
  <c r="AB20" i="7" s="1"/>
  <c r="AF20" i="7" s="1"/>
  <c r="L20" i="7"/>
  <c r="K20" i="7"/>
  <c r="J20" i="7"/>
  <c r="I20" i="7"/>
  <c r="AD19" i="7"/>
  <c r="AC19" i="7"/>
  <c r="AE19" i="7" s="1"/>
  <c r="AB19" i="7"/>
  <c r="AF19" i="7" s="1"/>
  <c r="AA19" i="7"/>
  <c r="Y19" i="7"/>
  <c r="W19" i="7"/>
  <c r="T19" i="7"/>
  <c r="U19" i="7" s="1"/>
  <c r="S19" i="7"/>
  <c r="Q19" i="7"/>
  <c r="L19" i="7"/>
  <c r="N19" i="7" s="1"/>
  <c r="K19" i="7"/>
  <c r="J19" i="7"/>
  <c r="I19" i="7"/>
  <c r="AC18" i="7"/>
  <c r="AA18" i="7"/>
  <c r="AE18" i="7" s="1"/>
  <c r="Y18" i="7"/>
  <c r="W18" i="7"/>
  <c r="T18" i="7"/>
  <c r="U18" i="7" s="1"/>
  <c r="AD18" i="7" s="1"/>
  <c r="S18" i="7"/>
  <c r="Q18" i="7"/>
  <c r="K18" i="7"/>
  <c r="L18" i="7" s="1"/>
  <c r="N18" i="7" s="1"/>
  <c r="AB18" i="7" s="1"/>
  <c r="AF18" i="7" s="1"/>
  <c r="J18" i="7"/>
  <c r="I18" i="7"/>
  <c r="AE17" i="7"/>
  <c r="AC17" i="7"/>
  <c r="AA17" i="7"/>
  <c r="Y17" i="7"/>
  <c r="W17" i="7"/>
  <c r="T17" i="7"/>
  <c r="U17" i="7" s="1"/>
  <c r="AD17" i="7" s="1"/>
  <c r="S17" i="7"/>
  <c r="Q17" i="7"/>
  <c r="K17" i="7"/>
  <c r="L17" i="7" s="1"/>
  <c r="N17" i="7" s="1"/>
  <c r="AB17" i="7" s="1"/>
  <c r="AF17" i="7" s="1"/>
  <c r="J17" i="7"/>
  <c r="I17" i="7"/>
  <c r="AE16" i="7"/>
  <c r="AD16" i="7"/>
  <c r="AC16" i="7"/>
  <c r="AB16" i="7"/>
  <c r="AF16" i="7" s="1"/>
  <c r="AA16" i="7"/>
  <c r="Y16" i="7"/>
  <c r="W16" i="7"/>
  <c r="T16" i="7"/>
  <c r="U16" i="7" s="1"/>
  <c r="S16" i="7"/>
  <c r="Q16" i="7"/>
  <c r="K16" i="7"/>
  <c r="L16" i="7" s="1"/>
  <c r="N16" i="7" s="1"/>
  <c r="J16" i="7"/>
  <c r="I16" i="7"/>
  <c r="AC15" i="7"/>
  <c r="AA15" i="7"/>
  <c r="AE15" i="7" s="1"/>
  <c r="Y15" i="7"/>
  <c r="W15" i="7"/>
  <c r="T15" i="7"/>
  <c r="S15" i="7"/>
  <c r="Q15" i="7"/>
  <c r="K15" i="7"/>
  <c r="L15" i="7" s="1"/>
  <c r="N15" i="7" s="1"/>
  <c r="AB15" i="7" s="1"/>
  <c r="J15" i="7"/>
  <c r="I15" i="7"/>
  <c r="AC14" i="7"/>
  <c r="AA14" i="7"/>
  <c r="AE14" i="7" s="1"/>
  <c r="Y14" i="7"/>
  <c r="W14" i="7"/>
  <c r="T14" i="7"/>
  <c r="U14" i="7" s="1"/>
  <c r="AD14" i="7" s="1"/>
  <c r="S14" i="7"/>
  <c r="Q14" i="7"/>
  <c r="N14" i="7"/>
  <c r="AB14" i="7" s="1"/>
  <c r="AF14" i="7" s="1"/>
  <c r="K14" i="7"/>
  <c r="L14" i="7" s="1"/>
  <c r="J14" i="7"/>
  <c r="I14" i="7"/>
  <c r="AD13" i="7"/>
  <c r="AC13" i="7"/>
  <c r="AA13" i="7"/>
  <c r="AE13" i="7" s="1"/>
  <c r="Y13" i="7"/>
  <c r="W13" i="7"/>
  <c r="U13" i="7"/>
  <c r="T13" i="7"/>
  <c r="S13" i="7"/>
  <c r="Q13" i="7"/>
  <c r="L13" i="7"/>
  <c r="K13" i="7"/>
  <c r="J13" i="7"/>
  <c r="I13" i="7"/>
  <c r="Y12" i="7"/>
  <c r="V12" i="7"/>
  <c r="F12" i="7"/>
  <c r="E12" i="7"/>
  <c r="D12" i="7"/>
  <c r="Y44" i="6"/>
  <c r="X44" i="6"/>
  <c r="X12" i="6" s="1"/>
  <c r="V44" i="6"/>
  <c r="V12" i="6" s="1"/>
  <c r="R44" i="6"/>
  <c r="P44" i="6"/>
  <c r="Q44" i="6" s="1"/>
  <c r="Q12" i="6" s="1"/>
  <c r="M44" i="6"/>
  <c r="H44" i="6"/>
  <c r="G44" i="6"/>
  <c r="F44" i="6"/>
  <c r="E44" i="6"/>
  <c r="D44" i="6"/>
  <c r="AD43" i="6"/>
  <c r="AC43" i="6"/>
  <c r="AA43" i="6"/>
  <c r="Y43" i="6"/>
  <c r="W43" i="6"/>
  <c r="U43" i="6"/>
  <c r="T43" i="6"/>
  <c r="S43" i="6"/>
  <c r="Q43" i="6"/>
  <c r="L43" i="6"/>
  <c r="N43" i="6" s="1"/>
  <c r="AB43" i="6" s="1"/>
  <c r="AF43" i="6" s="1"/>
  <c r="K43" i="6"/>
  <c r="J43" i="6"/>
  <c r="I43" i="6"/>
  <c r="AF42" i="6"/>
  <c r="AD42" i="6"/>
  <c r="AC42" i="6"/>
  <c r="AE42" i="6" s="1"/>
  <c r="AA42" i="6"/>
  <c r="Y42" i="6"/>
  <c r="W42" i="6"/>
  <c r="T42" i="6"/>
  <c r="U42" i="6" s="1"/>
  <c r="S42" i="6"/>
  <c r="Q42" i="6"/>
  <c r="N42" i="6"/>
  <c r="AB42" i="6" s="1"/>
  <c r="L42" i="6"/>
  <c r="K42" i="6"/>
  <c r="J42" i="6"/>
  <c r="I42" i="6"/>
  <c r="AC41" i="6"/>
  <c r="AA41" i="6"/>
  <c r="AE41" i="6" s="1"/>
  <c r="Y41" i="6"/>
  <c r="W41" i="6"/>
  <c r="U41" i="6"/>
  <c r="AD41" i="6" s="1"/>
  <c r="T41" i="6"/>
  <c r="S41" i="6"/>
  <c r="Q41" i="6"/>
  <c r="K41" i="6"/>
  <c r="L41" i="6" s="1"/>
  <c r="N41" i="6" s="1"/>
  <c r="AB41" i="6" s="1"/>
  <c r="J41" i="6"/>
  <c r="I41" i="6"/>
  <c r="AC40" i="6"/>
  <c r="AA40" i="6"/>
  <c r="Y40" i="6"/>
  <c r="W40" i="6"/>
  <c r="U40" i="6"/>
  <c r="AD40" i="6" s="1"/>
  <c r="T40" i="6"/>
  <c r="S40" i="6"/>
  <c r="Q40" i="6"/>
  <c r="K40" i="6"/>
  <c r="L40" i="6" s="1"/>
  <c r="N40" i="6" s="1"/>
  <c r="AB40" i="6" s="1"/>
  <c r="AF40" i="6" s="1"/>
  <c r="J40" i="6"/>
  <c r="I40" i="6"/>
  <c r="AD39" i="6"/>
  <c r="AC39" i="6"/>
  <c r="AB39" i="6"/>
  <c r="AF39" i="6" s="1"/>
  <c r="AA39" i="6"/>
  <c r="AE39" i="6" s="1"/>
  <c r="Y39" i="6"/>
  <c r="W39" i="6"/>
  <c r="T39" i="6"/>
  <c r="U39" i="6" s="1"/>
  <c r="S39" i="6"/>
  <c r="Q39" i="6"/>
  <c r="N39" i="6"/>
  <c r="K39" i="6"/>
  <c r="L39" i="6" s="1"/>
  <c r="J39" i="6"/>
  <c r="I39" i="6"/>
  <c r="AD38" i="6"/>
  <c r="AC38" i="6"/>
  <c r="AA38" i="6"/>
  <c r="AE38" i="6" s="1"/>
  <c r="Y38" i="6"/>
  <c r="W38" i="6"/>
  <c r="U38" i="6"/>
  <c r="T38" i="6"/>
  <c r="S38" i="6"/>
  <c r="Q38" i="6"/>
  <c r="L38" i="6"/>
  <c r="N38" i="6" s="1"/>
  <c r="AB38" i="6" s="1"/>
  <c r="AF38" i="6" s="1"/>
  <c r="K38" i="6"/>
  <c r="J38" i="6"/>
  <c r="I38" i="6"/>
  <c r="AE37" i="6"/>
  <c r="AC37" i="6"/>
  <c r="AA37" i="6"/>
  <c r="Y37" i="6"/>
  <c r="W37" i="6"/>
  <c r="T37" i="6"/>
  <c r="U37" i="6" s="1"/>
  <c r="AD37" i="6" s="1"/>
  <c r="S37" i="6"/>
  <c r="Q37" i="6"/>
  <c r="L37" i="6"/>
  <c r="N37" i="6" s="1"/>
  <c r="AB37" i="6" s="1"/>
  <c r="AF37" i="6" s="1"/>
  <c r="K37" i="6"/>
  <c r="J37" i="6"/>
  <c r="I37" i="6"/>
  <c r="AE36" i="6"/>
  <c r="AC36" i="6"/>
  <c r="AA36" i="6"/>
  <c r="Y36" i="6"/>
  <c r="W36" i="6"/>
  <c r="T36" i="6"/>
  <c r="U36" i="6" s="1"/>
  <c r="AD36" i="6" s="1"/>
  <c r="S36" i="6"/>
  <c r="Q36" i="6"/>
  <c r="N36" i="6"/>
  <c r="AB36" i="6" s="1"/>
  <c r="AF36" i="6" s="1"/>
  <c r="K36" i="6"/>
  <c r="L36" i="6" s="1"/>
  <c r="J36" i="6"/>
  <c r="I36" i="6"/>
  <c r="AC35" i="6"/>
  <c r="AB35" i="6"/>
  <c r="AF35" i="6" s="1"/>
  <c r="AA35" i="6"/>
  <c r="Y35" i="6"/>
  <c r="W35" i="6"/>
  <c r="T35" i="6"/>
  <c r="U35" i="6" s="1"/>
  <c r="AD35" i="6" s="1"/>
  <c r="S35" i="6"/>
  <c r="Q35" i="6"/>
  <c r="K35" i="6"/>
  <c r="L35" i="6" s="1"/>
  <c r="N35" i="6" s="1"/>
  <c r="J35" i="6"/>
  <c r="I35" i="6"/>
  <c r="AC34" i="6"/>
  <c r="AB34" i="6"/>
  <c r="AA34" i="6"/>
  <c r="AE34" i="6" s="1"/>
  <c r="Y34" i="6"/>
  <c r="W34" i="6"/>
  <c r="T34" i="6"/>
  <c r="U34" i="6" s="1"/>
  <c r="AD34" i="6" s="1"/>
  <c r="S34" i="6"/>
  <c r="Q34" i="6"/>
  <c r="K34" i="6"/>
  <c r="L34" i="6" s="1"/>
  <c r="N34" i="6" s="1"/>
  <c r="J34" i="6"/>
  <c r="I34" i="6"/>
  <c r="AE33" i="6"/>
  <c r="AC33" i="6"/>
  <c r="AA33" i="6"/>
  <c r="Y33" i="6"/>
  <c r="W33" i="6"/>
  <c r="U33" i="6"/>
  <c r="AD33" i="6" s="1"/>
  <c r="T33" i="6"/>
  <c r="S33" i="6"/>
  <c r="Q33" i="6"/>
  <c r="L33" i="6"/>
  <c r="N33" i="6" s="1"/>
  <c r="AB33" i="6" s="1"/>
  <c r="AF33" i="6" s="1"/>
  <c r="K33" i="6"/>
  <c r="J33" i="6"/>
  <c r="I33" i="6"/>
  <c r="AE32" i="6"/>
  <c r="AC32" i="6"/>
  <c r="AA32" i="6"/>
  <c r="Y32" i="6"/>
  <c r="W32" i="6"/>
  <c r="T32" i="6"/>
  <c r="U32" i="6" s="1"/>
  <c r="AD32" i="6" s="1"/>
  <c r="AF32" i="6" s="1"/>
  <c r="S32" i="6"/>
  <c r="Q32" i="6"/>
  <c r="N32" i="6"/>
  <c r="AB32" i="6" s="1"/>
  <c r="L32" i="6"/>
  <c r="K32" i="6"/>
  <c r="J32" i="6"/>
  <c r="I32" i="6"/>
  <c r="AC31" i="6"/>
  <c r="AA31" i="6"/>
  <c r="AE31" i="6" s="1"/>
  <c r="Y31" i="6"/>
  <c r="W31" i="6"/>
  <c r="T31" i="6"/>
  <c r="U31" i="6" s="1"/>
  <c r="AD31" i="6" s="1"/>
  <c r="S31" i="6"/>
  <c r="Q31" i="6"/>
  <c r="K31" i="6"/>
  <c r="L31" i="6" s="1"/>
  <c r="N31" i="6" s="1"/>
  <c r="AB31" i="6" s="1"/>
  <c r="AF31" i="6" s="1"/>
  <c r="J31" i="6"/>
  <c r="I31" i="6"/>
  <c r="AC30" i="6"/>
  <c r="AA30" i="6"/>
  <c r="AE30" i="6" s="1"/>
  <c r="Y30" i="6"/>
  <c r="W30" i="6"/>
  <c r="T30" i="6"/>
  <c r="U30" i="6" s="1"/>
  <c r="AD30" i="6" s="1"/>
  <c r="S30" i="6"/>
  <c r="Q30" i="6"/>
  <c r="K30" i="6"/>
  <c r="L30" i="6" s="1"/>
  <c r="N30" i="6" s="1"/>
  <c r="AB30" i="6" s="1"/>
  <c r="AF30" i="6" s="1"/>
  <c r="J30" i="6"/>
  <c r="I30" i="6"/>
  <c r="AD29" i="6"/>
  <c r="AF29" i="6" s="1"/>
  <c r="AC29" i="6"/>
  <c r="AE29" i="6" s="1"/>
  <c r="AB29" i="6"/>
  <c r="AA29" i="6"/>
  <c r="Y29" i="6"/>
  <c r="W29" i="6"/>
  <c r="U29" i="6"/>
  <c r="T29" i="6"/>
  <c r="S29" i="6"/>
  <c r="Q29" i="6"/>
  <c r="L29" i="6"/>
  <c r="N29" i="6" s="1"/>
  <c r="K29" i="6"/>
  <c r="J29" i="6"/>
  <c r="I29" i="6"/>
  <c r="AC28" i="6"/>
  <c r="AA28" i="6"/>
  <c r="AE28" i="6" s="1"/>
  <c r="Y28" i="6"/>
  <c r="W28" i="6"/>
  <c r="T28" i="6"/>
  <c r="U28" i="6" s="1"/>
  <c r="AD28" i="6" s="1"/>
  <c r="S28" i="6"/>
  <c r="Q28" i="6"/>
  <c r="L28" i="6"/>
  <c r="N28" i="6" s="1"/>
  <c r="AB28" i="6" s="1"/>
  <c r="AF28" i="6" s="1"/>
  <c r="K28" i="6"/>
  <c r="J28" i="6"/>
  <c r="I28" i="6"/>
  <c r="AC27" i="6"/>
  <c r="AA27" i="6"/>
  <c r="AE27" i="6" s="1"/>
  <c r="Y27" i="6"/>
  <c r="W27" i="6"/>
  <c r="T27" i="6"/>
  <c r="U27" i="6" s="1"/>
  <c r="AD27" i="6" s="1"/>
  <c r="S27" i="6"/>
  <c r="Q27" i="6"/>
  <c r="K27" i="6"/>
  <c r="L27" i="6" s="1"/>
  <c r="N27" i="6" s="1"/>
  <c r="AB27" i="6" s="1"/>
  <c r="AF27" i="6" s="1"/>
  <c r="J27" i="6"/>
  <c r="I27" i="6"/>
  <c r="AD26" i="6"/>
  <c r="AC26" i="6"/>
  <c r="AA26" i="6"/>
  <c r="AE26" i="6" s="1"/>
  <c r="Y26" i="6"/>
  <c r="W26" i="6"/>
  <c r="T26" i="6"/>
  <c r="U26" i="6" s="1"/>
  <c r="S26" i="6"/>
  <c r="Q26" i="6"/>
  <c r="L26" i="6"/>
  <c r="N26" i="6" s="1"/>
  <c r="AB26" i="6" s="1"/>
  <c r="AF26" i="6" s="1"/>
  <c r="K26" i="6"/>
  <c r="J26" i="6"/>
  <c r="I26" i="6"/>
  <c r="AF25" i="6"/>
  <c r="AC25" i="6"/>
  <c r="AA25" i="6"/>
  <c r="AE25" i="6" s="1"/>
  <c r="Y25" i="6"/>
  <c r="W25" i="6"/>
  <c r="U25" i="6"/>
  <c r="AD25" i="6" s="1"/>
  <c r="T25" i="6"/>
  <c r="S25" i="6"/>
  <c r="Q25" i="6"/>
  <c r="K25" i="6"/>
  <c r="L25" i="6" s="1"/>
  <c r="N25" i="6" s="1"/>
  <c r="AB25" i="6" s="1"/>
  <c r="J25" i="6"/>
  <c r="I25" i="6"/>
  <c r="AC24" i="6"/>
  <c r="AA24" i="6"/>
  <c r="AE24" i="6" s="1"/>
  <c r="Y24" i="6"/>
  <c r="W24" i="6"/>
  <c r="U24" i="6"/>
  <c r="AD24" i="6" s="1"/>
  <c r="T24" i="6"/>
  <c r="S24" i="6"/>
  <c r="Q24" i="6"/>
  <c r="K24" i="6"/>
  <c r="L24" i="6" s="1"/>
  <c r="N24" i="6" s="1"/>
  <c r="AB24" i="6" s="1"/>
  <c r="J24" i="6"/>
  <c r="I24" i="6"/>
  <c r="AE23" i="6"/>
  <c r="AD23" i="6"/>
  <c r="AC23" i="6"/>
  <c r="AA23" i="6"/>
  <c r="Y23" i="6"/>
  <c r="W23" i="6"/>
  <c r="T23" i="6"/>
  <c r="U23" i="6" s="1"/>
  <c r="S23" i="6"/>
  <c r="Q23" i="6"/>
  <c r="K23" i="6"/>
  <c r="L23" i="6" s="1"/>
  <c r="N23" i="6" s="1"/>
  <c r="AB23" i="6" s="1"/>
  <c r="AF23" i="6" s="1"/>
  <c r="J23" i="6"/>
  <c r="I23" i="6"/>
  <c r="AC22" i="6"/>
  <c r="AA22" i="6"/>
  <c r="Y22" i="6"/>
  <c r="W22" i="6"/>
  <c r="T22" i="6"/>
  <c r="U22" i="6" s="1"/>
  <c r="AD22" i="6" s="1"/>
  <c r="S22" i="6"/>
  <c r="Q22" i="6"/>
  <c r="K22" i="6"/>
  <c r="L22" i="6" s="1"/>
  <c r="N22" i="6" s="1"/>
  <c r="AB22" i="6" s="1"/>
  <c r="AF22" i="6" s="1"/>
  <c r="J22" i="6"/>
  <c r="I22" i="6"/>
  <c r="AE21" i="6"/>
  <c r="AC21" i="6"/>
  <c r="AA21" i="6"/>
  <c r="Y21" i="6"/>
  <c r="W21" i="6"/>
  <c r="T21" i="6"/>
  <c r="U21" i="6" s="1"/>
  <c r="AD21" i="6" s="1"/>
  <c r="S21" i="6"/>
  <c r="Q21" i="6"/>
  <c r="L21" i="6"/>
  <c r="N21" i="6" s="1"/>
  <c r="AB21" i="6" s="1"/>
  <c r="AF21" i="6" s="1"/>
  <c r="K21" i="6"/>
  <c r="J21" i="6"/>
  <c r="I21" i="6"/>
  <c r="AC20" i="6"/>
  <c r="AE20" i="6" s="1"/>
  <c r="AA20" i="6"/>
  <c r="Y20" i="6"/>
  <c r="W20" i="6"/>
  <c r="T20" i="6"/>
  <c r="U20" i="6" s="1"/>
  <c r="AD20" i="6" s="1"/>
  <c r="S20" i="6"/>
  <c r="Q20" i="6"/>
  <c r="N20" i="6"/>
  <c r="AB20" i="6" s="1"/>
  <c r="AF20" i="6" s="1"/>
  <c r="L20" i="6"/>
  <c r="K20" i="6"/>
  <c r="J20" i="6"/>
  <c r="I20" i="6"/>
  <c r="AC19" i="6"/>
  <c r="AB19" i="6"/>
  <c r="AF19" i="6" s="1"/>
  <c r="AA19" i="6"/>
  <c r="AE19" i="6" s="1"/>
  <c r="Y19" i="6"/>
  <c r="W19" i="6"/>
  <c r="U19" i="6"/>
  <c r="AD19" i="6" s="1"/>
  <c r="T19" i="6"/>
  <c r="S19" i="6"/>
  <c r="Q19" i="6"/>
  <c r="L19" i="6"/>
  <c r="N19" i="6" s="1"/>
  <c r="K19" i="6"/>
  <c r="J19" i="6"/>
  <c r="I19" i="6"/>
  <c r="AC18" i="6"/>
  <c r="AE18" i="6" s="1"/>
  <c r="AB18" i="6"/>
  <c r="AA18" i="6"/>
  <c r="Y18" i="6"/>
  <c r="W18" i="6"/>
  <c r="U18" i="6"/>
  <c r="AD18" i="6" s="1"/>
  <c r="T18" i="6"/>
  <c r="S18" i="6"/>
  <c r="Q18" i="6"/>
  <c r="K18" i="6"/>
  <c r="L18" i="6" s="1"/>
  <c r="N18" i="6" s="1"/>
  <c r="J18" i="6"/>
  <c r="I18" i="6"/>
  <c r="AC17" i="6"/>
  <c r="AE17" i="6" s="1"/>
  <c r="AA17" i="6"/>
  <c r="Y17" i="6"/>
  <c r="W17" i="6"/>
  <c r="T17" i="6"/>
  <c r="U17" i="6" s="1"/>
  <c r="AD17" i="6" s="1"/>
  <c r="S17" i="6"/>
  <c r="Q17" i="6"/>
  <c r="N17" i="6"/>
  <c r="AB17" i="6" s="1"/>
  <c r="AF17" i="6" s="1"/>
  <c r="L17" i="6"/>
  <c r="K17" i="6"/>
  <c r="J17" i="6"/>
  <c r="I17" i="6"/>
  <c r="AC16" i="6"/>
  <c r="AA16" i="6"/>
  <c r="Y16" i="6"/>
  <c r="W16" i="6"/>
  <c r="U16" i="6"/>
  <c r="AD16" i="6" s="1"/>
  <c r="T16" i="6"/>
  <c r="S16" i="6"/>
  <c r="Q16" i="6"/>
  <c r="K16" i="6"/>
  <c r="L16" i="6" s="1"/>
  <c r="N16" i="6" s="1"/>
  <c r="AB16" i="6" s="1"/>
  <c r="AF16" i="6" s="1"/>
  <c r="J16" i="6"/>
  <c r="I16" i="6"/>
  <c r="AD15" i="6"/>
  <c r="AC15" i="6"/>
  <c r="AA15" i="6"/>
  <c r="AE15" i="6" s="1"/>
  <c r="Y15" i="6"/>
  <c r="W15" i="6"/>
  <c r="U15" i="6"/>
  <c r="T15" i="6"/>
  <c r="S15" i="6"/>
  <c r="Q15" i="6"/>
  <c r="K15" i="6"/>
  <c r="L15" i="6" s="1"/>
  <c r="N15" i="6" s="1"/>
  <c r="AB15" i="6" s="1"/>
  <c r="AF15" i="6" s="1"/>
  <c r="J15" i="6"/>
  <c r="I15" i="6"/>
  <c r="AE14" i="6"/>
  <c r="AC14" i="6"/>
  <c r="AA14" i="6"/>
  <c r="Y14" i="6"/>
  <c r="W14" i="6"/>
  <c r="T14" i="6"/>
  <c r="U14" i="6" s="1"/>
  <c r="AD14" i="6" s="1"/>
  <c r="S14" i="6"/>
  <c r="Q14" i="6"/>
  <c r="K14" i="6"/>
  <c r="L14" i="6" s="1"/>
  <c r="N14" i="6" s="1"/>
  <c r="AB14" i="6" s="1"/>
  <c r="AF14" i="6" s="1"/>
  <c r="J14" i="6"/>
  <c r="I14" i="6"/>
  <c r="AC13" i="6"/>
  <c r="AB13" i="6"/>
  <c r="AA13" i="6"/>
  <c r="Y13" i="6"/>
  <c r="W13" i="6"/>
  <c r="T13" i="6"/>
  <c r="U13" i="6" s="1"/>
  <c r="AD13" i="6" s="1"/>
  <c r="S13" i="6"/>
  <c r="Q13" i="6"/>
  <c r="L13" i="6"/>
  <c r="N13" i="6" s="1"/>
  <c r="K13" i="6"/>
  <c r="J13" i="6"/>
  <c r="I13" i="6"/>
  <c r="R12" i="6"/>
  <c r="P12" i="6"/>
  <c r="M12" i="6"/>
  <c r="H12" i="6"/>
  <c r="F12" i="6"/>
  <c r="E12" i="6"/>
  <c r="D12" i="6"/>
  <c r="X44" i="5"/>
  <c r="W44" i="5"/>
  <c r="W12" i="5" s="1"/>
  <c r="V44" i="5"/>
  <c r="R44" i="5"/>
  <c r="R12" i="5" s="1"/>
  <c r="P44" i="5"/>
  <c r="M44" i="5"/>
  <c r="H44" i="5"/>
  <c r="H12" i="5" s="1"/>
  <c r="G44" i="5"/>
  <c r="S44" i="5" s="1"/>
  <c r="F44" i="5"/>
  <c r="J44" i="5" s="1"/>
  <c r="E44" i="5"/>
  <c r="E12" i="5" s="1"/>
  <c r="D44" i="5"/>
  <c r="D12" i="5" s="1"/>
  <c r="AF43" i="5"/>
  <c r="AE43" i="5"/>
  <c r="AD43" i="5"/>
  <c r="AC43" i="5"/>
  <c r="AA43" i="5"/>
  <c r="Y43" i="5"/>
  <c r="W43" i="5"/>
  <c r="U43" i="5"/>
  <c r="T43" i="5"/>
  <c r="S43" i="5"/>
  <c r="Q43" i="5"/>
  <c r="K43" i="5"/>
  <c r="L43" i="5" s="1"/>
  <c r="N43" i="5" s="1"/>
  <c r="AB43" i="5" s="1"/>
  <c r="J43" i="5"/>
  <c r="I43" i="5"/>
  <c r="AE42" i="5"/>
  <c r="AC42" i="5"/>
  <c r="AA42" i="5"/>
  <c r="Y42" i="5"/>
  <c r="W42" i="5"/>
  <c r="T42" i="5"/>
  <c r="U42" i="5" s="1"/>
  <c r="AD42" i="5" s="1"/>
  <c r="S42" i="5"/>
  <c r="Q42" i="5"/>
  <c r="N42" i="5"/>
  <c r="AB42" i="5" s="1"/>
  <c r="AF42" i="5" s="1"/>
  <c r="L42" i="5"/>
  <c r="K42" i="5"/>
  <c r="J42" i="5"/>
  <c r="I42" i="5"/>
  <c r="AE41" i="5"/>
  <c r="AC41" i="5"/>
  <c r="AA41" i="5"/>
  <c r="Y41" i="5"/>
  <c r="W41" i="5"/>
  <c r="T41" i="5"/>
  <c r="U41" i="5" s="1"/>
  <c r="AD41" i="5" s="1"/>
  <c r="S41" i="5"/>
  <c r="Q41" i="5"/>
  <c r="L41" i="5"/>
  <c r="N41" i="5" s="1"/>
  <c r="AB41" i="5" s="1"/>
  <c r="K41" i="5"/>
  <c r="J41" i="5"/>
  <c r="I41" i="5"/>
  <c r="AC40" i="5"/>
  <c r="AA40" i="5"/>
  <c r="AE40" i="5" s="1"/>
  <c r="Y40" i="5"/>
  <c r="W40" i="5"/>
  <c r="T40" i="5"/>
  <c r="U40" i="5" s="1"/>
  <c r="AD40" i="5" s="1"/>
  <c r="AF40" i="5" s="1"/>
  <c r="S40" i="5"/>
  <c r="Q40" i="5"/>
  <c r="N40" i="5"/>
  <c r="AB40" i="5" s="1"/>
  <c r="L40" i="5"/>
  <c r="K40" i="5"/>
  <c r="J40" i="5"/>
  <c r="I40" i="5"/>
  <c r="AC39" i="5"/>
  <c r="AE39" i="5" s="1"/>
  <c r="AA39" i="5"/>
  <c r="Y39" i="5"/>
  <c r="W39" i="5"/>
  <c r="T39" i="5"/>
  <c r="U39" i="5" s="1"/>
  <c r="AD39" i="5" s="1"/>
  <c r="S39" i="5"/>
  <c r="Q39" i="5"/>
  <c r="K39" i="5"/>
  <c r="L39" i="5" s="1"/>
  <c r="N39" i="5" s="1"/>
  <c r="AB39" i="5" s="1"/>
  <c r="AF39" i="5" s="1"/>
  <c r="J39" i="5"/>
  <c r="I39" i="5"/>
  <c r="AC38" i="5"/>
  <c r="AE38" i="5" s="1"/>
  <c r="AA38" i="5"/>
  <c r="Y38" i="5"/>
  <c r="W38" i="5"/>
  <c r="U38" i="5"/>
  <c r="AD38" i="5" s="1"/>
  <c r="T38" i="5"/>
  <c r="S38" i="5"/>
  <c r="Q38" i="5"/>
  <c r="L38" i="5"/>
  <c r="N38" i="5" s="1"/>
  <c r="AB38" i="5" s="1"/>
  <c r="K38" i="5"/>
  <c r="J38" i="5"/>
  <c r="I38" i="5"/>
  <c r="AD37" i="5"/>
  <c r="AC37" i="5"/>
  <c r="AA37" i="5"/>
  <c r="AE37" i="5" s="1"/>
  <c r="Y37" i="5"/>
  <c r="W37" i="5"/>
  <c r="T37" i="5"/>
  <c r="U37" i="5" s="1"/>
  <c r="S37" i="5"/>
  <c r="Q37" i="5"/>
  <c r="N37" i="5"/>
  <c r="AB37" i="5" s="1"/>
  <c r="AF37" i="5" s="1"/>
  <c r="L37" i="5"/>
  <c r="K37" i="5"/>
  <c r="J37" i="5"/>
  <c r="I37" i="5"/>
  <c r="AE36" i="5"/>
  <c r="AC36" i="5"/>
  <c r="AA36" i="5"/>
  <c r="Y36" i="5"/>
  <c r="W36" i="5"/>
  <c r="T36" i="5"/>
  <c r="U36" i="5" s="1"/>
  <c r="AD36" i="5" s="1"/>
  <c r="S36" i="5"/>
  <c r="Q36" i="5"/>
  <c r="K36" i="5"/>
  <c r="L36" i="5" s="1"/>
  <c r="N36" i="5" s="1"/>
  <c r="AB36" i="5" s="1"/>
  <c r="AF36" i="5" s="1"/>
  <c r="J36" i="5"/>
  <c r="I36" i="5"/>
  <c r="AE35" i="5"/>
  <c r="AC35" i="5"/>
  <c r="AA35" i="5"/>
  <c r="Y35" i="5"/>
  <c r="W35" i="5"/>
  <c r="T35" i="5"/>
  <c r="U35" i="5" s="1"/>
  <c r="AD35" i="5" s="1"/>
  <c r="AF35" i="5" s="1"/>
  <c r="S35" i="5"/>
  <c r="Q35" i="5"/>
  <c r="K35" i="5"/>
  <c r="L35" i="5" s="1"/>
  <c r="N35" i="5" s="1"/>
  <c r="AB35" i="5" s="1"/>
  <c r="J35" i="5"/>
  <c r="I35" i="5"/>
  <c r="AD34" i="5"/>
  <c r="AC34" i="5"/>
  <c r="AB34" i="5"/>
  <c r="AA34" i="5"/>
  <c r="Y34" i="5"/>
  <c r="W34" i="5"/>
  <c r="T34" i="5"/>
  <c r="U34" i="5" s="1"/>
  <c r="S34" i="5"/>
  <c r="Q34" i="5"/>
  <c r="K34" i="5"/>
  <c r="L34" i="5" s="1"/>
  <c r="N34" i="5" s="1"/>
  <c r="J34" i="5"/>
  <c r="I34" i="5"/>
  <c r="AC33" i="5"/>
  <c r="AE33" i="5" s="1"/>
  <c r="AA33" i="5"/>
  <c r="Y33" i="5"/>
  <c r="W33" i="5"/>
  <c r="T33" i="5"/>
  <c r="U33" i="5" s="1"/>
  <c r="AD33" i="5" s="1"/>
  <c r="S33" i="5"/>
  <c r="Q33" i="5"/>
  <c r="K33" i="5"/>
  <c r="L33" i="5" s="1"/>
  <c r="N33" i="5" s="1"/>
  <c r="AB33" i="5" s="1"/>
  <c r="AF33" i="5" s="1"/>
  <c r="J33" i="5"/>
  <c r="I33" i="5"/>
  <c r="AD32" i="5"/>
  <c r="AC32" i="5"/>
  <c r="AA32" i="5"/>
  <c r="AE32" i="5" s="1"/>
  <c r="Y32" i="5"/>
  <c r="W32" i="5"/>
  <c r="U32" i="5"/>
  <c r="T32" i="5"/>
  <c r="S32" i="5"/>
  <c r="Q32" i="5"/>
  <c r="K32" i="5"/>
  <c r="L32" i="5" s="1"/>
  <c r="N32" i="5" s="1"/>
  <c r="AB32" i="5" s="1"/>
  <c r="J32" i="5"/>
  <c r="I32" i="5"/>
  <c r="AE31" i="5"/>
  <c r="AC31" i="5"/>
  <c r="AA31" i="5"/>
  <c r="Y31" i="5"/>
  <c r="W31" i="5"/>
  <c r="U31" i="5"/>
  <c r="AD31" i="5" s="1"/>
  <c r="T31" i="5"/>
  <c r="S31" i="5"/>
  <c r="Q31" i="5"/>
  <c r="K31" i="5"/>
  <c r="L31" i="5" s="1"/>
  <c r="N31" i="5" s="1"/>
  <c r="AB31" i="5" s="1"/>
  <c r="J31" i="5"/>
  <c r="I31" i="5"/>
  <c r="AE30" i="5"/>
  <c r="AC30" i="5"/>
  <c r="AA30" i="5"/>
  <c r="Y30" i="5"/>
  <c r="W30" i="5"/>
  <c r="U30" i="5"/>
  <c r="AD30" i="5" s="1"/>
  <c r="T30" i="5"/>
  <c r="S30" i="5"/>
  <c r="Q30" i="5"/>
  <c r="K30" i="5"/>
  <c r="L30" i="5" s="1"/>
  <c r="N30" i="5" s="1"/>
  <c r="AB30" i="5" s="1"/>
  <c r="AF30" i="5" s="1"/>
  <c r="J30" i="5"/>
  <c r="I30" i="5"/>
  <c r="AC29" i="5"/>
  <c r="AA29" i="5"/>
  <c r="AE29" i="5" s="1"/>
  <c r="Y29" i="5"/>
  <c r="W29" i="5"/>
  <c r="U29" i="5"/>
  <c r="AD29" i="5" s="1"/>
  <c r="T29" i="5"/>
  <c r="S29" i="5"/>
  <c r="Q29" i="5"/>
  <c r="K29" i="5"/>
  <c r="L29" i="5" s="1"/>
  <c r="N29" i="5" s="1"/>
  <c r="AB29" i="5" s="1"/>
  <c r="AF29" i="5" s="1"/>
  <c r="J29" i="5"/>
  <c r="I29" i="5"/>
  <c r="AC28" i="5"/>
  <c r="AE28" i="5" s="1"/>
  <c r="AA28" i="5"/>
  <c r="Y28" i="5"/>
  <c r="W28" i="5"/>
  <c r="U28" i="5"/>
  <c r="AD28" i="5" s="1"/>
  <c r="T28" i="5"/>
  <c r="S28" i="5"/>
  <c r="Q28" i="5"/>
  <c r="N28" i="5"/>
  <c r="AB28" i="5" s="1"/>
  <c r="AF28" i="5" s="1"/>
  <c r="K28" i="5"/>
  <c r="L28" i="5" s="1"/>
  <c r="J28" i="5"/>
  <c r="I28" i="5"/>
  <c r="AE27" i="5"/>
  <c r="AC27" i="5"/>
  <c r="AA27" i="5"/>
  <c r="Y27" i="5"/>
  <c r="W27" i="5"/>
  <c r="T27" i="5"/>
  <c r="U27" i="5" s="1"/>
  <c r="AD27" i="5" s="1"/>
  <c r="S27" i="5"/>
  <c r="Q27" i="5"/>
  <c r="N27" i="5"/>
  <c r="AB27" i="5" s="1"/>
  <c r="K27" i="5"/>
  <c r="L27" i="5" s="1"/>
  <c r="J27" i="5"/>
  <c r="I27" i="5"/>
  <c r="AC26" i="5"/>
  <c r="AB26" i="5"/>
  <c r="AA26" i="5"/>
  <c r="AE26" i="5" s="1"/>
  <c r="Y26" i="5"/>
  <c r="W26" i="5"/>
  <c r="U26" i="5"/>
  <c r="AD26" i="5" s="1"/>
  <c r="T26" i="5"/>
  <c r="S26" i="5"/>
  <c r="Q26" i="5"/>
  <c r="N26" i="5"/>
  <c r="L26" i="5"/>
  <c r="K26" i="5"/>
  <c r="J26" i="5"/>
  <c r="I26" i="5"/>
  <c r="AD25" i="5"/>
  <c r="AF25" i="5" s="1"/>
  <c r="AC25" i="5"/>
  <c r="AE25" i="5" s="1"/>
  <c r="AA25" i="5"/>
  <c r="Y25" i="5"/>
  <c r="W25" i="5"/>
  <c r="T25" i="5"/>
  <c r="U25" i="5" s="1"/>
  <c r="S25" i="5"/>
  <c r="Q25" i="5"/>
  <c r="N25" i="5"/>
  <c r="AB25" i="5" s="1"/>
  <c r="K25" i="5"/>
  <c r="L25" i="5" s="1"/>
  <c r="J25" i="5"/>
  <c r="I25" i="5"/>
  <c r="AE24" i="5"/>
  <c r="AC24" i="5"/>
  <c r="AA24" i="5"/>
  <c r="Y24" i="5"/>
  <c r="W24" i="5"/>
  <c r="T24" i="5"/>
  <c r="U24" i="5" s="1"/>
  <c r="AD24" i="5" s="1"/>
  <c r="S24" i="5"/>
  <c r="Q24" i="5"/>
  <c r="K24" i="5"/>
  <c r="L24" i="5" s="1"/>
  <c r="N24" i="5" s="1"/>
  <c r="AB24" i="5" s="1"/>
  <c r="AF24" i="5" s="1"/>
  <c r="J24" i="5"/>
  <c r="I24" i="5"/>
  <c r="AC23" i="5"/>
  <c r="AB23" i="5"/>
  <c r="AF23" i="5" s="1"/>
  <c r="AA23" i="5"/>
  <c r="AE23" i="5" s="1"/>
  <c r="Y23" i="5"/>
  <c r="W23" i="5"/>
  <c r="T23" i="5"/>
  <c r="U23" i="5" s="1"/>
  <c r="AD23" i="5" s="1"/>
  <c r="S23" i="5"/>
  <c r="Q23" i="5"/>
  <c r="N23" i="5"/>
  <c r="L23" i="5"/>
  <c r="K23" i="5"/>
  <c r="J23" i="5"/>
  <c r="I23" i="5"/>
  <c r="AE22" i="5"/>
  <c r="AD22" i="5"/>
  <c r="AC22" i="5"/>
  <c r="AA22" i="5"/>
  <c r="Y22" i="5"/>
  <c r="W22" i="5"/>
  <c r="U22" i="5"/>
  <c r="T22" i="5"/>
  <c r="S22" i="5"/>
  <c r="Q22" i="5"/>
  <c r="K22" i="5"/>
  <c r="L22" i="5" s="1"/>
  <c r="N22" i="5" s="1"/>
  <c r="AB22" i="5" s="1"/>
  <c r="AF22" i="5" s="1"/>
  <c r="J22" i="5"/>
  <c r="I22" i="5"/>
  <c r="AC21" i="5"/>
  <c r="AE21" i="5" s="1"/>
  <c r="AA21" i="5"/>
  <c r="Y21" i="5"/>
  <c r="W21" i="5"/>
  <c r="T21" i="5"/>
  <c r="U21" i="5" s="1"/>
  <c r="AD21" i="5" s="1"/>
  <c r="S21" i="5"/>
  <c r="Q21" i="5"/>
  <c r="N21" i="5"/>
  <c r="AB21" i="5" s="1"/>
  <c r="AF21" i="5" s="1"/>
  <c r="L21" i="5"/>
  <c r="K21" i="5"/>
  <c r="J21" i="5"/>
  <c r="I21" i="5"/>
  <c r="AC20" i="5"/>
  <c r="AA20" i="5"/>
  <c r="AE20" i="5" s="1"/>
  <c r="Y20" i="5"/>
  <c r="W20" i="5"/>
  <c r="T20" i="5"/>
  <c r="U20" i="5" s="1"/>
  <c r="AD20" i="5" s="1"/>
  <c r="S20" i="5"/>
  <c r="Q20" i="5"/>
  <c r="N20" i="5"/>
  <c r="AB20" i="5" s="1"/>
  <c r="AF20" i="5" s="1"/>
  <c r="L20" i="5"/>
  <c r="K20" i="5"/>
  <c r="J20" i="5"/>
  <c r="I20" i="5"/>
  <c r="AC19" i="5"/>
  <c r="AE19" i="5" s="1"/>
  <c r="AA19" i="5"/>
  <c r="Y19" i="5"/>
  <c r="W19" i="5"/>
  <c r="T19" i="5"/>
  <c r="U19" i="5" s="1"/>
  <c r="AD19" i="5" s="1"/>
  <c r="S19" i="5"/>
  <c r="Q19" i="5"/>
  <c r="K19" i="5"/>
  <c r="L19" i="5" s="1"/>
  <c r="N19" i="5" s="1"/>
  <c r="AB19" i="5" s="1"/>
  <c r="J19" i="5"/>
  <c r="I19" i="5"/>
  <c r="AC18" i="5"/>
  <c r="AE18" i="5" s="1"/>
  <c r="AB18" i="5"/>
  <c r="AA18" i="5"/>
  <c r="Y18" i="5"/>
  <c r="W18" i="5"/>
  <c r="T18" i="5"/>
  <c r="U18" i="5" s="1"/>
  <c r="AD18" i="5" s="1"/>
  <c r="S18" i="5"/>
  <c r="Q18" i="5"/>
  <c r="L18" i="5"/>
  <c r="N18" i="5" s="1"/>
  <c r="K18" i="5"/>
  <c r="J18" i="5"/>
  <c r="I18" i="5"/>
  <c r="AE17" i="5"/>
  <c r="AC17" i="5"/>
  <c r="AA17" i="5"/>
  <c r="Y17" i="5"/>
  <c r="W17" i="5"/>
  <c r="T17" i="5"/>
  <c r="U17" i="5" s="1"/>
  <c r="AD17" i="5" s="1"/>
  <c r="S17" i="5"/>
  <c r="Q17" i="5"/>
  <c r="L17" i="5"/>
  <c r="N17" i="5" s="1"/>
  <c r="AB17" i="5" s="1"/>
  <c r="AF17" i="5" s="1"/>
  <c r="K17" i="5"/>
  <c r="J17" i="5"/>
  <c r="I17" i="5"/>
  <c r="AF16" i="5"/>
  <c r="AD16" i="5"/>
  <c r="AC16" i="5"/>
  <c r="AA16" i="5"/>
  <c r="AE16" i="5" s="1"/>
  <c r="Y16" i="5"/>
  <c r="W16" i="5"/>
  <c r="T16" i="5"/>
  <c r="U16" i="5" s="1"/>
  <c r="S16" i="5"/>
  <c r="Q16" i="5"/>
  <c r="K16" i="5"/>
  <c r="L16" i="5" s="1"/>
  <c r="N16" i="5" s="1"/>
  <c r="AB16" i="5" s="1"/>
  <c r="J16" i="5"/>
  <c r="I16" i="5"/>
  <c r="AE15" i="5"/>
  <c r="AD15" i="5"/>
  <c r="AC15" i="5"/>
  <c r="AA15" i="5"/>
  <c r="Y15" i="5"/>
  <c r="W15" i="5"/>
  <c r="T15" i="5"/>
  <c r="U15" i="5" s="1"/>
  <c r="S15" i="5"/>
  <c r="Q15" i="5"/>
  <c r="K15" i="5"/>
  <c r="L15" i="5" s="1"/>
  <c r="N15" i="5" s="1"/>
  <c r="AB15" i="5" s="1"/>
  <c r="AF15" i="5" s="1"/>
  <c r="J15" i="5"/>
  <c r="I15" i="5"/>
  <c r="AC14" i="5"/>
  <c r="AA14" i="5"/>
  <c r="Y14" i="5"/>
  <c r="W14" i="5"/>
  <c r="T14" i="5"/>
  <c r="U14" i="5" s="1"/>
  <c r="AD14" i="5" s="1"/>
  <c r="S14" i="5"/>
  <c r="Q14" i="5"/>
  <c r="K14" i="5"/>
  <c r="J14" i="5"/>
  <c r="I14" i="5"/>
  <c r="AC13" i="5"/>
  <c r="AA13" i="5"/>
  <c r="AE13" i="5" s="1"/>
  <c r="Y13" i="5"/>
  <c r="W13" i="5"/>
  <c r="U13" i="5"/>
  <c r="T13" i="5"/>
  <c r="S13" i="5"/>
  <c r="Q13" i="5"/>
  <c r="L13" i="5"/>
  <c r="K13" i="5"/>
  <c r="J13" i="5"/>
  <c r="I13" i="5"/>
  <c r="X12" i="5"/>
  <c r="V12" i="5"/>
  <c r="M12" i="5"/>
  <c r="G12" i="5"/>
  <c r="Y41" i="4"/>
  <c r="X41" i="4"/>
  <c r="V41" i="4"/>
  <c r="W41" i="4" s="1"/>
  <c r="J15" i="1" s="1"/>
  <c r="R41" i="4"/>
  <c r="S41" i="4" s="1"/>
  <c r="I15" i="1" s="1"/>
  <c r="P41" i="4"/>
  <c r="M41" i="4"/>
  <c r="M12" i="4" s="1"/>
  <c r="I41" i="4"/>
  <c r="H41" i="4"/>
  <c r="H12" i="4" s="1"/>
  <c r="G41" i="4"/>
  <c r="F41" i="4"/>
  <c r="J41" i="4" s="1"/>
  <c r="E15" i="1" s="1"/>
  <c r="E41" i="4"/>
  <c r="E12" i="4" s="1"/>
  <c r="D41" i="4"/>
  <c r="AC40" i="4"/>
  <c r="AA40" i="4"/>
  <c r="AE40" i="4" s="1"/>
  <c r="Y40" i="4"/>
  <c r="W40" i="4"/>
  <c r="U40" i="4"/>
  <c r="AD40" i="4" s="1"/>
  <c r="T40" i="4"/>
  <c r="S40" i="4"/>
  <c r="Q40" i="4"/>
  <c r="K40" i="4"/>
  <c r="L40" i="4" s="1"/>
  <c r="N40" i="4" s="1"/>
  <c r="AB40" i="4" s="1"/>
  <c r="J40" i="4"/>
  <c r="I40" i="4"/>
  <c r="AC39" i="4"/>
  <c r="AA39" i="4"/>
  <c r="AE39" i="4" s="1"/>
  <c r="Y39" i="4"/>
  <c r="W39" i="4"/>
  <c r="U39" i="4"/>
  <c r="AD39" i="4" s="1"/>
  <c r="T39" i="4"/>
  <c r="S39" i="4"/>
  <c r="Q39" i="4"/>
  <c r="K39" i="4"/>
  <c r="L39" i="4" s="1"/>
  <c r="N39" i="4" s="1"/>
  <c r="AB39" i="4" s="1"/>
  <c r="AF39" i="4" s="1"/>
  <c r="J39" i="4"/>
  <c r="I39" i="4"/>
  <c r="AD38" i="4"/>
  <c r="AC38" i="4"/>
  <c r="AE38" i="4" s="1"/>
  <c r="AB38" i="4"/>
  <c r="AA38" i="4"/>
  <c r="Y38" i="4"/>
  <c r="W38" i="4"/>
  <c r="U38" i="4"/>
  <c r="T38" i="4"/>
  <c r="S38" i="4"/>
  <c r="Q38" i="4"/>
  <c r="K38" i="4"/>
  <c r="L38" i="4" s="1"/>
  <c r="N38" i="4" s="1"/>
  <c r="J38" i="4"/>
  <c r="I38" i="4"/>
  <c r="AE37" i="4"/>
  <c r="AC37" i="4"/>
  <c r="AA37" i="4"/>
  <c r="Y37" i="4"/>
  <c r="W37" i="4"/>
  <c r="T37" i="4"/>
  <c r="U37" i="4" s="1"/>
  <c r="AD37" i="4" s="1"/>
  <c r="S37" i="4"/>
  <c r="Q37" i="4"/>
  <c r="L37" i="4"/>
  <c r="N37" i="4" s="1"/>
  <c r="AB37" i="4" s="1"/>
  <c r="AF37" i="4" s="1"/>
  <c r="K37" i="4"/>
  <c r="J37" i="4"/>
  <c r="I37" i="4"/>
  <c r="AC36" i="4"/>
  <c r="AA36" i="4"/>
  <c r="AE36" i="4" s="1"/>
  <c r="Y36" i="4"/>
  <c r="W36" i="4"/>
  <c r="T36" i="4"/>
  <c r="U36" i="4" s="1"/>
  <c r="AD36" i="4" s="1"/>
  <c r="S36" i="4"/>
  <c r="Q36" i="4"/>
  <c r="K36" i="4"/>
  <c r="L36" i="4" s="1"/>
  <c r="N36" i="4" s="1"/>
  <c r="AB36" i="4" s="1"/>
  <c r="AF36" i="4" s="1"/>
  <c r="J36" i="4"/>
  <c r="I36" i="4"/>
  <c r="AD35" i="4"/>
  <c r="AC35" i="4"/>
  <c r="AA35" i="4"/>
  <c r="AE35" i="4" s="1"/>
  <c r="Y35" i="4"/>
  <c r="W35" i="4"/>
  <c r="U35" i="4"/>
  <c r="T35" i="4"/>
  <c r="S35" i="4"/>
  <c r="Q35" i="4"/>
  <c r="N35" i="4"/>
  <c r="AB35" i="4" s="1"/>
  <c r="AF35" i="4" s="1"/>
  <c r="K35" i="4"/>
  <c r="L35" i="4" s="1"/>
  <c r="J35" i="4"/>
  <c r="I35" i="4"/>
  <c r="AE34" i="4"/>
  <c r="AC34" i="4"/>
  <c r="AA34" i="4"/>
  <c r="Y34" i="4"/>
  <c r="W34" i="4"/>
  <c r="U34" i="4"/>
  <c r="AD34" i="4" s="1"/>
  <c r="T34" i="4"/>
  <c r="S34" i="4"/>
  <c r="Q34" i="4"/>
  <c r="K34" i="4"/>
  <c r="L34" i="4" s="1"/>
  <c r="N34" i="4" s="1"/>
  <c r="AB34" i="4" s="1"/>
  <c r="AF34" i="4" s="1"/>
  <c r="J34" i="4"/>
  <c r="I34" i="4"/>
  <c r="AC33" i="4"/>
  <c r="AA33" i="4"/>
  <c r="AE33" i="4" s="1"/>
  <c r="Y33" i="4"/>
  <c r="W33" i="4"/>
  <c r="T33" i="4"/>
  <c r="U33" i="4" s="1"/>
  <c r="AD33" i="4" s="1"/>
  <c r="S33" i="4"/>
  <c r="Q33" i="4"/>
  <c r="L33" i="4"/>
  <c r="N33" i="4" s="1"/>
  <c r="AB33" i="4" s="1"/>
  <c r="K33" i="4"/>
  <c r="J33" i="4"/>
  <c r="I33" i="4"/>
  <c r="AE32" i="4"/>
  <c r="AD32" i="4"/>
  <c r="AC32" i="4"/>
  <c r="AB32" i="4"/>
  <c r="AF32" i="4" s="1"/>
  <c r="AA32" i="4"/>
  <c r="Y32" i="4"/>
  <c r="W32" i="4"/>
  <c r="U32" i="4"/>
  <c r="T32" i="4"/>
  <c r="S32" i="4"/>
  <c r="Q32" i="4"/>
  <c r="K32" i="4"/>
  <c r="L32" i="4" s="1"/>
  <c r="N32" i="4" s="1"/>
  <c r="J32" i="4"/>
  <c r="I32" i="4"/>
  <c r="AC31" i="4"/>
  <c r="AA31" i="4"/>
  <c r="AE31" i="4" s="1"/>
  <c r="Y31" i="4"/>
  <c r="W31" i="4"/>
  <c r="T31" i="4"/>
  <c r="U31" i="4" s="1"/>
  <c r="AD31" i="4" s="1"/>
  <c r="S31" i="4"/>
  <c r="Q31" i="4"/>
  <c r="K31" i="4"/>
  <c r="L31" i="4" s="1"/>
  <c r="N31" i="4" s="1"/>
  <c r="AB31" i="4" s="1"/>
  <c r="AF31" i="4" s="1"/>
  <c r="J31" i="4"/>
  <c r="I31" i="4"/>
  <c r="AE30" i="4"/>
  <c r="AC30" i="4"/>
  <c r="AA30" i="4"/>
  <c r="Y30" i="4"/>
  <c r="W30" i="4"/>
  <c r="U30" i="4"/>
  <c r="AD30" i="4" s="1"/>
  <c r="T30" i="4"/>
  <c r="S30" i="4"/>
  <c r="Q30" i="4"/>
  <c r="K30" i="4"/>
  <c r="L30" i="4" s="1"/>
  <c r="N30" i="4" s="1"/>
  <c r="AB30" i="4" s="1"/>
  <c r="AF30" i="4" s="1"/>
  <c r="J30" i="4"/>
  <c r="I30" i="4"/>
  <c r="AC29" i="4"/>
  <c r="AB29" i="4"/>
  <c r="AF29" i="4" s="1"/>
  <c r="AA29" i="4"/>
  <c r="AE29" i="4" s="1"/>
  <c r="Y29" i="4"/>
  <c r="W29" i="4"/>
  <c r="U29" i="4"/>
  <c r="AD29" i="4" s="1"/>
  <c r="T29" i="4"/>
  <c r="S29" i="4"/>
  <c r="Q29" i="4"/>
  <c r="K29" i="4"/>
  <c r="L29" i="4" s="1"/>
  <c r="N29" i="4" s="1"/>
  <c r="J29" i="4"/>
  <c r="I29" i="4"/>
  <c r="AC28" i="4"/>
  <c r="AA28" i="4"/>
  <c r="AE28" i="4" s="1"/>
  <c r="Y28" i="4"/>
  <c r="W28" i="4"/>
  <c r="T28" i="4"/>
  <c r="U28" i="4" s="1"/>
  <c r="AD28" i="4" s="1"/>
  <c r="S28" i="4"/>
  <c r="Q28" i="4"/>
  <c r="L28" i="4"/>
  <c r="N28" i="4" s="1"/>
  <c r="AB28" i="4" s="1"/>
  <c r="K28" i="4"/>
  <c r="J28" i="4"/>
  <c r="I28" i="4"/>
  <c r="AD27" i="4"/>
  <c r="AC27" i="4"/>
  <c r="AA27" i="4"/>
  <c r="Y27" i="4"/>
  <c r="W27" i="4"/>
  <c r="U27" i="4"/>
  <c r="T27" i="4"/>
  <c r="S27" i="4"/>
  <c r="Q27" i="4"/>
  <c r="L27" i="4"/>
  <c r="N27" i="4" s="1"/>
  <c r="AB27" i="4" s="1"/>
  <c r="AF27" i="4" s="1"/>
  <c r="K27" i="4"/>
  <c r="J27" i="4"/>
  <c r="I27" i="4"/>
  <c r="AE26" i="4"/>
  <c r="AD26" i="4"/>
  <c r="AC26" i="4"/>
  <c r="AA26" i="4"/>
  <c r="Y26" i="4"/>
  <c r="W26" i="4"/>
  <c r="T26" i="4"/>
  <c r="U26" i="4" s="1"/>
  <c r="S26" i="4"/>
  <c r="Q26" i="4"/>
  <c r="L26" i="4"/>
  <c r="N26" i="4" s="1"/>
  <c r="AB26" i="4" s="1"/>
  <c r="AF26" i="4" s="1"/>
  <c r="K26" i="4"/>
  <c r="J26" i="4"/>
  <c r="I26" i="4"/>
  <c r="AC25" i="4"/>
  <c r="AA25" i="4"/>
  <c r="AE25" i="4" s="1"/>
  <c r="Y25" i="4"/>
  <c r="W25" i="4"/>
  <c r="T25" i="4"/>
  <c r="U25" i="4" s="1"/>
  <c r="AD25" i="4" s="1"/>
  <c r="S25" i="4"/>
  <c r="Q25" i="4"/>
  <c r="L25" i="4"/>
  <c r="N25" i="4" s="1"/>
  <c r="AB25" i="4" s="1"/>
  <c r="AF25" i="4" s="1"/>
  <c r="K25" i="4"/>
  <c r="J25" i="4"/>
  <c r="I25" i="4"/>
  <c r="AD24" i="4"/>
  <c r="AC24" i="4"/>
  <c r="AE24" i="4" s="1"/>
  <c r="AA24" i="4"/>
  <c r="Y24" i="4"/>
  <c r="W24" i="4"/>
  <c r="U24" i="4"/>
  <c r="T24" i="4"/>
  <c r="S24" i="4"/>
  <c r="Q24" i="4"/>
  <c r="L24" i="4"/>
  <c r="N24" i="4" s="1"/>
  <c r="AB24" i="4" s="1"/>
  <c r="AF24" i="4" s="1"/>
  <c r="K24" i="4"/>
  <c r="J24" i="4"/>
  <c r="I24" i="4"/>
  <c r="AD23" i="4"/>
  <c r="AC23" i="4"/>
  <c r="AA23" i="4"/>
  <c r="Y23" i="4"/>
  <c r="W23" i="4"/>
  <c r="T23" i="4"/>
  <c r="U23" i="4" s="1"/>
  <c r="S23" i="4"/>
  <c r="Q23" i="4"/>
  <c r="K23" i="4"/>
  <c r="L23" i="4" s="1"/>
  <c r="N23" i="4" s="1"/>
  <c r="AB23" i="4" s="1"/>
  <c r="AF23" i="4" s="1"/>
  <c r="J23" i="4"/>
  <c r="I23" i="4"/>
  <c r="AD22" i="4"/>
  <c r="AC22" i="4"/>
  <c r="AA22" i="4"/>
  <c r="Y22" i="4"/>
  <c r="W22" i="4"/>
  <c r="T22" i="4"/>
  <c r="U22" i="4" s="1"/>
  <c r="S22" i="4"/>
  <c r="Q22" i="4"/>
  <c r="K22" i="4"/>
  <c r="L22" i="4" s="1"/>
  <c r="N22" i="4" s="1"/>
  <c r="AB22" i="4" s="1"/>
  <c r="AF22" i="4" s="1"/>
  <c r="J22" i="4"/>
  <c r="I22" i="4"/>
  <c r="AC21" i="4"/>
  <c r="AA21" i="4"/>
  <c r="AE21" i="4" s="1"/>
  <c r="Y21" i="4"/>
  <c r="W21" i="4"/>
  <c r="T21" i="4"/>
  <c r="U21" i="4" s="1"/>
  <c r="AD21" i="4" s="1"/>
  <c r="S21" i="4"/>
  <c r="Q21" i="4"/>
  <c r="K21" i="4"/>
  <c r="L21" i="4" s="1"/>
  <c r="N21" i="4" s="1"/>
  <c r="AB21" i="4" s="1"/>
  <c r="AF21" i="4" s="1"/>
  <c r="J21" i="4"/>
  <c r="I21" i="4"/>
  <c r="AC20" i="4"/>
  <c r="AA20" i="4"/>
  <c r="AE20" i="4" s="1"/>
  <c r="Y20" i="4"/>
  <c r="W20" i="4"/>
  <c r="T20" i="4"/>
  <c r="U20" i="4" s="1"/>
  <c r="AD20" i="4" s="1"/>
  <c r="S20" i="4"/>
  <c r="Q20" i="4"/>
  <c r="K20" i="4"/>
  <c r="L20" i="4" s="1"/>
  <c r="N20" i="4" s="1"/>
  <c r="AB20" i="4" s="1"/>
  <c r="AF20" i="4" s="1"/>
  <c r="J20" i="4"/>
  <c r="I20" i="4"/>
  <c r="AC19" i="4"/>
  <c r="AE19" i="4" s="1"/>
  <c r="AA19" i="4"/>
  <c r="Y19" i="4"/>
  <c r="W19" i="4"/>
  <c r="T19" i="4"/>
  <c r="U19" i="4" s="1"/>
  <c r="AD19" i="4" s="1"/>
  <c r="S19" i="4"/>
  <c r="Q19" i="4"/>
  <c r="K19" i="4"/>
  <c r="L19" i="4" s="1"/>
  <c r="N19" i="4" s="1"/>
  <c r="AB19" i="4" s="1"/>
  <c r="J19" i="4"/>
  <c r="I19" i="4"/>
  <c r="AD18" i="4"/>
  <c r="AC18" i="4"/>
  <c r="AB18" i="4"/>
  <c r="AF18" i="4" s="1"/>
  <c r="AA18" i="4"/>
  <c r="AE18" i="4" s="1"/>
  <c r="Y18" i="4"/>
  <c r="W18" i="4"/>
  <c r="T18" i="4"/>
  <c r="U18" i="4" s="1"/>
  <c r="S18" i="4"/>
  <c r="Q18" i="4"/>
  <c r="K18" i="4"/>
  <c r="L18" i="4" s="1"/>
  <c r="N18" i="4" s="1"/>
  <c r="J18" i="4"/>
  <c r="I18" i="4"/>
  <c r="AD17" i="4"/>
  <c r="AC17" i="4"/>
  <c r="AE17" i="4" s="1"/>
  <c r="AA17" i="4"/>
  <c r="Y17" i="4"/>
  <c r="W17" i="4"/>
  <c r="T17" i="4"/>
  <c r="U17" i="4" s="1"/>
  <c r="S17" i="4"/>
  <c r="Q17" i="4"/>
  <c r="K17" i="4"/>
  <c r="L17" i="4" s="1"/>
  <c r="N17" i="4" s="1"/>
  <c r="AB17" i="4" s="1"/>
  <c r="AF17" i="4" s="1"/>
  <c r="J17" i="4"/>
  <c r="I17" i="4"/>
  <c r="AF16" i="4"/>
  <c r="AE16" i="4"/>
  <c r="AC16" i="4"/>
  <c r="AA16" i="4"/>
  <c r="Y16" i="4"/>
  <c r="W16" i="4"/>
  <c r="T16" i="4"/>
  <c r="U16" i="4" s="1"/>
  <c r="AD16" i="4" s="1"/>
  <c r="S16" i="4"/>
  <c r="Q16" i="4"/>
  <c r="K16" i="4"/>
  <c r="L16" i="4" s="1"/>
  <c r="N16" i="4" s="1"/>
  <c r="AB16" i="4" s="1"/>
  <c r="J16" i="4"/>
  <c r="I16" i="4"/>
  <c r="AC15" i="4"/>
  <c r="AA15" i="4"/>
  <c r="AE15" i="4" s="1"/>
  <c r="Y15" i="4"/>
  <c r="W15" i="4"/>
  <c r="U15" i="4"/>
  <c r="AD15" i="4" s="1"/>
  <c r="T15" i="4"/>
  <c r="S15" i="4"/>
  <c r="Q15" i="4"/>
  <c r="N15" i="4"/>
  <c r="AB15" i="4" s="1"/>
  <c r="AF15" i="4" s="1"/>
  <c r="L15" i="4"/>
  <c r="K15" i="4"/>
  <c r="J15" i="4"/>
  <c r="I15" i="4"/>
  <c r="AE14" i="4"/>
  <c r="AD14" i="4"/>
  <c r="AC14" i="4"/>
  <c r="AA14" i="4"/>
  <c r="Y14" i="4"/>
  <c r="W14" i="4"/>
  <c r="T14" i="4"/>
  <c r="U14" i="4" s="1"/>
  <c r="S14" i="4"/>
  <c r="Q14" i="4"/>
  <c r="K14" i="4"/>
  <c r="J14" i="4"/>
  <c r="I14" i="4"/>
  <c r="AC13" i="4"/>
  <c r="AE13" i="4" s="1"/>
  <c r="AA13" i="4"/>
  <c r="Y13" i="4"/>
  <c r="W13" i="4"/>
  <c r="T13" i="4"/>
  <c r="U13" i="4" s="1"/>
  <c r="S13" i="4"/>
  <c r="Q13" i="4"/>
  <c r="N13" i="4"/>
  <c r="K13" i="4"/>
  <c r="L13" i="4" s="1"/>
  <c r="J13" i="4"/>
  <c r="I13" i="4"/>
  <c r="X12" i="4"/>
  <c r="S12" i="4"/>
  <c r="R12" i="4"/>
  <c r="G12" i="4"/>
  <c r="D12" i="4"/>
  <c r="Y44" i="3"/>
  <c r="Y12" i="3" s="1"/>
  <c r="X44" i="3"/>
  <c r="V44" i="3"/>
  <c r="S44" i="3"/>
  <c r="R44" i="3"/>
  <c r="Q44" i="3"/>
  <c r="P44" i="3"/>
  <c r="G14" i="1" s="1"/>
  <c r="M44" i="3"/>
  <c r="I44" i="3"/>
  <c r="D14" i="1" s="1"/>
  <c r="H44" i="3"/>
  <c r="G44" i="3"/>
  <c r="F44" i="3"/>
  <c r="F12" i="3" s="1"/>
  <c r="E44" i="3"/>
  <c r="D44" i="3"/>
  <c r="AC43" i="3"/>
  <c r="AB43" i="3"/>
  <c r="AA43" i="3"/>
  <c r="AE43" i="3" s="1"/>
  <c r="Y43" i="3"/>
  <c r="W43" i="3"/>
  <c r="T43" i="3"/>
  <c r="U43" i="3" s="1"/>
  <c r="AD43" i="3" s="1"/>
  <c r="S43" i="3"/>
  <c r="Q43" i="3"/>
  <c r="K43" i="3"/>
  <c r="L43" i="3" s="1"/>
  <c r="N43" i="3" s="1"/>
  <c r="J43" i="3"/>
  <c r="I43" i="3"/>
  <c r="AC42" i="3"/>
  <c r="AA42" i="3"/>
  <c r="AE42" i="3" s="1"/>
  <c r="Y42" i="3"/>
  <c r="W42" i="3"/>
  <c r="U42" i="3"/>
  <c r="AD42" i="3" s="1"/>
  <c r="T42" i="3"/>
  <c r="S42" i="3"/>
  <c r="Q42" i="3"/>
  <c r="K42" i="3"/>
  <c r="L42" i="3" s="1"/>
  <c r="N42" i="3" s="1"/>
  <c r="AB42" i="3" s="1"/>
  <c r="J42" i="3"/>
  <c r="I42" i="3"/>
  <c r="AD41" i="3"/>
  <c r="AC41" i="3"/>
  <c r="AE41" i="3" s="1"/>
  <c r="AA41" i="3"/>
  <c r="Y41" i="3"/>
  <c r="W41" i="3"/>
  <c r="T41" i="3"/>
  <c r="U41" i="3" s="1"/>
  <c r="S41" i="3"/>
  <c r="Q41" i="3"/>
  <c r="L41" i="3"/>
  <c r="N41" i="3" s="1"/>
  <c r="AB41" i="3" s="1"/>
  <c r="AF41" i="3" s="1"/>
  <c r="K41" i="3"/>
  <c r="J41" i="3"/>
  <c r="I41" i="3"/>
  <c r="AD40" i="3"/>
  <c r="AC40" i="3"/>
  <c r="AA40" i="3"/>
  <c r="Y40" i="3"/>
  <c r="W40" i="3"/>
  <c r="T40" i="3"/>
  <c r="U40" i="3" s="1"/>
  <c r="S40" i="3"/>
  <c r="Q40" i="3"/>
  <c r="N40" i="3"/>
  <c r="AB40" i="3" s="1"/>
  <c r="L40" i="3"/>
  <c r="K40" i="3"/>
  <c r="J40" i="3"/>
  <c r="I40" i="3"/>
  <c r="AC39" i="3"/>
  <c r="AA39" i="3"/>
  <c r="AE39" i="3" s="1"/>
  <c r="Y39" i="3"/>
  <c r="W39" i="3"/>
  <c r="T39" i="3"/>
  <c r="U39" i="3" s="1"/>
  <c r="AD39" i="3" s="1"/>
  <c r="S39" i="3"/>
  <c r="Q39" i="3"/>
  <c r="K39" i="3"/>
  <c r="L39" i="3" s="1"/>
  <c r="N39" i="3" s="1"/>
  <c r="AB39" i="3" s="1"/>
  <c r="AF39" i="3" s="1"/>
  <c r="J39" i="3"/>
  <c r="I39" i="3"/>
  <c r="AF38" i="3"/>
  <c r="AC38" i="3"/>
  <c r="AE38" i="3" s="1"/>
  <c r="AA38" i="3"/>
  <c r="Y38" i="3"/>
  <c r="W38" i="3"/>
  <c r="T38" i="3"/>
  <c r="U38" i="3" s="1"/>
  <c r="AD38" i="3" s="1"/>
  <c r="S38" i="3"/>
  <c r="Q38" i="3"/>
  <c r="K38" i="3"/>
  <c r="L38" i="3" s="1"/>
  <c r="N38" i="3" s="1"/>
  <c r="AB38" i="3" s="1"/>
  <c r="J38" i="3"/>
  <c r="I38" i="3"/>
  <c r="AC37" i="3"/>
  <c r="AB37" i="3"/>
  <c r="AA37" i="3"/>
  <c r="AE37" i="3" s="1"/>
  <c r="Y37" i="3"/>
  <c r="W37" i="3"/>
  <c r="T37" i="3"/>
  <c r="U37" i="3" s="1"/>
  <c r="AD37" i="3" s="1"/>
  <c r="S37" i="3"/>
  <c r="Q37" i="3"/>
  <c r="K37" i="3"/>
  <c r="L37" i="3" s="1"/>
  <c r="N37" i="3" s="1"/>
  <c r="J37" i="3"/>
  <c r="I37" i="3"/>
  <c r="AD36" i="3"/>
  <c r="AF36" i="3" s="1"/>
  <c r="AC36" i="3"/>
  <c r="AA36" i="3"/>
  <c r="AE36" i="3" s="1"/>
  <c r="Y36" i="3"/>
  <c r="W36" i="3"/>
  <c r="T36" i="3"/>
  <c r="U36" i="3" s="1"/>
  <c r="S36" i="3"/>
  <c r="Q36" i="3"/>
  <c r="L36" i="3"/>
  <c r="N36" i="3" s="1"/>
  <c r="AB36" i="3" s="1"/>
  <c r="K36" i="3"/>
  <c r="J36" i="3"/>
  <c r="I36" i="3"/>
  <c r="AE35" i="3"/>
  <c r="AD35" i="3"/>
  <c r="AC35" i="3"/>
  <c r="AA35" i="3"/>
  <c r="Y35" i="3"/>
  <c r="W35" i="3"/>
  <c r="T35" i="3"/>
  <c r="U35" i="3" s="1"/>
  <c r="S35" i="3"/>
  <c r="Q35" i="3"/>
  <c r="N35" i="3"/>
  <c r="AB35" i="3" s="1"/>
  <c r="AF35" i="3" s="1"/>
  <c r="L35" i="3"/>
  <c r="K35" i="3"/>
  <c r="J35" i="3"/>
  <c r="I35" i="3"/>
  <c r="AC34" i="3"/>
  <c r="AA34" i="3"/>
  <c r="Y34" i="3"/>
  <c r="W34" i="3"/>
  <c r="T34" i="3"/>
  <c r="U34" i="3" s="1"/>
  <c r="AD34" i="3" s="1"/>
  <c r="S34" i="3"/>
  <c r="Q34" i="3"/>
  <c r="K34" i="3"/>
  <c r="L34" i="3" s="1"/>
  <c r="N34" i="3" s="1"/>
  <c r="AB34" i="3" s="1"/>
  <c r="AF34" i="3" s="1"/>
  <c r="J34" i="3"/>
  <c r="I34" i="3"/>
  <c r="AD33" i="3"/>
  <c r="AC33" i="3"/>
  <c r="AA33" i="3"/>
  <c r="AE33" i="3" s="1"/>
  <c r="Y33" i="3"/>
  <c r="W33" i="3"/>
  <c r="T33" i="3"/>
  <c r="U33" i="3" s="1"/>
  <c r="S33" i="3"/>
  <c r="K33" i="3"/>
  <c r="L33" i="3" s="1"/>
  <c r="N33" i="3" s="1"/>
  <c r="AB33" i="3" s="1"/>
  <c r="AF33" i="3" s="1"/>
  <c r="J33" i="3"/>
  <c r="I33" i="3"/>
  <c r="AF32" i="3"/>
  <c r="AC32" i="3"/>
  <c r="AA32" i="3"/>
  <c r="AE32" i="3" s="1"/>
  <c r="Y32" i="3"/>
  <c r="W32" i="3"/>
  <c r="T32" i="3"/>
  <c r="U32" i="3" s="1"/>
  <c r="AD32" i="3" s="1"/>
  <c r="S32" i="3"/>
  <c r="Q32" i="3"/>
  <c r="K32" i="3"/>
  <c r="L32" i="3" s="1"/>
  <c r="N32" i="3" s="1"/>
  <c r="AB32" i="3" s="1"/>
  <c r="J32" i="3"/>
  <c r="I32" i="3"/>
  <c r="AC31" i="3"/>
  <c r="AA31" i="3"/>
  <c r="AE31" i="3" s="1"/>
  <c r="Y31" i="3"/>
  <c r="W31" i="3"/>
  <c r="U31" i="3"/>
  <c r="AD31" i="3" s="1"/>
  <c r="T31" i="3"/>
  <c r="S31" i="3"/>
  <c r="Q31" i="3"/>
  <c r="N31" i="3"/>
  <c r="AB31" i="3" s="1"/>
  <c r="AF31" i="3" s="1"/>
  <c r="K31" i="3"/>
  <c r="L31" i="3" s="1"/>
  <c r="J31" i="3"/>
  <c r="I31" i="3"/>
  <c r="AC30" i="3"/>
  <c r="AA30" i="3"/>
  <c r="AE30" i="3" s="1"/>
  <c r="Y30" i="3"/>
  <c r="W30" i="3"/>
  <c r="T30" i="3"/>
  <c r="U30" i="3" s="1"/>
  <c r="AD30" i="3" s="1"/>
  <c r="S30" i="3"/>
  <c r="Q30" i="3"/>
  <c r="K30" i="3"/>
  <c r="L30" i="3" s="1"/>
  <c r="N30" i="3" s="1"/>
  <c r="AB30" i="3" s="1"/>
  <c r="AF30" i="3" s="1"/>
  <c r="J30" i="3"/>
  <c r="I30" i="3"/>
  <c r="AC29" i="3"/>
  <c r="AA29" i="3"/>
  <c r="AE29" i="3" s="1"/>
  <c r="Y29" i="3"/>
  <c r="W29" i="3"/>
  <c r="T29" i="3"/>
  <c r="U29" i="3" s="1"/>
  <c r="AD29" i="3" s="1"/>
  <c r="S29" i="3"/>
  <c r="Q29" i="3"/>
  <c r="K29" i="3"/>
  <c r="L29" i="3" s="1"/>
  <c r="N29" i="3" s="1"/>
  <c r="AB29" i="3" s="1"/>
  <c r="AF29" i="3" s="1"/>
  <c r="J29" i="3"/>
  <c r="I29" i="3"/>
  <c r="AD28" i="3"/>
  <c r="AC28" i="3"/>
  <c r="AA28" i="3"/>
  <c r="Y28" i="3"/>
  <c r="W28" i="3"/>
  <c r="T28" i="3"/>
  <c r="U28" i="3" s="1"/>
  <c r="S28" i="3"/>
  <c r="Q28" i="3"/>
  <c r="K28" i="3"/>
  <c r="L28" i="3" s="1"/>
  <c r="N28" i="3" s="1"/>
  <c r="AB28" i="3" s="1"/>
  <c r="J28" i="3"/>
  <c r="I28" i="3"/>
  <c r="AD27" i="3"/>
  <c r="AC27" i="3"/>
  <c r="AB27" i="3"/>
  <c r="AF27" i="3" s="1"/>
  <c r="AA27" i="3"/>
  <c r="AE27" i="3" s="1"/>
  <c r="Y27" i="3"/>
  <c r="W27" i="3"/>
  <c r="T27" i="3"/>
  <c r="U27" i="3" s="1"/>
  <c r="S27" i="3"/>
  <c r="Q27" i="3"/>
  <c r="N27" i="3"/>
  <c r="L27" i="3"/>
  <c r="K27" i="3"/>
  <c r="J27" i="3"/>
  <c r="I27" i="3"/>
  <c r="AE26" i="3"/>
  <c r="AC26" i="3"/>
  <c r="AA26" i="3"/>
  <c r="Y26" i="3"/>
  <c r="W26" i="3"/>
  <c r="U26" i="3"/>
  <c r="AD26" i="3" s="1"/>
  <c r="T26" i="3"/>
  <c r="S26" i="3"/>
  <c r="Q26" i="3"/>
  <c r="K26" i="3"/>
  <c r="L26" i="3" s="1"/>
  <c r="N26" i="3" s="1"/>
  <c r="AB26" i="3" s="1"/>
  <c r="J26" i="3"/>
  <c r="I26" i="3"/>
  <c r="AE25" i="3"/>
  <c r="AC25" i="3"/>
  <c r="AB25" i="3"/>
  <c r="AA25" i="3"/>
  <c r="Y25" i="3"/>
  <c r="W25" i="3"/>
  <c r="U25" i="3"/>
  <c r="AD25" i="3" s="1"/>
  <c r="T25" i="3"/>
  <c r="S25" i="3"/>
  <c r="Q25" i="3"/>
  <c r="K25" i="3"/>
  <c r="L25" i="3" s="1"/>
  <c r="N25" i="3" s="1"/>
  <c r="J25" i="3"/>
  <c r="I25" i="3"/>
  <c r="AC24" i="3"/>
  <c r="AB24" i="3"/>
  <c r="AA24" i="3"/>
  <c r="AE24" i="3" s="1"/>
  <c r="Y24" i="3"/>
  <c r="W24" i="3"/>
  <c r="T24" i="3"/>
  <c r="U24" i="3" s="1"/>
  <c r="AD24" i="3" s="1"/>
  <c r="S24" i="3"/>
  <c r="Q24" i="3"/>
  <c r="L24" i="3"/>
  <c r="N24" i="3" s="1"/>
  <c r="K24" i="3"/>
  <c r="J24" i="3"/>
  <c r="I24" i="3"/>
  <c r="AE23" i="3"/>
  <c r="AD23" i="3"/>
  <c r="AC23" i="3"/>
  <c r="AA23" i="3"/>
  <c r="Y23" i="3"/>
  <c r="W23" i="3"/>
  <c r="T23" i="3"/>
  <c r="U23" i="3" s="1"/>
  <c r="S23" i="3"/>
  <c r="Q23" i="3"/>
  <c r="L23" i="3"/>
  <c r="N23" i="3" s="1"/>
  <c r="AB23" i="3" s="1"/>
  <c r="AF23" i="3" s="1"/>
  <c r="K23" i="3"/>
  <c r="J23" i="3"/>
  <c r="I23" i="3"/>
  <c r="AE22" i="3"/>
  <c r="AC22" i="3"/>
  <c r="AA22" i="3"/>
  <c r="Y22" i="3"/>
  <c r="W22" i="3"/>
  <c r="T22" i="3"/>
  <c r="U22" i="3" s="1"/>
  <c r="AD22" i="3" s="1"/>
  <c r="S22" i="3"/>
  <c r="Q22" i="3"/>
  <c r="K22" i="3"/>
  <c r="L22" i="3" s="1"/>
  <c r="N22" i="3" s="1"/>
  <c r="AB22" i="3" s="1"/>
  <c r="AF22" i="3" s="1"/>
  <c r="J22" i="3"/>
  <c r="I22" i="3"/>
  <c r="AE21" i="3"/>
  <c r="AD21" i="3"/>
  <c r="AC21" i="3"/>
  <c r="AA21" i="3"/>
  <c r="Y21" i="3"/>
  <c r="W21" i="3"/>
  <c r="U21" i="3"/>
  <c r="T21" i="3"/>
  <c r="S21" i="3"/>
  <c r="Q21" i="3"/>
  <c r="K21" i="3"/>
  <c r="L21" i="3" s="1"/>
  <c r="N21" i="3" s="1"/>
  <c r="AB21" i="3" s="1"/>
  <c r="J21" i="3"/>
  <c r="I21" i="3"/>
  <c r="AE20" i="3"/>
  <c r="AC20" i="3"/>
  <c r="AA20" i="3"/>
  <c r="Y20" i="3"/>
  <c r="W20" i="3"/>
  <c r="U20" i="3"/>
  <c r="AD20" i="3" s="1"/>
  <c r="T20" i="3"/>
  <c r="S20" i="3"/>
  <c r="Q20" i="3"/>
  <c r="N20" i="3"/>
  <c r="AB20" i="3" s="1"/>
  <c r="AF20" i="3" s="1"/>
  <c r="K20" i="3"/>
  <c r="L20" i="3" s="1"/>
  <c r="J20" i="3"/>
  <c r="I20" i="3"/>
  <c r="AC19" i="3"/>
  <c r="AA19" i="3"/>
  <c r="AE19" i="3" s="1"/>
  <c r="Y19" i="3"/>
  <c r="W19" i="3"/>
  <c r="T19" i="3"/>
  <c r="U19" i="3" s="1"/>
  <c r="AD19" i="3" s="1"/>
  <c r="S19" i="3"/>
  <c r="Q19" i="3"/>
  <c r="L19" i="3"/>
  <c r="N19" i="3" s="1"/>
  <c r="AB19" i="3" s="1"/>
  <c r="AF19" i="3" s="1"/>
  <c r="K19" i="3"/>
  <c r="J19" i="3"/>
  <c r="I19" i="3"/>
  <c r="AD18" i="3"/>
  <c r="AC18" i="3"/>
  <c r="AA18" i="3"/>
  <c r="AE18" i="3" s="1"/>
  <c r="Y18" i="3"/>
  <c r="W18" i="3"/>
  <c r="T18" i="3"/>
  <c r="U18" i="3" s="1"/>
  <c r="S18" i="3"/>
  <c r="Q18" i="3"/>
  <c r="L18" i="3"/>
  <c r="N18" i="3" s="1"/>
  <c r="AB18" i="3" s="1"/>
  <c r="AF18" i="3" s="1"/>
  <c r="K18" i="3"/>
  <c r="J18" i="3"/>
  <c r="I18" i="3"/>
  <c r="AC17" i="3"/>
  <c r="AB17" i="3"/>
  <c r="AA17" i="3"/>
  <c r="AE17" i="3" s="1"/>
  <c r="Y17" i="3"/>
  <c r="W17" i="3"/>
  <c r="T17" i="3"/>
  <c r="U17" i="3" s="1"/>
  <c r="AD17" i="3" s="1"/>
  <c r="S17" i="3"/>
  <c r="Q17" i="3"/>
  <c r="L17" i="3"/>
  <c r="N17" i="3" s="1"/>
  <c r="K17" i="3"/>
  <c r="J17" i="3"/>
  <c r="I17" i="3"/>
  <c r="AD16" i="3"/>
  <c r="AC16" i="3"/>
  <c r="AE16" i="3" s="1"/>
  <c r="AB16" i="3"/>
  <c r="AF16" i="3" s="1"/>
  <c r="AA16" i="3"/>
  <c r="Y16" i="3"/>
  <c r="W16" i="3"/>
  <c r="T16" i="3"/>
  <c r="U16" i="3" s="1"/>
  <c r="S16" i="3"/>
  <c r="Q16" i="3"/>
  <c r="L16" i="3"/>
  <c r="N16" i="3" s="1"/>
  <c r="K16" i="3"/>
  <c r="J16" i="3"/>
  <c r="I16" i="3"/>
  <c r="AE15" i="3"/>
  <c r="AC15" i="3"/>
  <c r="AA15" i="3"/>
  <c r="Y15" i="3"/>
  <c r="W15" i="3"/>
  <c r="T15" i="3"/>
  <c r="U15" i="3" s="1"/>
  <c r="AD15" i="3" s="1"/>
  <c r="S15" i="3"/>
  <c r="Q15" i="3"/>
  <c r="K15" i="3"/>
  <c r="L15" i="3" s="1"/>
  <c r="N15" i="3" s="1"/>
  <c r="AB15" i="3" s="1"/>
  <c r="J15" i="3"/>
  <c r="I15" i="3"/>
  <c r="AD14" i="3"/>
  <c r="AC14" i="3"/>
  <c r="AE14" i="3" s="1"/>
  <c r="AB14" i="3"/>
  <c r="AF14" i="3" s="1"/>
  <c r="AA14" i="3"/>
  <c r="Y14" i="3"/>
  <c r="W14" i="3"/>
  <c r="T14" i="3"/>
  <c r="U14" i="3" s="1"/>
  <c r="S14" i="3"/>
  <c r="Q14" i="3"/>
  <c r="L14" i="3"/>
  <c r="N14" i="3" s="1"/>
  <c r="K14" i="3"/>
  <c r="J14" i="3"/>
  <c r="I14" i="3"/>
  <c r="AE13" i="3"/>
  <c r="AC13" i="3"/>
  <c r="AA13" i="3"/>
  <c r="Y13" i="3"/>
  <c r="W13" i="3"/>
  <c r="T13" i="3"/>
  <c r="S13" i="3"/>
  <c r="Q13" i="3"/>
  <c r="K13" i="3"/>
  <c r="J13" i="3"/>
  <c r="I13" i="3"/>
  <c r="X12" i="3"/>
  <c r="V12" i="3"/>
  <c r="S12" i="3"/>
  <c r="R12" i="3"/>
  <c r="P12" i="3"/>
  <c r="M12" i="3"/>
  <c r="I12" i="3"/>
  <c r="H12" i="3"/>
  <c r="G12" i="3"/>
  <c r="E12" i="3"/>
  <c r="D12" i="3"/>
  <c r="L11" i="2"/>
  <c r="L12" i="2"/>
  <c r="L25" i="1"/>
  <c r="E25" i="1"/>
  <c r="L24" i="1"/>
  <c r="E24" i="1"/>
  <c r="G23" i="1"/>
  <c r="I22" i="1"/>
  <c r="G22" i="1"/>
  <c r="F22" i="1"/>
  <c r="L22" i="1" s="1"/>
  <c r="G21" i="1"/>
  <c r="C21" i="1"/>
  <c r="K20" i="1"/>
  <c r="G20" i="1"/>
  <c r="F20" i="1"/>
  <c r="E20" i="1"/>
  <c r="D20" i="1"/>
  <c r="C20" i="1"/>
  <c r="I19" i="1"/>
  <c r="H19" i="1"/>
  <c r="G19" i="1"/>
  <c r="L19" i="1" s="1"/>
  <c r="F19" i="1"/>
  <c r="E19" i="1"/>
  <c r="D19" i="1"/>
  <c r="C19" i="1"/>
  <c r="K18" i="1"/>
  <c r="H17" i="1"/>
  <c r="G17" i="1"/>
  <c r="F17" i="1"/>
  <c r="L17" i="1" s="1"/>
  <c r="C17" i="1"/>
  <c r="F16" i="1"/>
  <c r="C16" i="1"/>
  <c r="F15" i="1"/>
  <c r="C15" i="1"/>
  <c r="L14" i="1"/>
  <c r="I14" i="1"/>
  <c r="F14" i="1"/>
  <c r="C14" i="1"/>
  <c r="L12" i="1"/>
  <c r="X44" i="12"/>
  <c r="X12" i="12" s="1"/>
  <c r="V44" i="12"/>
  <c r="V12" i="12" s="1"/>
  <c r="R44" i="12"/>
  <c r="R12" i="12" s="1"/>
  <c r="P44" i="12"/>
  <c r="M44" i="12"/>
  <c r="M12" i="12" s="1"/>
  <c r="H44" i="12"/>
  <c r="H12" i="12" s="1"/>
  <c r="G44" i="12"/>
  <c r="C23" i="1" s="1"/>
  <c r="F44" i="12"/>
  <c r="F12" i="12" s="1"/>
  <c r="D44" i="12"/>
  <c r="AD43" i="12"/>
  <c r="AC43" i="12"/>
  <c r="AA43" i="12"/>
  <c r="AE43" i="12" s="1"/>
  <c r="Y43" i="12"/>
  <c r="W43" i="12"/>
  <c r="U43" i="12"/>
  <c r="T43" i="12"/>
  <c r="S43" i="12"/>
  <c r="Q43" i="12"/>
  <c r="K43" i="12"/>
  <c r="L43" i="12" s="1"/>
  <c r="N43" i="12" s="1"/>
  <c r="AB43" i="12" s="1"/>
  <c r="AF43" i="12" s="1"/>
  <c r="J43" i="12"/>
  <c r="I43" i="12"/>
  <c r="AD42" i="12"/>
  <c r="AC42" i="12"/>
  <c r="AA42" i="12"/>
  <c r="Y42" i="12"/>
  <c r="W42" i="12"/>
  <c r="U42" i="12"/>
  <c r="T42" i="12"/>
  <c r="S42" i="12"/>
  <c r="Q42" i="12"/>
  <c r="K42" i="12"/>
  <c r="L42" i="12" s="1"/>
  <c r="N42" i="12" s="1"/>
  <c r="AB42" i="12" s="1"/>
  <c r="AF42" i="12" s="1"/>
  <c r="J42" i="12"/>
  <c r="I42" i="12"/>
  <c r="AF41" i="12"/>
  <c r="AC41" i="12"/>
  <c r="AA41" i="12"/>
  <c r="AE41" i="12" s="1"/>
  <c r="Y41" i="12"/>
  <c r="W41" i="12"/>
  <c r="T41" i="12"/>
  <c r="U41" i="12" s="1"/>
  <c r="AD41" i="12" s="1"/>
  <c r="S41" i="12"/>
  <c r="Q41" i="12"/>
  <c r="N41" i="12"/>
  <c r="AB41" i="12" s="1"/>
  <c r="L41" i="12"/>
  <c r="K41" i="12"/>
  <c r="J41" i="12"/>
  <c r="I41" i="12"/>
  <c r="AC40" i="12"/>
  <c r="AA40" i="12"/>
  <c r="AE40" i="12" s="1"/>
  <c r="Y40" i="12"/>
  <c r="W40" i="12"/>
  <c r="U40" i="12"/>
  <c r="AD40" i="12" s="1"/>
  <c r="T40" i="12"/>
  <c r="S40" i="12"/>
  <c r="Q40" i="12"/>
  <c r="L40" i="12"/>
  <c r="N40" i="12" s="1"/>
  <c r="AB40" i="12" s="1"/>
  <c r="K40" i="12"/>
  <c r="J40" i="12"/>
  <c r="I40" i="12"/>
  <c r="AE39" i="12"/>
  <c r="AD39" i="12"/>
  <c r="AC39" i="12"/>
  <c r="AA39" i="12"/>
  <c r="Y39" i="12"/>
  <c r="W39" i="12"/>
  <c r="T39" i="12"/>
  <c r="U39" i="12" s="1"/>
  <c r="S39" i="12"/>
  <c r="Q39" i="12"/>
  <c r="K39" i="12"/>
  <c r="L39" i="12" s="1"/>
  <c r="N39" i="12" s="1"/>
  <c r="AB39" i="12" s="1"/>
  <c r="AF39" i="12" s="1"/>
  <c r="J39" i="12"/>
  <c r="I39" i="12"/>
  <c r="AC38" i="12"/>
  <c r="AE38" i="12" s="1"/>
  <c r="AA38" i="12"/>
  <c r="Y38" i="12"/>
  <c r="W38" i="12"/>
  <c r="T38" i="12"/>
  <c r="U38" i="12" s="1"/>
  <c r="AD38" i="12" s="1"/>
  <c r="S38" i="12"/>
  <c r="Q38" i="12"/>
  <c r="L38" i="12"/>
  <c r="N38" i="12" s="1"/>
  <c r="AB38" i="12" s="1"/>
  <c r="AF38" i="12" s="1"/>
  <c r="K38" i="12"/>
  <c r="J38" i="12"/>
  <c r="I38" i="12"/>
  <c r="AC37" i="12"/>
  <c r="AA37" i="12"/>
  <c r="AE37" i="12" s="1"/>
  <c r="Y37" i="12"/>
  <c r="W37" i="12"/>
  <c r="T37" i="12"/>
  <c r="U37" i="12" s="1"/>
  <c r="AD37" i="12" s="1"/>
  <c r="S37" i="12"/>
  <c r="Q37" i="12"/>
  <c r="K37" i="12"/>
  <c r="L37" i="12" s="1"/>
  <c r="N37" i="12" s="1"/>
  <c r="AB37" i="12" s="1"/>
  <c r="AF37" i="12" s="1"/>
  <c r="J37" i="12"/>
  <c r="I37" i="12"/>
  <c r="AD36" i="12"/>
  <c r="AC36" i="12"/>
  <c r="AA36" i="12"/>
  <c r="AE36" i="12" s="1"/>
  <c r="Y36" i="12"/>
  <c r="W36" i="12"/>
  <c r="T36" i="12"/>
  <c r="U36" i="12" s="1"/>
  <c r="S36" i="12"/>
  <c r="Q36" i="12"/>
  <c r="L36" i="12"/>
  <c r="N36" i="12" s="1"/>
  <c r="AB36" i="12" s="1"/>
  <c r="AF36" i="12" s="1"/>
  <c r="K36" i="12"/>
  <c r="J36" i="12"/>
  <c r="I36" i="12"/>
  <c r="AC35" i="12"/>
  <c r="AA35" i="12"/>
  <c r="AE35" i="12" s="1"/>
  <c r="Y35" i="12"/>
  <c r="W35" i="12"/>
  <c r="T35" i="12"/>
  <c r="U35" i="12" s="1"/>
  <c r="AD35" i="12" s="1"/>
  <c r="S35" i="12"/>
  <c r="Q35" i="12"/>
  <c r="K35" i="12"/>
  <c r="L35" i="12" s="1"/>
  <c r="N35" i="12" s="1"/>
  <c r="AB35" i="12" s="1"/>
  <c r="J35" i="12"/>
  <c r="I35" i="12"/>
  <c r="AC34" i="12"/>
  <c r="AA34" i="12"/>
  <c r="AE34" i="12" s="1"/>
  <c r="Y34" i="12"/>
  <c r="W34" i="12"/>
  <c r="T34" i="12"/>
  <c r="U34" i="12" s="1"/>
  <c r="AD34" i="12" s="1"/>
  <c r="S34" i="12"/>
  <c r="Q34" i="12"/>
  <c r="K34" i="12"/>
  <c r="L34" i="12" s="1"/>
  <c r="N34" i="12" s="1"/>
  <c r="AB34" i="12" s="1"/>
  <c r="AF34" i="12" s="1"/>
  <c r="J34" i="12"/>
  <c r="I34" i="12"/>
  <c r="AC33" i="12"/>
  <c r="AE33" i="12" s="1"/>
  <c r="AA33" i="12"/>
  <c r="Y33" i="12"/>
  <c r="W33" i="12"/>
  <c r="T33" i="12"/>
  <c r="U33" i="12" s="1"/>
  <c r="AD33" i="12" s="1"/>
  <c r="S33" i="12"/>
  <c r="Q33" i="12"/>
  <c r="K33" i="12"/>
  <c r="L33" i="12" s="1"/>
  <c r="N33" i="12" s="1"/>
  <c r="AB33" i="12" s="1"/>
  <c r="J33" i="12"/>
  <c r="I33" i="12"/>
  <c r="AC32" i="12"/>
  <c r="AB32" i="12"/>
  <c r="AF32" i="12" s="1"/>
  <c r="AA32" i="12"/>
  <c r="AE32" i="12" s="1"/>
  <c r="Y32" i="12"/>
  <c r="W32" i="12"/>
  <c r="U32" i="12"/>
  <c r="AD32" i="12" s="1"/>
  <c r="T32" i="12"/>
  <c r="S32" i="12"/>
  <c r="Q32" i="12"/>
  <c r="N32" i="12"/>
  <c r="L32" i="12"/>
  <c r="K32" i="12"/>
  <c r="J32" i="12"/>
  <c r="I32" i="12"/>
  <c r="AC31" i="12"/>
  <c r="AA31" i="12"/>
  <c r="AE31" i="12" s="1"/>
  <c r="Y31" i="12"/>
  <c r="W31" i="12"/>
  <c r="T31" i="12"/>
  <c r="U31" i="12" s="1"/>
  <c r="AD31" i="12" s="1"/>
  <c r="S31" i="12"/>
  <c r="Q31" i="12"/>
  <c r="K31" i="12"/>
  <c r="L31" i="12" s="1"/>
  <c r="N31" i="12" s="1"/>
  <c r="AB31" i="12" s="1"/>
  <c r="AF31" i="12" s="1"/>
  <c r="J31" i="12"/>
  <c r="I31" i="12"/>
  <c r="AD30" i="12"/>
  <c r="AF30" i="12" s="1"/>
  <c r="AC30" i="12"/>
  <c r="AE30" i="12" s="1"/>
  <c r="AB30" i="12"/>
  <c r="AA30" i="12"/>
  <c r="Y30" i="12"/>
  <c r="W30" i="12"/>
  <c r="T30" i="12"/>
  <c r="U30" i="12" s="1"/>
  <c r="S30" i="12"/>
  <c r="Q30" i="12"/>
  <c r="L30" i="12"/>
  <c r="N30" i="12" s="1"/>
  <c r="K30" i="12"/>
  <c r="J30" i="12"/>
  <c r="I30" i="12"/>
  <c r="AC29" i="12"/>
  <c r="AA29" i="12"/>
  <c r="AE29" i="12" s="1"/>
  <c r="Y29" i="12"/>
  <c r="W29" i="12"/>
  <c r="T29" i="12"/>
  <c r="U29" i="12" s="1"/>
  <c r="AD29" i="12" s="1"/>
  <c r="S29" i="12"/>
  <c r="Q29" i="12"/>
  <c r="K29" i="12"/>
  <c r="L29" i="12" s="1"/>
  <c r="N29" i="12" s="1"/>
  <c r="AB29" i="12" s="1"/>
  <c r="AF29" i="12" s="1"/>
  <c r="J29" i="12"/>
  <c r="I29" i="12"/>
  <c r="AE28" i="12"/>
  <c r="AC28" i="12"/>
  <c r="AA28" i="12"/>
  <c r="Y28" i="12"/>
  <c r="W28" i="12"/>
  <c r="T28" i="12"/>
  <c r="U28" i="12" s="1"/>
  <c r="AD28" i="12" s="1"/>
  <c r="S28" i="12"/>
  <c r="Q28" i="12"/>
  <c r="K28" i="12"/>
  <c r="L28" i="12" s="1"/>
  <c r="N28" i="12" s="1"/>
  <c r="AB28" i="12" s="1"/>
  <c r="AF28" i="12" s="1"/>
  <c r="J28" i="12"/>
  <c r="I28" i="12"/>
  <c r="AE27" i="12"/>
  <c r="AC27" i="12"/>
  <c r="AA27" i="12"/>
  <c r="Y27" i="12"/>
  <c r="W27" i="12"/>
  <c r="T27" i="12"/>
  <c r="U27" i="12" s="1"/>
  <c r="AD27" i="12" s="1"/>
  <c r="AF27" i="12" s="1"/>
  <c r="S27" i="12"/>
  <c r="Q27" i="12"/>
  <c r="L27" i="12"/>
  <c r="N27" i="12" s="1"/>
  <c r="AB27" i="12" s="1"/>
  <c r="K27" i="12"/>
  <c r="J27" i="12"/>
  <c r="I27" i="12"/>
  <c r="AC26" i="12"/>
  <c r="AA26" i="12"/>
  <c r="AE26" i="12" s="1"/>
  <c r="Y26" i="12"/>
  <c r="W26" i="12"/>
  <c r="T26" i="12"/>
  <c r="U26" i="12" s="1"/>
  <c r="AD26" i="12" s="1"/>
  <c r="S26" i="12"/>
  <c r="Q26" i="12"/>
  <c r="K26" i="12"/>
  <c r="L26" i="12" s="1"/>
  <c r="N26" i="12" s="1"/>
  <c r="AB26" i="12" s="1"/>
  <c r="AF26" i="12" s="1"/>
  <c r="J26" i="12"/>
  <c r="I26" i="12"/>
  <c r="AC25" i="12"/>
  <c r="AA25" i="12"/>
  <c r="AE25" i="12" s="1"/>
  <c r="Y25" i="12"/>
  <c r="W25" i="12"/>
  <c r="T25" i="12"/>
  <c r="U25" i="12" s="1"/>
  <c r="AD25" i="12" s="1"/>
  <c r="S25" i="12"/>
  <c r="Q25" i="12"/>
  <c r="K25" i="12"/>
  <c r="L25" i="12" s="1"/>
  <c r="N25" i="12" s="1"/>
  <c r="AB25" i="12" s="1"/>
  <c r="AF25" i="12" s="1"/>
  <c r="J25" i="12"/>
  <c r="I25" i="12"/>
  <c r="AE24" i="12"/>
  <c r="AC24" i="12"/>
  <c r="AA24" i="12"/>
  <c r="Y24" i="12"/>
  <c r="W24" i="12"/>
  <c r="T24" i="12"/>
  <c r="U24" i="12" s="1"/>
  <c r="AD24" i="12" s="1"/>
  <c r="S24" i="12"/>
  <c r="Q24" i="12"/>
  <c r="L24" i="12"/>
  <c r="N24" i="12" s="1"/>
  <c r="AB24" i="12" s="1"/>
  <c r="AF24" i="12" s="1"/>
  <c r="K24" i="12"/>
  <c r="J24" i="12"/>
  <c r="I24" i="12"/>
  <c r="AC23" i="12"/>
  <c r="AB23" i="12"/>
  <c r="AA23" i="12"/>
  <c r="AE23" i="12" s="1"/>
  <c r="Y23" i="12"/>
  <c r="W23" i="12"/>
  <c r="U23" i="12"/>
  <c r="AD23" i="12" s="1"/>
  <c r="T23" i="12"/>
  <c r="S23" i="12"/>
  <c r="Q23" i="12"/>
  <c r="K23" i="12"/>
  <c r="L23" i="12" s="1"/>
  <c r="N23" i="12" s="1"/>
  <c r="J23" i="12"/>
  <c r="I23" i="12"/>
  <c r="AC22" i="12"/>
  <c r="AE22" i="12" s="1"/>
  <c r="AA22" i="12"/>
  <c r="Y22" i="12"/>
  <c r="W22" i="12"/>
  <c r="T22" i="12"/>
  <c r="U22" i="12" s="1"/>
  <c r="AD22" i="12" s="1"/>
  <c r="S22" i="12"/>
  <c r="Q22" i="12"/>
  <c r="K22" i="12"/>
  <c r="L22" i="12" s="1"/>
  <c r="N22" i="12" s="1"/>
  <c r="AB22" i="12" s="1"/>
  <c r="AF22" i="12" s="1"/>
  <c r="J22" i="12"/>
  <c r="I22" i="12"/>
  <c r="AC21" i="12"/>
  <c r="AE21" i="12" s="1"/>
  <c r="AB21" i="12"/>
  <c r="AF21" i="12" s="1"/>
  <c r="AA21" i="12"/>
  <c r="Y21" i="12"/>
  <c r="W21" i="12"/>
  <c r="T21" i="12"/>
  <c r="U21" i="12" s="1"/>
  <c r="AD21" i="12" s="1"/>
  <c r="S21" i="12"/>
  <c r="Q21" i="12"/>
  <c r="K21" i="12"/>
  <c r="L21" i="12" s="1"/>
  <c r="N21" i="12" s="1"/>
  <c r="J21" i="12"/>
  <c r="F22" i="2" s="1"/>
  <c r="I21" i="12"/>
  <c r="E22" i="2" s="1"/>
  <c r="AD20" i="12"/>
  <c r="AC20" i="12"/>
  <c r="AA20" i="12"/>
  <c r="Y20" i="12"/>
  <c r="W20" i="12"/>
  <c r="U20" i="12"/>
  <c r="T20" i="12"/>
  <c r="S20" i="12"/>
  <c r="Q20" i="12"/>
  <c r="K20" i="12"/>
  <c r="L20" i="12" s="1"/>
  <c r="N20" i="12" s="1"/>
  <c r="AB20" i="12" s="1"/>
  <c r="AF20" i="12" s="1"/>
  <c r="J20" i="12"/>
  <c r="I20" i="12"/>
  <c r="AF19" i="12"/>
  <c r="AE19" i="12"/>
  <c r="AC19" i="12"/>
  <c r="AA19" i="12"/>
  <c r="Y19" i="12"/>
  <c r="W19" i="12"/>
  <c r="U19" i="12"/>
  <c r="AD19" i="12" s="1"/>
  <c r="T19" i="12"/>
  <c r="S19" i="12"/>
  <c r="Q19" i="12"/>
  <c r="L19" i="12"/>
  <c r="N19" i="12" s="1"/>
  <c r="AB19" i="12" s="1"/>
  <c r="K19" i="12"/>
  <c r="J19" i="12"/>
  <c r="I19" i="12"/>
  <c r="AC18" i="12"/>
  <c r="AA18" i="12"/>
  <c r="AE18" i="12" s="1"/>
  <c r="Y18" i="12"/>
  <c r="W18" i="12"/>
  <c r="T18" i="12"/>
  <c r="U18" i="12" s="1"/>
  <c r="AD18" i="12" s="1"/>
  <c r="S18" i="12"/>
  <c r="Q18" i="12"/>
  <c r="K18" i="12"/>
  <c r="L18" i="12" s="1"/>
  <c r="N18" i="12" s="1"/>
  <c r="AB18" i="12" s="1"/>
  <c r="AF18" i="12" s="1"/>
  <c r="J18" i="12"/>
  <c r="I18" i="12"/>
  <c r="AF17" i="12"/>
  <c r="AC17" i="12"/>
  <c r="AA17" i="12"/>
  <c r="AE17" i="12" s="1"/>
  <c r="Y17" i="12"/>
  <c r="W17" i="12"/>
  <c r="T17" i="12"/>
  <c r="U17" i="12" s="1"/>
  <c r="AD17" i="12" s="1"/>
  <c r="S17" i="12"/>
  <c r="Q17" i="12"/>
  <c r="K17" i="12"/>
  <c r="L17" i="12" s="1"/>
  <c r="N17" i="12" s="1"/>
  <c r="AB17" i="12" s="1"/>
  <c r="J17" i="12"/>
  <c r="I17" i="12"/>
  <c r="AC16" i="12"/>
  <c r="AA16" i="12"/>
  <c r="AE16" i="12" s="1"/>
  <c r="Y16" i="12"/>
  <c r="W16" i="12"/>
  <c r="T16" i="12"/>
  <c r="U16" i="12" s="1"/>
  <c r="AD16" i="12" s="1"/>
  <c r="S16" i="12"/>
  <c r="Q16" i="12"/>
  <c r="L16" i="12"/>
  <c r="N16" i="12" s="1"/>
  <c r="AB16" i="12" s="1"/>
  <c r="AF16" i="12" s="1"/>
  <c r="K16" i="12"/>
  <c r="J16" i="12"/>
  <c r="I16" i="12"/>
  <c r="AE15" i="12"/>
  <c r="AC15" i="12"/>
  <c r="AA15" i="12"/>
  <c r="Y15" i="12"/>
  <c r="W15" i="12"/>
  <c r="T15" i="12"/>
  <c r="U15" i="12" s="1"/>
  <c r="AD15" i="12" s="1"/>
  <c r="S15" i="12"/>
  <c r="Q15" i="12"/>
  <c r="L15" i="12"/>
  <c r="N15" i="12" s="1"/>
  <c r="AB15" i="12" s="1"/>
  <c r="AF15" i="12" s="1"/>
  <c r="K15" i="12"/>
  <c r="J15" i="12"/>
  <c r="I15" i="12"/>
  <c r="AC14" i="12"/>
  <c r="AA14" i="12"/>
  <c r="Y14" i="12"/>
  <c r="W14" i="12"/>
  <c r="T14" i="12"/>
  <c r="S14" i="12"/>
  <c r="Q14" i="12"/>
  <c r="K14" i="12"/>
  <c r="G15" i="2" s="1"/>
  <c r="J14" i="12"/>
  <c r="F15" i="2" s="1"/>
  <c r="I14" i="12"/>
  <c r="E15" i="2" s="1"/>
  <c r="AC13" i="12"/>
  <c r="AA13" i="12"/>
  <c r="Y13" i="12"/>
  <c r="W13" i="12"/>
  <c r="T13" i="12"/>
  <c r="U13" i="12" s="1"/>
  <c r="AD13" i="12" s="1"/>
  <c r="S13" i="12"/>
  <c r="Q13" i="12"/>
  <c r="K13" i="12"/>
  <c r="J13" i="12"/>
  <c r="F14" i="2" s="1"/>
  <c r="I13" i="12"/>
  <c r="E14" i="2" s="1"/>
  <c r="P12" i="12"/>
  <c r="D12" i="12"/>
  <c r="F23" i="1" l="1"/>
  <c r="L23" i="1"/>
  <c r="L14" i="12"/>
  <c r="AE14" i="12"/>
  <c r="L13" i="2"/>
  <c r="Q44" i="12"/>
  <c r="Q12" i="12" s="1"/>
  <c r="S44" i="12"/>
  <c r="AE42" i="11"/>
  <c r="Y43" i="11"/>
  <c r="C13" i="2"/>
  <c r="D11" i="2"/>
  <c r="W43" i="11"/>
  <c r="D22" i="1"/>
  <c r="J43" i="11"/>
  <c r="AF26" i="3"/>
  <c r="K44" i="3"/>
  <c r="K12" i="3" s="1"/>
  <c r="L13" i="3"/>
  <c r="U41" i="4"/>
  <c r="U12" i="4" s="1"/>
  <c r="AD13" i="4"/>
  <c r="AD41" i="4" s="1"/>
  <c r="AD12" i="4" s="1"/>
  <c r="AF18" i="5"/>
  <c r="T44" i="12"/>
  <c r="T12" i="12" s="1"/>
  <c r="AE13" i="10"/>
  <c r="AA44" i="10"/>
  <c r="AA12" i="10" s="1"/>
  <c r="AF33" i="12"/>
  <c r="U14" i="12"/>
  <c r="AF17" i="3"/>
  <c r="AF28" i="4"/>
  <c r="V12" i="9"/>
  <c r="W44" i="9"/>
  <c r="AF27" i="5"/>
  <c r="I23" i="1"/>
  <c r="S12" i="12"/>
  <c r="AB13" i="4"/>
  <c r="H14" i="1"/>
  <c r="Q12" i="3"/>
  <c r="AF40" i="12"/>
  <c r="AF38" i="4"/>
  <c r="AF18" i="6"/>
  <c r="AD44" i="8"/>
  <c r="AD12" i="8" s="1"/>
  <c r="AF15" i="8"/>
  <c r="AF34" i="5"/>
  <c r="Y12" i="6"/>
  <c r="K17" i="1"/>
  <c r="U13" i="10"/>
  <c r="T44" i="10"/>
  <c r="T12" i="10" s="1"/>
  <c r="L44" i="5"/>
  <c r="L12" i="5" s="1"/>
  <c r="I44" i="10"/>
  <c r="F21" i="1"/>
  <c r="L21" i="1" s="1"/>
  <c r="H12" i="10"/>
  <c r="AA44" i="3"/>
  <c r="AA12" i="3" s="1"/>
  <c r="I12" i="4"/>
  <c r="D15" i="1"/>
  <c r="N13" i="5"/>
  <c r="P12" i="5"/>
  <c r="Q44" i="5"/>
  <c r="Y44" i="5"/>
  <c r="AF35" i="12"/>
  <c r="AF36" i="7"/>
  <c r="AF30" i="8"/>
  <c r="AF36" i="10"/>
  <c r="AE20" i="12"/>
  <c r="AF41" i="5"/>
  <c r="AD44" i="6"/>
  <c r="AD12" i="6" s="1"/>
  <c r="L44" i="7"/>
  <c r="L12" i="7" s="1"/>
  <c r="N13" i="7"/>
  <c r="AF33" i="9"/>
  <c r="AF43" i="9"/>
  <c r="AE43" i="11"/>
  <c r="AE12" i="11" s="1"/>
  <c r="J44" i="12"/>
  <c r="G12" i="12"/>
  <c r="W44" i="12"/>
  <c r="AE23" i="4"/>
  <c r="T44" i="5"/>
  <c r="T12" i="5" s="1"/>
  <c r="AF19" i="5"/>
  <c r="AF34" i="8"/>
  <c r="Q12" i="10"/>
  <c r="H21" i="1"/>
  <c r="K14" i="1"/>
  <c r="AC44" i="5"/>
  <c r="AC12" i="5" s="1"/>
  <c r="S12" i="5"/>
  <c r="I16" i="1"/>
  <c r="AF25" i="10"/>
  <c r="J44" i="10"/>
  <c r="F12" i="10"/>
  <c r="AF37" i="3"/>
  <c r="F12" i="4"/>
  <c r="K41" i="4"/>
  <c r="K12" i="4" s="1"/>
  <c r="AA44" i="5"/>
  <c r="AA12" i="5" s="1"/>
  <c r="AE13" i="6"/>
  <c r="AA44" i="6"/>
  <c r="AA12" i="6" s="1"/>
  <c r="J44" i="7"/>
  <c r="G12" i="7"/>
  <c r="C18" i="1"/>
  <c r="C26" i="1" s="1"/>
  <c r="C11" i="1" s="1"/>
  <c r="C13" i="1" s="1"/>
  <c r="AF17" i="8"/>
  <c r="AF21" i="3"/>
  <c r="AF24" i="3"/>
  <c r="AB44" i="6"/>
  <c r="AB12" i="6" s="1"/>
  <c r="AF13" i="6"/>
  <c r="H12" i="7"/>
  <c r="F18" i="1"/>
  <c r="I44" i="7"/>
  <c r="J12" i="4"/>
  <c r="AC41" i="4"/>
  <c r="AC12" i="4" s="1"/>
  <c r="L20" i="1"/>
  <c r="AF32" i="5"/>
  <c r="T44" i="6"/>
  <c r="T12" i="6" s="1"/>
  <c r="AF27" i="7"/>
  <c r="U44" i="8"/>
  <c r="U12" i="8" s="1"/>
  <c r="E16" i="1"/>
  <c r="J12" i="5"/>
  <c r="T41" i="4"/>
  <c r="T12" i="4" s="1"/>
  <c r="AF31" i="5"/>
  <c r="K44" i="12"/>
  <c r="K12" i="12" s="1"/>
  <c r="L13" i="12"/>
  <c r="H14" i="2" s="1"/>
  <c r="AC44" i="12"/>
  <c r="AC12" i="12" s="1"/>
  <c r="AF28" i="3"/>
  <c r="AF43" i="3"/>
  <c r="L14" i="4"/>
  <c r="N14" i="4" s="1"/>
  <c r="AB14" i="4" s="1"/>
  <c r="AF14" i="4" s="1"/>
  <c r="Y12" i="4"/>
  <c r="K15" i="1"/>
  <c r="N44" i="6"/>
  <c r="N12" i="6" s="1"/>
  <c r="AF40" i="4"/>
  <c r="AF42" i="3"/>
  <c r="K44" i="5"/>
  <c r="K12" i="5" s="1"/>
  <c r="U15" i="8"/>
  <c r="AD15" i="8" s="1"/>
  <c r="T44" i="8"/>
  <c r="T12" i="8" s="1"/>
  <c r="G16" i="1"/>
  <c r="L16" i="1" s="1"/>
  <c r="W12" i="4"/>
  <c r="F12" i="5"/>
  <c r="L14" i="5"/>
  <c r="N14" i="5" s="1"/>
  <c r="AB14" i="5" s="1"/>
  <c r="AF14" i="5" s="1"/>
  <c r="AF26" i="5"/>
  <c r="AF38" i="5"/>
  <c r="W44" i="6"/>
  <c r="AA44" i="8"/>
  <c r="AA12" i="8" s="1"/>
  <c r="K19" i="1"/>
  <c r="Y12" i="8"/>
  <c r="AC44" i="9"/>
  <c r="AC12" i="9" s="1"/>
  <c r="AF21" i="10"/>
  <c r="AF15" i="3"/>
  <c r="AF19" i="4"/>
  <c r="T44" i="3"/>
  <c r="T12" i="3" s="1"/>
  <c r="AA44" i="12"/>
  <c r="AA12" i="12" s="1"/>
  <c r="AE13" i="12"/>
  <c r="U44" i="5"/>
  <c r="U12" i="5" s="1"/>
  <c r="AD13" i="5"/>
  <c r="AD44" i="5" s="1"/>
  <c r="AD12" i="5" s="1"/>
  <c r="AF40" i="3"/>
  <c r="U44" i="6"/>
  <c r="U12" i="6" s="1"/>
  <c r="AF41" i="6"/>
  <c r="V12" i="8"/>
  <c r="W44" i="8"/>
  <c r="AB44" i="9"/>
  <c r="AB12" i="9" s="1"/>
  <c r="AF13" i="9"/>
  <c r="AE34" i="5"/>
  <c r="AA44" i="7"/>
  <c r="AA12" i="7" s="1"/>
  <c r="AF19" i="8"/>
  <c r="AE37" i="8"/>
  <c r="AE13" i="9"/>
  <c r="AA44" i="9"/>
  <c r="AA12" i="9" s="1"/>
  <c r="AE32" i="10"/>
  <c r="T44" i="7"/>
  <c r="T12" i="7" s="1"/>
  <c r="AF24" i="6"/>
  <c r="AF29" i="7"/>
  <c r="AF42" i="7"/>
  <c r="AF34" i="6"/>
  <c r="AF16" i="8"/>
  <c r="AF27" i="9"/>
  <c r="I44" i="5"/>
  <c r="J44" i="3"/>
  <c r="U13" i="3"/>
  <c r="AE40" i="3"/>
  <c r="AF33" i="8"/>
  <c r="AE38" i="8"/>
  <c r="L15" i="9"/>
  <c r="N15" i="9" s="1"/>
  <c r="AB15" i="9" s="1"/>
  <c r="AF15" i="9" s="1"/>
  <c r="K44" i="9"/>
  <c r="K12" i="9" s="1"/>
  <c r="P12" i="7"/>
  <c r="G18" i="1"/>
  <c r="Q44" i="7"/>
  <c r="S44" i="7"/>
  <c r="I44" i="6"/>
  <c r="AF19" i="9"/>
  <c r="AF34" i="10"/>
  <c r="Y44" i="12"/>
  <c r="W44" i="3"/>
  <c r="AF33" i="4"/>
  <c r="AE16" i="6"/>
  <c r="L44" i="6"/>
  <c r="L12" i="6" s="1"/>
  <c r="AE24" i="8"/>
  <c r="AE44" i="8" s="1"/>
  <c r="AE12" i="8" s="1"/>
  <c r="U44" i="9"/>
  <c r="U12" i="9" s="1"/>
  <c r="AD13" i="9"/>
  <c r="AD44" i="9" s="1"/>
  <c r="AD12" i="9" s="1"/>
  <c r="AE34" i="9"/>
  <c r="L13" i="11"/>
  <c r="K43" i="11"/>
  <c r="K12" i="11" s="1"/>
  <c r="AF26" i="8"/>
  <c r="AF23" i="12"/>
  <c r="S44" i="6"/>
  <c r="G12" i="6"/>
  <c r="J44" i="6"/>
  <c r="AF20" i="8"/>
  <c r="AF25" i="3"/>
  <c r="G15" i="1"/>
  <c r="P12" i="4"/>
  <c r="Q41" i="4"/>
  <c r="T44" i="9"/>
  <c r="T12" i="9" s="1"/>
  <c r="AE23" i="7"/>
  <c r="AE44" i="7" s="1"/>
  <c r="AE12" i="7" s="1"/>
  <c r="AE40" i="6"/>
  <c r="L14" i="8"/>
  <c r="N14" i="8" s="1"/>
  <c r="AB14" i="8" s="1"/>
  <c r="AF14" i="8" s="1"/>
  <c r="AF44" i="8" s="1"/>
  <c r="AF12" i="8" s="1"/>
  <c r="K44" i="8"/>
  <c r="K12" i="8" s="1"/>
  <c r="AF39" i="10"/>
  <c r="AE34" i="3"/>
  <c r="V12" i="4"/>
  <c r="AE35" i="6"/>
  <c r="R12" i="7"/>
  <c r="AC44" i="7"/>
  <c r="AC12" i="7" s="1"/>
  <c r="U15" i="7"/>
  <c r="AD43" i="11"/>
  <c r="AD12" i="11" s="1"/>
  <c r="AF33" i="11"/>
  <c r="AF37" i="11"/>
  <c r="AE42" i="12"/>
  <c r="AC44" i="6"/>
  <c r="AC12" i="6" s="1"/>
  <c r="AE39" i="7"/>
  <c r="AF25" i="9"/>
  <c r="AF14" i="11"/>
  <c r="AF18" i="11"/>
  <c r="I44" i="12"/>
  <c r="J16" i="1"/>
  <c r="AE22" i="4"/>
  <c r="AE41" i="4" s="1"/>
  <c r="AE12" i="4" s="1"/>
  <c r="K44" i="6"/>
  <c r="K12" i="6" s="1"/>
  <c r="AE20" i="9"/>
  <c r="AF28" i="9"/>
  <c r="AE14" i="5"/>
  <c r="AE22" i="6"/>
  <c r="W44" i="7"/>
  <c r="AE40" i="8"/>
  <c r="AE18" i="11"/>
  <c r="AF26" i="11"/>
  <c r="W12" i="10"/>
  <c r="J21" i="1"/>
  <c r="U43" i="11"/>
  <c r="U12" i="11" s="1"/>
  <c r="AF39" i="9"/>
  <c r="Y44" i="10"/>
  <c r="S12" i="11"/>
  <c r="AE28" i="3"/>
  <c r="AE44" i="3" s="1"/>
  <c r="AE12" i="3" s="1"/>
  <c r="AA41" i="4"/>
  <c r="AA12" i="4" s="1"/>
  <c r="AE43" i="6"/>
  <c r="Q44" i="9"/>
  <c r="AC44" i="10"/>
  <c r="AC12" i="10" s="1"/>
  <c r="AF21" i="9"/>
  <c r="AC44" i="3"/>
  <c r="AC12" i="3" s="1"/>
  <c r="AE27" i="4"/>
  <c r="K44" i="7"/>
  <c r="K12" i="7" s="1"/>
  <c r="AE39" i="8"/>
  <c r="S44" i="9"/>
  <c r="R12" i="9"/>
  <c r="AC43" i="11"/>
  <c r="AC12" i="11" s="1"/>
  <c r="AA43" i="11"/>
  <c r="AA12" i="11" s="1"/>
  <c r="K44" i="10"/>
  <c r="K12" i="10" s="1"/>
  <c r="L14" i="10"/>
  <c r="AE19" i="11"/>
  <c r="AE32" i="9"/>
  <c r="AE23" i="11"/>
  <c r="AE27" i="9"/>
  <c r="R12" i="11"/>
  <c r="X12" i="11"/>
  <c r="Q43" i="11"/>
  <c r="T43" i="11"/>
  <c r="T12" i="11" s="1"/>
  <c r="R12" i="10"/>
  <c r="N14" i="12" l="1"/>
  <c r="H15" i="2"/>
  <c r="H23" i="1"/>
  <c r="Y12" i="11"/>
  <c r="K22" i="1"/>
  <c r="W12" i="11"/>
  <c r="J22" i="1"/>
  <c r="J12" i="11"/>
  <c r="E22" i="1"/>
  <c r="E11" i="2"/>
  <c r="I12" i="6"/>
  <c r="D17" i="1"/>
  <c r="L15" i="1"/>
  <c r="G26" i="1"/>
  <c r="W12" i="6"/>
  <c r="J17" i="1"/>
  <c r="Q12" i="11"/>
  <c r="H22" i="1"/>
  <c r="H11" i="2"/>
  <c r="AE44" i="10"/>
  <c r="AE12" i="10" s="1"/>
  <c r="Y12" i="10"/>
  <c r="K21" i="1"/>
  <c r="J12" i="6"/>
  <c r="E17" i="1"/>
  <c r="AF44" i="6"/>
  <c r="AF12" i="6" s="1"/>
  <c r="W12" i="9"/>
  <c r="J20" i="1"/>
  <c r="J23" i="1"/>
  <c r="W12" i="12"/>
  <c r="AE44" i="6"/>
  <c r="AE12" i="6" s="1"/>
  <c r="AD15" i="7"/>
  <c r="U44" i="7"/>
  <c r="U12" i="7" s="1"/>
  <c r="J19" i="1"/>
  <c r="W12" i="8"/>
  <c r="L44" i="9"/>
  <c r="L12" i="9" s="1"/>
  <c r="L44" i="3"/>
  <c r="L12" i="3" s="1"/>
  <c r="N13" i="3"/>
  <c r="N13" i="11"/>
  <c r="L43" i="11"/>
  <c r="L12" i="11" s="1"/>
  <c r="I12" i="5"/>
  <c r="D16" i="1"/>
  <c r="K16" i="1"/>
  <c r="Y12" i="5"/>
  <c r="AF13" i="4"/>
  <c r="AF41" i="4" s="1"/>
  <c r="AF12" i="4" s="1"/>
  <c r="AB41" i="4"/>
  <c r="AB12" i="4" s="1"/>
  <c r="L41" i="4"/>
  <c r="L12" i="4" s="1"/>
  <c r="AB44" i="8"/>
  <c r="AB12" i="8" s="1"/>
  <c r="N13" i="12"/>
  <c r="J14" i="2" s="1"/>
  <c r="L44" i="12"/>
  <c r="L12" i="12" s="1"/>
  <c r="H15" i="1"/>
  <c r="Q12" i="4"/>
  <c r="E23" i="1"/>
  <c r="J12" i="12"/>
  <c r="AE44" i="9"/>
  <c r="AE12" i="9" s="1"/>
  <c r="E18" i="1"/>
  <c r="J12" i="7"/>
  <c r="S12" i="7"/>
  <c r="I18" i="1"/>
  <c r="U44" i="10"/>
  <c r="U12" i="10" s="1"/>
  <c r="AD13" i="10"/>
  <c r="L44" i="8"/>
  <c r="L12" i="8" s="1"/>
  <c r="I11" i="2"/>
  <c r="I26" i="1"/>
  <c r="I11" i="1" s="1"/>
  <c r="Q12" i="7"/>
  <c r="H18" i="1"/>
  <c r="N44" i="8"/>
  <c r="N12" i="8" s="1"/>
  <c r="AF44" i="9"/>
  <c r="AF12" i="9" s="1"/>
  <c r="E14" i="1"/>
  <c r="J12" i="3"/>
  <c r="D18" i="1"/>
  <c r="I12" i="7"/>
  <c r="H16" i="1"/>
  <c r="Q12" i="5"/>
  <c r="D23" i="1"/>
  <c r="I12" i="12"/>
  <c r="I12" i="10"/>
  <c r="D21" i="1"/>
  <c r="AD14" i="12"/>
  <c r="U44" i="12"/>
  <c r="U12" i="12" s="1"/>
  <c r="F26" i="1"/>
  <c r="J12" i="10"/>
  <c r="E21" i="1"/>
  <c r="N44" i="9"/>
  <c r="N12" i="9" s="1"/>
  <c r="N14" i="10"/>
  <c r="L44" i="10"/>
  <c r="L12" i="10" s="1"/>
  <c r="U44" i="3"/>
  <c r="U12" i="3" s="1"/>
  <c r="AD13" i="3"/>
  <c r="AD44" i="3" s="1"/>
  <c r="AD12" i="3" s="1"/>
  <c r="N41" i="4"/>
  <c r="N12" i="4" s="1"/>
  <c r="W12" i="7"/>
  <c r="J18" i="1"/>
  <c r="AE44" i="5"/>
  <c r="AE12" i="5" s="1"/>
  <c r="AE44" i="12"/>
  <c r="AE12" i="12" s="1"/>
  <c r="L18" i="1"/>
  <c r="J14" i="1"/>
  <c r="W12" i="3"/>
  <c r="K23" i="1"/>
  <c r="Y12" i="12"/>
  <c r="Q12" i="9"/>
  <c r="H20" i="1"/>
  <c r="N44" i="7"/>
  <c r="N12" i="7" s="1"/>
  <c r="AB13" i="7"/>
  <c r="S12" i="6"/>
  <c r="I17" i="1"/>
  <c r="I20" i="1"/>
  <c r="S12" i="9"/>
  <c r="AB13" i="5"/>
  <c r="N44" i="5"/>
  <c r="N12" i="5" s="1"/>
  <c r="AB14" i="12" l="1"/>
  <c r="AF14" i="12" s="1"/>
  <c r="J15" i="2"/>
  <c r="K26" i="1"/>
  <c r="K11" i="1" s="1"/>
  <c r="K11" i="2"/>
  <c r="E26" i="1"/>
  <c r="E11" i="1" s="1"/>
  <c r="J11" i="2"/>
  <c r="J26" i="1"/>
  <c r="J11" i="1" s="1"/>
  <c r="AD44" i="12"/>
  <c r="AD12" i="12" s="1"/>
  <c r="D26" i="1"/>
  <c r="D11" i="1" s="1"/>
  <c r="F11" i="1"/>
  <c r="F13" i="1" s="1"/>
  <c r="N44" i="12"/>
  <c r="N12" i="12" s="1"/>
  <c r="AB13" i="12"/>
  <c r="AD44" i="7"/>
  <c r="AD12" i="7" s="1"/>
  <c r="AF15" i="7"/>
  <c r="AB14" i="10"/>
  <c r="N44" i="10"/>
  <c r="N12" i="10" s="1"/>
  <c r="L26" i="1"/>
  <c r="L11" i="1" s="1"/>
  <c r="L13" i="1" s="1"/>
  <c r="N43" i="11"/>
  <c r="N12" i="11" s="1"/>
  <c r="AB13" i="11"/>
  <c r="N44" i="3"/>
  <c r="N12" i="3" s="1"/>
  <c r="AB13" i="3"/>
  <c r="AB44" i="5"/>
  <c r="AB12" i="5" s="1"/>
  <c r="AF13" i="5"/>
  <c r="AF44" i="5" s="1"/>
  <c r="AF12" i="5" s="1"/>
  <c r="AF13" i="7"/>
  <c r="AF44" i="7" s="1"/>
  <c r="AF12" i="7" s="1"/>
  <c r="AB44" i="7"/>
  <c r="AB12" i="7" s="1"/>
  <c r="AD44" i="10"/>
  <c r="AD12" i="10" s="1"/>
  <c r="AF13" i="10"/>
  <c r="H26" i="1"/>
  <c r="H11" i="1" s="1"/>
  <c r="H13" i="1" s="1"/>
  <c r="G11" i="1"/>
  <c r="G13" i="1" s="1"/>
  <c r="AF13" i="3" l="1"/>
  <c r="AF44" i="3" s="1"/>
  <c r="AF12" i="3" s="1"/>
  <c r="AB44" i="3"/>
  <c r="AB12" i="3" s="1"/>
  <c r="AB43" i="11"/>
  <c r="AB12" i="11" s="1"/>
  <c r="AF13" i="11"/>
  <c r="AF43" i="11" s="1"/>
  <c r="AF12" i="11" s="1"/>
  <c r="AF14" i="10"/>
  <c r="AF44" i="10" s="1"/>
  <c r="AF12" i="10" s="1"/>
  <c r="AB44" i="10"/>
  <c r="AB12" i="10" s="1"/>
  <c r="AF13" i="12"/>
  <c r="AF44" i="12" s="1"/>
  <c r="AF12" i="12" s="1"/>
  <c r="AB44" i="12"/>
  <c r="AB12" i="12" s="1"/>
</calcChain>
</file>

<file path=xl/sharedStrings.xml><?xml version="1.0" encoding="utf-8"?>
<sst xmlns="http://schemas.openxmlformats.org/spreadsheetml/2006/main" count="862" uniqueCount="65">
  <si>
    <t>NOIR Cinemas - Unaizah</t>
  </si>
  <si>
    <t>Managed &amp; Operated by - Mukta A2 Cinemas</t>
  </si>
  <si>
    <t xml:space="preserve">Cinema </t>
  </si>
  <si>
    <t>Noir Cinema</t>
  </si>
  <si>
    <t>Financial</t>
  </si>
  <si>
    <t>2026 - 27</t>
  </si>
  <si>
    <t>Location</t>
  </si>
  <si>
    <t>Unaizah</t>
  </si>
  <si>
    <t>VAT</t>
  </si>
  <si>
    <t>Screens</t>
  </si>
  <si>
    <t>GCAM</t>
  </si>
  <si>
    <t>Seats</t>
  </si>
  <si>
    <t>Month</t>
  </si>
  <si>
    <t>Admits</t>
  </si>
  <si>
    <t>ATP</t>
  </si>
  <si>
    <t>OCC%</t>
  </si>
  <si>
    <t>GBO Rev</t>
  </si>
  <si>
    <t>G-Conc Rev</t>
  </si>
  <si>
    <t>SPH</t>
  </si>
  <si>
    <t>ASR</t>
  </si>
  <si>
    <t>Conversion</t>
  </si>
  <si>
    <t>COGS %</t>
  </si>
  <si>
    <t>Total Revenue</t>
  </si>
  <si>
    <t>YTD</t>
  </si>
  <si>
    <t>Budgeted</t>
  </si>
  <si>
    <t>-</t>
  </si>
  <si>
    <t>Achived %</t>
  </si>
  <si>
    <t>TOTAL</t>
  </si>
  <si>
    <t>NOIR Cinemas -Unaizah</t>
  </si>
  <si>
    <t>Date</t>
  </si>
  <si>
    <t>MTD</t>
  </si>
  <si>
    <t>Achieved %</t>
  </si>
  <si>
    <t>Unizah</t>
  </si>
  <si>
    <t>Financial Year</t>
  </si>
  <si>
    <t xml:space="preserve">Box Office </t>
  </si>
  <si>
    <t>Concession</t>
  </si>
  <si>
    <t>Total 
Box Office Revenue</t>
  </si>
  <si>
    <t>Total 
Concession Revenue</t>
  </si>
  <si>
    <t>Grand Total Revenue</t>
  </si>
  <si>
    <t>Day</t>
  </si>
  <si>
    <t>Total Shows</t>
  </si>
  <si>
    <t>Total Available Capacity</t>
  </si>
  <si>
    <t>Box Office
 Revenue</t>
  </si>
  <si>
    <t>Occ %</t>
  </si>
  <si>
    <t>VAT
(15%)</t>
  </si>
  <si>
    <t>Net BO Rev Before GCAM</t>
  </si>
  <si>
    <t>Net BO 
Rev After GCAM</t>
  </si>
  <si>
    <t>Concession 
Rev</t>
  </si>
  <si>
    <t>Transaction</t>
  </si>
  <si>
    <t>Net Concession Revenue</t>
  </si>
  <si>
    <t>Items Sold</t>
  </si>
  <si>
    <t>Concession Conversion %</t>
  </si>
  <si>
    <t>Concessions Standard Cost</t>
  </si>
  <si>
    <t>COGS</t>
  </si>
  <si>
    <t>Gross</t>
  </si>
  <si>
    <t>Nett</t>
  </si>
  <si>
    <t>TOTAL MTD</t>
  </si>
  <si>
    <t>Thursday</t>
  </si>
  <si>
    <t>`</t>
  </si>
  <si>
    <t>Friday</t>
  </si>
  <si>
    <t>Saturday</t>
  </si>
  <si>
    <t>Sunday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</si>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</sst>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 * #,##0.00\ ;\ * \(#,##0.00\);\ * \-#\ ;\ @\ "/>
    <numFmt numFmtId="165" formatCode="d\-mmm\-yy;@"/>
    <numFmt numFmtId="166" formatCode="0.0%"/>
    <numFmt numFmtId="167" formatCode="[$-409]mmm\-yy;@"/>
    <numFmt numFmtId="168" formatCode="#,##0.00\ ;&quot; (&quot;#,##0.00\);&quot; -&quot;#.00\ ;@\ "/>
    <numFmt numFmtId="169" formatCode="#,##0.00\ ;&quot; (&quot;#,##0.00\);&quot; -&quot;#.0\ ;@\ "/>
    <numFmt numFmtId="170" formatCode="0.00;[Red]0.00"/>
    <numFmt numFmtId="171" formatCode="0;[Red]0"/>
    <numFmt numFmtId="172" formatCode="#,##0\ ;&quot; (&quot;#,##0\);&quot; -&quot;#\ ;@\ "/>
    <numFmt numFmtId="173" formatCode="#,##0.000"/>
    <numFmt numFmtId="174" formatCode="#,##0.00\ ;&quot; (&quot;#,##0.00\);&quot; -&quot;#\ ;@\ "/>
  </numFmts>
  <fonts count="16" x14ac:knownFonts="1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E6AA00"/>
      </patternFill>
    </fill>
    <fill>
      <patternFill patternType="solid">
        <fgColor rgb="FF8E6900"/>
        <bgColor rgb="FF993300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E6AA00"/>
      </patternFill>
    </fill>
    <fill>
      <patternFill patternType="solid">
        <fgColor rgb="FFE6AA00"/>
        <bgColor rgb="FFFF9900"/>
      </patternFill>
    </fill>
    <fill>
      <patternFill patternType="solid">
        <fgColor rgb="FF92D050"/>
        <bgColor rgb="FFBFBFBF"/>
      </patternFill>
    </fill>
    <fill>
      <patternFill patternType="solid">
        <fgColor rgb="FF0C769E"/>
        <bgColor rgb="FF008080"/>
      </patternFill>
    </fill>
    <fill>
      <patternFill patternType="solid">
        <fgColor rgb="FFD9D9D9"/>
        <bgColor rgb="FFD0D0D0"/>
      </patternFill>
    </fill>
    <fill>
      <patternFill patternType="solid">
        <fgColor rgb="FFBFBFBF"/>
        <bgColor rgb="FFD0D0D0"/>
      </patternFill>
    </fill>
    <fill>
      <patternFill patternType="solid">
        <fgColor rgb="FFD0D0D0"/>
        <bgColor rgb="FFD9D9D9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5" fillId="2" borderId="0"/>
    <xf numFmtId="0" fontId="1" fillId="0" borderId="0"/>
  </cellStyleXfs>
  <cellXfs count="201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6" fillId="3" borderId="4" xfId="0" applyFont="1" applyFill="1" applyBorder="1" applyAlignment="1">
      <alignment horizontal="center" vertical="center" wrapText="1"/>
    </xf>
    <xf numFmtId="165" fontId="6" fillId="4" borderId="5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 wrapText="1"/>
    </xf>
    <xf numFmtId="4" fontId="7" fillId="4" borderId="5" xfId="0" applyNumberFormat="1" applyFont="1" applyFill="1" applyBorder="1" applyAlignment="1">
      <alignment horizontal="center" vertical="center"/>
    </xf>
    <xf numFmtId="10" fontId="7" fillId="4" borderId="5" xfId="0" applyNumberFormat="1" applyFont="1" applyFill="1" applyBorder="1" applyAlignment="1">
      <alignment horizontal="center"/>
    </xf>
    <xf numFmtId="3" fontId="7" fillId="4" borderId="5" xfId="0" applyNumberFormat="1" applyFont="1" applyFill="1" applyBorder="1" applyAlignment="1">
      <alignment horizontal="center" vertical="center"/>
    </xf>
    <xf numFmtId="9" fontId="7" fillId="4" borderId="5" xfId="0" applyNumberFormat="1" applyFont="1" applyFill="1" applyBorder="1" applyAlignment="1">
      <alignment horizontal="center"/>
    </xf>
    <xf numFmtId="2" fontId="7" fillId="4" borderId="5" xfId="0" applyNumberFormat="1" applyFont="1" applyFill="1" applyBorder="1" applyAlignment="1">
      <alignment horizontal="center" vertical="center"/>
    </xf>
    <xf numFmtId="4" fontId="8" fillId="4" borderId="5" xfId="0" applyNumberFormat="1" applyFont="1" applyFill="1" applyBorder="1" applyAlignment="1">
      <alignment horizontal="center" vertical="center"/>
    </xf>
    <xf numFmtId="3" fontId="8" fillId="4" borderId="5" xfId="0" applyNumberFormat="1" applyFont="1" applyFill="1" applyBorder="1" applyAlignment="1">
      <alignment horizontal="center" vertical="center"/>
    </xf>
    <xf numFmtId="166" fontId="9" fillId="4" borderId="5" xfId="0" applyNumberFormat="1" applyFont="1" applyFill="1" applyBorder="1" applyAlignment="1">
      <alignment horizontal="center"/>
    </xf>
    <xf numFmtId="4" fontId="9" fillId="4" borderId="5" xfId="0" applyNumberFormat="1" applyFont="1" applyFill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 wrapText="1"/>
    </xf>
    <xf numFmtId="4" fontId="1" fillId="5" borderId="6" xfId="0" applyNumberFormat="1" applyFont="1" applyFill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 wrapText="1"/>
    </xf>
    <xf numFmtId="168" fontId="1" fillId="0" borderId="6" xfId="0" applyNumberFormat="1" applyFont="1" applyBorder="1" applyAlignment="1">
      <alignment horizontal="center"/>
    </xf>
    <xf numFmtId="169" fontId="1" fillId="0" borderId="6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170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right"/>
    </xf>
    <xf numFmtId="167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2" fillId="0" borderId="0" xfId="2" applyFont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7" fontId="1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 wrapText="1"/>
    </xf>
    <xf numFmtId="0" fontId="6" fillId="3" borderId="7" xfId="0" applyFont="1" applyFill="1" applyBorder="1" applyAlignment="1">
      <alignment horizontal="center" vertical="center" wrapText="1"/>
    </xf>
    <xf numFmtId="165" fontId="6" fillId="4" borderId="7" xfId="0" applyNumberFormat="1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 wrapText="1"/>
    </xf>
    <xf numFmtId="4" fontId="7" fillId="4" borderId="7" xfId="0" applyNumberFormat="1" applyFont="1" applyFill="1" applyBorder="1" applyAlignment="1">
      <alignment horizontal="center" vertical="center"/>
    </xf>
    <xf numFmtId="166" fontId="6" fillId="4" borderId="7" xfId="0" applyNumberFormat="1" applyFont="1" applyFill="1" applyBorder="1" applyAlignment="1">
      <alignment horizontal="center" vertical="center" wrapText="1"/>
    </xf>
    <xf numFmtId="172" fontId="7" fillId="4" borderId="7" xfId="0" applyNumberFormat="1" applyFont="1" applyFill="1" applyBorder="1" applyAlignment="1">
      <alignment horizontal="center"/>
    </xf>
    <xf numFmtId="4" fontId="6" fillId="4" borderId="7" xfId="0" applyNumberFormat="1" applyFont="1" applyFill="1" applyBorder="1" applyAlignment="1">
      <alignment horizontal="center" vertical="center"/>
    </xf>
    <xf numFmtId="10" fontId="7" fillId="4" borderId="7" xfId="0" applyNumberFormat="1" applyFont="1" applyFill="1" applyBorder="1" applyAlignment="1">
      <alignment horizontal="center" vertical="center"/>
    </xf>
    <xf numFmtId="164" fontId="7" fillId="4" borderId="0" xfId="0" applyNumberFormat="1" applyFont="1" applyFill="1" applyAlignment="1">
      <alignment horizontal="center"/>
    </xf>
    <xf numFmtId="9" fontId="6" fillId="4" borderId="7" xfId="0" applyNumberFormat="1" applyFont="1" applyFill="1" applyBorder="1" applyAlignment="1">
      <alignment horizontal="center" vertical="center"/>
    </xf>
    <xf numFmtId="165" fontId="9" fillId="4" borderId="7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4" fontId="8" fillId="4" borderId="7" xfId="0" applyNumberFormat="1" applyFont="1" applyFill="1" applyBorder="1" applyAlignment="1">
      <alignment horizontal="center" vertical="center"/>
    </xf>
    <xf numFmtId="9" fontId="9" fillId="4" borderId="7" xfId="0" applyNumberFormat="1" applyFont="1" applyFill="1" applyBorder="1" applyAlignment="1">
      <alignment horizontal="center" vertical="center" wrapText="1"/>
    </xf>
    <xf numFmtId="172" fontId="8" fillId="4" borderId="7" xfId="0" applyNumberFormat="1" applyFont="1" applyFill="1" applyBorder="1" applyAlignment="1">
      <alignment horizontal="center"/>
    </xf>
    <xf numFmtId="172" fontId="9" fillId="4" borderId="7" xfId="0" applyNumberFormat="1" applyFont="1" applyFill="1" applyBorder="1" applyAlignment="1">
      <alignment horizontal="center" vertical="center"/>
    </xf>
    <xf numFmtId="172" fontId="8" fillId="4" borderId="7" xfId="0" applyNumberFormat="1" applyFont="1" applyFill="1" applyBorder="1" applyAlignment="1">
      <alignment horizontal="center" vertical="center"/>
    </xf>
    <xf numFmtId="9" fontId="8" fillId="4" borderId="5" xfId="0" applyNumberFormat="1" applyFont="1" applyFill="1" applyBorder="1" applyAlignment="1">
      <alignment horizontal="center"/>
    </xf>
    <xf numFmtId="9" fontId="9" fillId="4" borderId="5" xfId="0" applyNumberFormat="1" applyFont="1" applyFill="1" applyBorder="1" applyAlignment="1">
      <alignment horizontal="center" vertical="center" wrapText="1"/>
    </xf>
    <xf numFmtId="10" fontId="8" fillId="4" borderId="5" xfId="0" applyNumberFormat="1" applyFont="1" applyFill="1" applyBorder="1" applyAlignment="1">
      <alignment horizontal="center" vertical="center"/>
    </xf>
    <xf numFmtId="9" fontId="9" fillId="4" borderId="5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4" fontId="2" fillId="5" borderId="6" xfId="0" applyNumberFormat="1" applyFont="1" applyFill="1" applyBorder="1" applyAlignment="1">
      <alignment horizontal="center" vertical="center"/>
    </xf>
    <xf numFmtId="166" fontId="2" fillId="5" borderId="6" xfId="0" applyNumberFormat="1" applyFont="1" applyFill="1" applyBorder="1" applyAlignment="1">
      <alignment horizontal="center" vertical="center" wrapText="1"/>
    </xf>
    <xf numFmtId="168" fontId="2" fillId="5" borderId="6" xfId="0" applyNumberFormat="1" applyFont="1" applyFill="1" applyBorder="1" applyAlignment="1">
      <alignment horizontal="center"/>
    </xf>
    <xf numFmtId="169" fontId="2" fillId="5" borderId="6" xfId="0" applyNumberFormat="1" applyFont="1" applyFill="1" applyBorder="1" applyAlignment="1">
      <alignment horizontal="center"/>
    </xf>
    <xf numFmtId="10" fontId="2" fillId="5" borderId="6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vertical="center"/>
    </xf>
    <xf numFmtId="9" fontId="2" fillId="5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2" fontId="2" fillId="10" borderId="1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10" fontId="7" fillId="4" borderId="1" xfId="0" applyNumberFormat="1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10" borderId="1" xfId="0" applyNumberFormat="1" applyFont="1" applyFill="1" applyBorder="1" applyAlignment="1">
      <alignment horizontal="center" vertical="center"/>
    </xf>
    <xf numFmtId="9" fontId="1" fillId="10" borderId="1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0" fontId="1" fillId="10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73" fontId="1" fillId="10" borderId="1" xfId="0" applyNumberFormat="1" applyFont="1" applyFill="1" applyBorder="1" applyAlignment="1">
      <alignment horizontal="center" vertical="center"/>
    </xf>
    <xf numFmtId="4" fontId="1" fillId="10" borderId="2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4" fontId="2" fillId="10" borderId="1" xfId="0" applyNumberFormat="1" applyFont="1" applyFill="1" applyBorder="1" applyAlignment="1">
      <alignment horizontal="center" vertical="center"/>
    </xf>
    <xf numFmtId="9" fontId="2" fillId="10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74" fontId="2" fillId="10" borderId="1" xfId="0" applyNumberFormat="1" applyFont="1" applyFill="1" applyBorder="1" applyAlignment="1">
      <alignment horizontal="center" vertical="center"/>
    </xf>
    <xf numFmtId="3" fontId="2" fillId="10" borderId="1" xfId="0" applyNumberFormat="1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4" fontId="2" fillId="10" borderId="2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64" fontId="1" fillId="12" borderId="2" xfId="0" applyNumberFormat="1" applyFont="1" applyFill="1" applyBorder="1" applyAlignment="1">
      <alignment horizontal="center" vertical="center"/>
    </xf>
    <xf numFmtId="2" fontId="1" fillId="10" borderId="1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0" borderId="1" xfId="2" applyBorder="1" applyAlignment="1">
      <alignment horizontal="center" vertical="center"/>
    </xf>
    <xf numFmtId="164" fontId="1" fillId="0" borderId="1" xfId="2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71" fontId="11" fillId="0" borderId="1" xfId="0" applyNumberFormat="1" applyFont="1" applyBorder="1" applyAlignment="1">
      <alignment horizontal="center" vertical="center" wrapText="1"/>
    </xf>
    <xf numFmtId="17" fontId="11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0" borderId="8" xfId="0" applyBorder="1"/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" fontId="14" fillId="0" borderId="1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3">
    <cellStyle name="cf1" xfId="1" xr:uid="{00000000-0005-0000-0000-000006000000}"/>
    <cellStyle name="Excel Built-in Normal" xfId="2" xr:uid="{00000000-0005-0000-0000-000007000000}"/>
    <cellStyle name="Normal" xfId="0" builtinId="0"/>
  </cellStyles>
  <dxfs count="7"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900"/>
      <rgbColor rgb="FF800080"/>
      <rgbColor rgb="FF0C769E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E6AA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28440</xdr:colOff>
      <xdr:row>0</xdr:row>
      <xdr:rowOff>123840</xdr:rowOff>
    </xdr:from>
    <xdr:to>
      <xdr:col>2</xdr:col>
      <xdr:colOff>12960</xdr:colOff>
      <xdr:row>3</xdr:row>
      <xdr:rowOff>148320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408960" y="123840"/>
          <a:ext cx="936360" cy="67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190440</xdr:colOff>
      <xdr:row>1</xdr:row>
      <xdr:rowOff>9360</xdr:rowOff>
    </xdr:from>
    <xdr:to>
      <xdr:col>11</xdr:col>
      <xdr:colOff>661680</xdr:colOff>
      <xdr:row>2</xdr:row>
      <xdr:rowOff>86400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137520" y="199800"/>
          <a:ext cx="1423080" cy="343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28440</xdr:colOff>
      <xdr:row>0</xdr:row>
      <xdr:rowOff>66600</xdr:rowOff>
    </xdr:from>
    <xdr:to>
      <xdr:col>2</xdr:col>
      <xdr:colOff>142560</xdr:colOff>
      <xdr:row>3</xdr:row>
      <xdr:rowOff>169920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257040" y="66600"/>
          <a:ext cx="1065960" cy="750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227160</xdr:colOff>
      <xdr:row>1</xdr:row>
      <xdr:rowOff>55800</xdr:rowOff>
    </xdr:from>
    <xdr:to>
      <xdr:col>10</xdr:col>
      <xdr:colOff>700920</xdr:colOff>
      <xdr:row>2</xdr:row>
      <xdr:rowOff>127440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134920" y="246240"/>
          <a:ext cx="1425600" cy="33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76320</xdr:colOff>
      <xdr:row>0</xdr:row>
      <xdr:rowOff>47520</xdr:rowOff>
    </xdr:from>
    <xdr:to>
      <xdr:col>2</xdr:col>
      <xdr:colOff>83160</xdr:colOff>
      <xdr:row>3</xdr:row>
      <xdr:rowOff>164520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304920" y="47520"/>
          <a:ext cx="1086480" cy="76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114480</xdr:colOff>
      <xdr:row>1</xdr:row>
      <xdr:rowOff>19080</xdr:rowOff>
    </xdr:from>
    <xdr:to>
      <xdr:col>12</xdr:col>
      <xdr:colOff>559440</xdr:colOff>
      <xdr:row>2</xdr:row>
      <xdr:rowOff>96120</xdr:rowOff>
    </xdr:to>
    <xdr:pic>
      <xdr:nvPicPr>
        <xdr:cNvPr id="5" name="Picture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279360" y="209520"/>
          <a:ext cx="1410120" cy="343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28440</xdr:colOff>
      <xdr:row>0</xdr:row>
      <xdr:rowOff>38160</xdr:rowOff>
    </xdr:from>
    <xdr:to>
      <xdr:col>2</xdr:col>
      <xdr:colOff>35280</xdr:colOff>
      <xdr:row>3</xdr:row>
      <xdr:rowOff>155160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257040" y="38160"/>
          <a:ext cx="1086480" cy="76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102960</xdr:colOff>
      <xdr:row>1</xdr:row>
      <xdr:rowOff>15120</xdr:rowOff>
    </xdr:from>
    <xdr:to>
      <xdr:col>12</xdr:col>
      <xdr:colOff>632880</xdr:colOff>
      <xdr:row>2</xdr:row>
      <xdr:rowOff>92160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267840" y="205560"/>
          <a:ext cx="1456920" cy="343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28440</xdr:colOff>
      <xdr:row>0</xdr:row>
      <xdr:rowOff>38160</xdr:rowOff>
    </xdr:from>
    <xdr:to>
      <xdr:col>2</xdr:col>
      <xdr:colOff>371520</xdr:colOff>
      <xdr:row>4</xdr:row>
      <xdr:rowOff>53640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257040" y="38160"/>
          <a:ext cx="1422720" cy="853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102960</xdr:colOff>
      <xdr:row>1</xdr:row>
      <xdr:rowOff>15120</xdr:rowOff>
    </xdr:from>
    <xdr:to>
      <xdr:col>13</xdr:col>
      <xdr:colOff>541440</xdr:colOff>
      <xdr:row>2</xdr:row>
      <xdr:rowOff>174600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345960" y="205560"/>
          <a:ext cx="2305440" cy="426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28440</xdr:colOff>
      <xdr:row>0</xdr:row>
      <xdr:rowOff>38160</xdr:rowOff>
    </xdr:from>
    <xdr:to>
      <xdr:col>3</xdr:col>
      <xdr:colOff>219240</xdr:colOff>
      <xdr:row>4</xdr:row>
      <xdr:rowOff>136080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257040" y="38160"/>
          <a:ext cx="2324520" cy="936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102960</xdr:colOff>
      <xdr:row>1</xdr:row>
      <xdr:rowOff>15120</xdr:rowOff>
    </xdr:from>
    <xdr:to>
      <xdr:col>16</xdr:col>
      <xdr:colOff>71640</xdr:colOff>
      <xdr:row>3</xdr:row>
      <xdr:rowOff>73080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345960" y="205560"/>
          <a:ext cx="3713400" cy="51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66600</xdr:colOff>
      <xdr:row>0</xdr:row>
      <xdr:rowOff>104760</xdr:rowOff>
    </xdr:from>
    <xdr:to>
      <xdr:col>1</xdr:col>
      <xdr:colOff>767880</xdr:colOff>
      <xdr:row>3</xdr:row>
      <xdr:rowOff>122760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295200" y="104760"/>
          <a:ext cx="701280" cy="66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409680</xdr:colOff>
      <xdr:row>1</xdr:row>
      <xdr:rowOff>66600</xdr:rowOff>
    </xdr:from>
    <xdr:to>
      <xdr:col>11</xdr:col>
      <xdr:colOff>264240</xdr:colOff>
      <xdr:row>2</xdr:row>
      <xdr:rowOff>141120</xdr:rowOff>
    </xdr:to>
    <xdr:pic>
      <xdr:nvPicPr>
        <xdr:cNvPr id="13" name="Picture 6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74640" y="257040"/>
          <a:ext cx="1632600" cy="34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66600</xdr:colOff>
      <xdr:row>0</xdr:row>
      <xdr:rowOff>104760</xdr:rowOff>
    </xdr:from>
    <xdr:to>
      <xdr:col>1</xdr:col>
      <xdr:colOff>767880</xdr:colOff>
      <xdr:row>3</xdr:row>
      <xdr:rowOff>122760</xdr:rowOff>
    </xdr:to>
    <xdr:pic>
      <xdr:nvPicPr>
        <xdr:cNvPr id="14" name="Picture 5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295200" y="104760"/>
          <a:ext cx="701280" cy="66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409680</xdr:colOff>
      <xdr:row>1</xdr:row>
      <xdr:rowOff>66600</xdr:rowOff>
    </xdr:from>
    <xdr:to>
      <xdr:col>11</xdr:col>
      <xdr:colOff>264240</xdr:colOff>
      <xdr:row>2</xdr:row>
      <xdr:rowOff>141120</xdr:rowOff>
    </xdr:to>
    <xdr:pic>
      <xdr:nvPicPr>
        <xdr:cNvPr id="15" name="Picture 6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74640" y="257040"/>
          <a:ext cx="1632600" cy="34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66600</xdr:colOff>
      <xdr:row>0</xdr:row>
      <xdr:rowOff>104760</xdr:rowOff>
    </xdr:from>
    <xdr:to>
      <xdr:col>1</xdr:col>
      <xdr:colOff>767880</xdr:colOff>
      <xdr:row>3</xdr:row>
      <xdr:rowOff>122760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295200" y="104760"/>
          <a:ext cx="701280" cy="66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600180</xdr:colOff>
      <xdr:row>3</xdr:row>
      <xdr:rowOff>95175</xdr:rowOff>
    </xdr:from>
    <xdr:to>
      <xdr:col>12</xdr:col>
      <xdr:colOff>349965</xdr:colOff>
      <xdr:row>5</xdr:row>
      <xdr:rowOff>64920</xdr:rowOff>
    </xdr:to>
    <xdr:pic>
      <xdr:nvPicPr>
        <xdr:cNvPr id="17" name="Picture 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848580" y="742875"/>
          <a:ext cx="1188060" cy="3412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66600</xdr:colOff>
      <xdr:row>0</xdr:row>
      <xdr:rowOff>104760</xdr:rowOff>
    </xdr:from>
    <xdr:to>
      <xdr:col>1</xdr:col>
      <xdr:colOff>767880</xdr:colOff>
      <xdr:row>3</xdr:row>
      <xdr:rowOff>122760</xdr:rowOff>
    </xdr:to>
    <xdr:pic>
      <xdr:nvPicPr>
        <xdr:cNvPr id="14" name="Picture 5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/>
      </xdr:nvPicPr>
      <xdr:blipFill>
        <a:blip xmlns:r="http://schemas.openxmlformats.org/officeDocument/2006/relationships" r:embed="rId1"/>
        <a:srcRect l="8248" t="8476" r="7223" b="9648"/>
        <a:stretch/>
      </xdr:blipFill>
      <xdr:spPr>
        <a:xfrm>
          <a:off x="295200" y="104760"/>
          <a:ext cx="701280" cy="66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409680</xdr:colOff>
      <xdr:row>1</xdr:row>
      <xdr:rowOff>66600</xdr:rowOff>
    </xdr:from>
    <xdr:to>
      <xdr:col>11</xdr:col>
      <xdr:colOff>264240</xdr:colOff>
      <xdr:row>2</xdr:row>
      <xdr:rowOff>141120</xdr:rowOff>
    </xdr:to>
    <xdr:pic>
      <xdr:nvPicPr>
        <xdr:cNvPr id="15" name="Picture 6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74640" y="257040"/>
          <a:ext cx="1632600" cy="341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zoomScale="101" zoomScaleNormal="101" workbookViewId="0">
      <selection activeCell="E31" sqref="E31"/>
    </sheetView>
  </sheetViews>
  <sheetFormatPr defaultColWidth="9.140625" defaultRowHeight="15" x14ac:dyDescent="0.25"/>
  <cols>
    <col min="1" max="1" width="4.28515625" style="4" customWidth="1"/>
    <col min="2" max="10" width="10.7109375" style="4" customWidth="1"/>
    <col min="11" max="12" width="10.7109375" style="5" customWidth="1"/>
    <col min="13" max="13" width="9.140625" style="4"/>
    <col min="14" max="15" width="9.85546875" style="4" customWidth="1"/>
    <col min="16" max="16384" width="9.140625" style="4"/>
  </cols>
  <sheetData>
    <row r="1" spans="2:14" ht="15" customHeight="1" x14ac:dyDescent="0.25">
      <c r="B1" s="6"/>
      <c r="C1" s="6"/>
      <c r="D1" s="6"/>
      <c r="E1" s="6"/>
      <c r="F1" s="6"/>
      <c r="G1" s="6"/>
      <c r="H1" s="6"/>
      <c r="I1" s="7"/>
      <c r="J1" s="6"/>
      <c r="K1" s="8"/>
      <c r="L1" s="9"/>
    </row>
    <row r="2" spans="2:14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</row>
    <row r="3" spans="2:14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</row>
    <row r="4" spans="2:14" ht="15" customHeight="1" x14ac:dyDescent="0.25">
      <c r="B4" s="10"/>
      <c r="C4" s="10"/>
      <c r="D4" s="10"/>
      <c r="E4" s="10"/>
      <c r="F4" s="10"/>
      <c r="G4" s="10"/>
      <c r="H4" s="10"/>
      <c r="I4" s="10"/>
      <c r="J4" s="10"/>
      <c r="K4" s="3"/>
      <c r="L4" s="3"/>
    </row>
    <row r="5" spans="2:14" ht="14.25" customHeight="1" x14ac:dyDescent="0.25">
      <c r="B5" s="174" t="s">
        <v>2</v>
      </c>
      <c r="C5" s="174"/>
      <c r="D5" s="179" t="s">
        <v>3</v>
      </c>
      <c r="E5" s="179"/>
      <c r="F5" s="6"/>
      <c r="G5" s="6"/>
      <c r="H5" s="6"/>
      <c r="I5" s="7"/>
      <c r="J5" s="7"/>
      <c r="K5" s="11" t="s">
        <v>4</v>
      </c>
      <c r="L5" s="12" t="s">
        <v>5</v>
      </c>
    </row>
    <row r="6" spans="2:14" ht="14.25" customHeight="1" x14ac:dyDescent="0.25">
      <c r="B6" s="174" t="s">
        <v>6</v>
      </c>
      <c r="C6" s="174"/>
      <c r="D6" s="179" t="s">
        <v>7</v>
      </c>
      <c r="E6" s="179"/>
      <c r="F6" s="6"/>
      <c r="G6" s="6"/>
      <c r="H6" s="6"/>
      <c r="I6" s="7"/>
      <c r="J6" s="7"/>
      <c r="K6" s="11" t="s">
        <v>8</v>
      </c>
      <c r="L6" s="13">
        <v>0.15</v>
      </c>
    </row>
    <row r="7" spans="2:14" ht="14.25" customHeight="1" x14ac:dyDescent="0.25">
      <c r="B7" s="174" t="s">
        <v>9</v>
      </c>
      <c r="C7" s="174"/>
      <c r="D7" s="175">
        <v>4</v>
      </c>
      <c r="E7" s="175"/>
      <c r="F7" s="6"/>
      <c r="G7" s="6"/>
      <c r="H7" s="6"/>
      <c r="I7" s="7"/>
      <c r="J7" s="7"/>
      <c r="K7" s="2" t="s">
        <v>10</v>
      </c>
      <c r="L7" s="13">
        <v>0.1</v>
      </c>
    </row>
    <row r="8" spans="2:14" ht="14.25" customHeight="1" x14ac:dyDescent="0.25">
      <c r="B8" s="174" t="s">
        <v>11</v>
      </c>
      <c r="C8" s="174"/>
      <c r="D8" s="175">
        <v>238</v>
      </c>
      <c r="E8" s="175"/>
      <c r="F8" s="6"/>
      <c r="G8" s="6"/>
      <c r="H8" s="6"/>
      <c r="I8" s="7"/>
      <c r="J8" s="7"/>
      <c r="K8" s="2"/>
      <c r="L8" s="13"/>
    </row>
    <row r="9" spans="2:14" ht="15" customHeight="1" x14ac:dyDescent="0.25">
      <c r="B9" s="176"/>
      <c r="C9" s="176"/>
      <c r="D9" s="176"/>
      <c r="E9" s="176"/>
      <c r="F9" s="14"/>
      <c r="G9" s="14"/>
      <c r="H9" s="6"/>
      <c r="I9" s="7"/>
      <c r="J9" s="6"/>
      <c r="K9" s="8"/>
      <c r="L9" s="9"/>
    </row>
    <row r="10" spans="2:14" ht="28.5" customHeight="1" x14ac:dyDescent="0.25">
      <c r="B10" s="15" t="s">
        <v>12</v>
      </c>
      <c r="C10" s="15" t="s">
        <v>13</v>
      </c>
      <c r="D10" s="15" t="s">
        <v>14</v>
      </c>
      <c r="E10" s="15" t="s">
        <v>15</v>
      </c>
      <c r="F10" s="15" t="s">
        <v>16</v>
      </c>
      <c r="G10" s="15" t="s">
        <v>17</v>
      </c>
      <c r="H10" s="15" t="s">
        <v>18</v>
      </c>
      <c r="I10" s="15" t="s">
        <v>19</v>
      </c>
      <c r="J10" s="15" t="s">
        <v>20</v>
      </c>
      <c r="K10" s="15" t="s">
        <v>21</v>
      </c>
      <c r="L10" s="15" t="s">
        <v>22</v>
      </c>
    </row>
    <row r="11" spans="2:14" ht="15" customHeight="1" x14ac:dyDescent="0.25">
      <c r="B11" s="16" t="s">
        <v>23</v>
      </c>
      <c r="C11" s="17">
        <f>C26</f>
        <v>23849</v>
      </c>
      <c r="D11" s="18">
        <f>+D26</f>
        <v>31.123242064656797</v>
      </c>
      <c r="E11" s="19">
        <f>E26</f>
        <v>0</v>
      </c>
      <c r="F11" s="20">
        <f>+F26</f>
        <v>742258.2</v>
      </c>
      <c r="G11" s="20">
        <f>+G26</f>
        <v>375587.7</v>
      </c>
      <c r="H11" s="18">
        <f>+H26</f>
        <v>15.748572267181014</v>
      </c>
      <c r="I11" s="21">
        <f>I26</f>
        <v>0</v>
      </c>
      <c r="J11" s="22">
        <f>J26</f>
        <v>0</v>
      </c>
      <c r="K11" s="21">
        <f>K26</f>
        <v>0</v>
      </c>
      <c r="L11" s="20">
        <f>+L26</f>
        <v>1117845.8999999999</v>
      </c>
    </row>
    <row r="12" spans="2:14" ht="15" customHeight="1" x14ac:dyDescent="0.25">
      <c r="B12" s="23" t="s">
        <v>24</v>
      </c>
      <c r="C12" s="24">
        <v>31000</v>
      </c>
      <c r="D12" s="24" t="s">
        <v>25</v>
      </c>
      <c r="E12" s="24" t="s">
        <v>25</v>
      </c>
      <c r="F12" s="24">
        <v>1038500</v>
      </c>
      <c r="G12" s="24">
        <v>744000</v>
      </c>
      <c r="H12" s="23" t="s">
        <v>25</v>
      </c>
      <c r="I12" s="23" t="s">
        <v>25</v>
      </c>
      <c r="J12" s="23" t="s">
        <v>25</v>
      </c>
      <c r="K12" s="23" t="s">
        <v>25</v>
      </c>
      <c r="L12" s="24">
        <f>F12+G12</f>
        <v>1782500</v>
      </c>
    </row>
    <row r="13" spans="2:14" ht="15" customHeight="1" x14ac:dyDescent="0.25">
      <c r="B13" s="23" t="s">
        <v>26</v>
      </c>
      <c r="C13" s="25">
        <f>C11/C12</f>
        <v>0.76932258064516124</v>
      </c>
      <c r="D13" s="26" t="s">
        <v>25</v>
      </c>
      <c r="E13" s="26" t="s">
        <v>25</v>
      </c>
      <c r="F13" s="25">
        <f>F11/F12</f>
        <v>0.71474068367838228</v>
      </c>
      <c r="G13" s="25">
        <f>G11/G12</f>
        <v>0.50482217741935487</v>
      </c>
      <c r="H13" s="26" t="e">
        <f>H11/H12</f>
        <v>#VALUE!</v>
      </c>
      <c r="I13" s="26" t="s">
        <v>25</v>
      </c>
      <c r="J13" s="26" t="s">
        <v>25</v>
      </c>
      <c r="K13" s="26" t="s">
        <v>25</v>
      </c>
      <c r="L13" s="25">
        <f>L11/L12</f>
        <v>0.62712252454417949</v>
      </c>
    </row>
    <row r="14" spans="2:14" ht="15" customHeight="1" x14ac:dyDescent="0.25">
      <c r="B14" s="27">
        <v>46023</v>
      </c>
      <c r="C14" s="28">
        <f>'Jan 2026'!G44</f>
        <v>1265</v>
      </c>
      <c r="D14" s="29">
        <f>'Jan 2026'!I44</f>
        <v>33.501976284584977</v>
      </c>
      <c r="E14" s="30">
        <f>'Jan 2026'!J44</f>
        <v>3.8119632364019891E-2</v>
      </c>
      <c r="F14" s="31">
        <f>'Jan 2026'!H44</f>
        <v>42380</v>
      </c>
      <c r="G14" s="32">
        <f>'Jan 2026'!P44</f>
        <v>22104</v>
      </c>
      <c r="H14" s="33">
        <f>'Jan 2026'!Q44</f>
        <v>17.473517786561263</v>
      </c>
      <c r="I14" s="34">
        <f>'Jan 2026'!S44</f>
        <v>0.52964426877470361</v>
      </c>
      <c r="J14" s="35">
        <f>'Jan 2026'!W44</f>
        <v>1.1272727272727272</v>
      </c>
      <c r="K14" s="36">
        <f>'Jan 2026'!Y44</f>
        <v>0.19954216431415131</v>
      </c>
      <c r="L14" s="32">
        <f t="shared" ref="L14:L25" si="0">F14+G14</f>
        <v>64484</v>
      </c>
    </row>
    <row r="15" spans="2:14" ht="15" customHeight="1" x14ac:dyDescent="0.25">
      <c r="B15" s="27">
        <v>46054</v>
      </c>
      <c r="C15" s="28">
        <f>'Feb 2026'!G41</f>
        <v>462</v>
      </c>
      <c r="D15" s="29">
        <f>'Feb 2026'!I41</f>
        <v>27.277056277056278</v>
      </c>
      <c r="E15" s="30">
        <f>'Feb 2026'!J41</f>
        <v>2.1174205967276226E-2</v>
      </c>
      <c r="F15" s="31">
        <f>'Feb 2026'!H41</f>
        <v>12602</v>
      </c>
      <c r="G15" s="32">
        <f>'Feb 2026'!P41</f>
        <v>12145.779999999999</v>
      </c>
      <c r="H15" s="33">
        <f>'Feb 2026'!Q41</f>
        <v>26.289567099567098</v>
      </c>
      <c r="I15" s="34">
        <f>'Feb 2026'!S41</f>
        <v>0.80519480519480524</v>
      </c>
      <c r="J15" s="37">
        <f>'Feb 2026'!W41</f>
        <v>1.5389610389610389</v>
      </c>
      <c r="K15" s="36">
        <f>'Feb 2026'!Y41</f>
        <v>0.1915290742957636</v>
      </c>
      <c r="L15" s="32">
        <f t="shared" si="0"/>
        <v>24747.78</v>
      </c>
    </row>
    <row r="16" spans="2:14" ht="15" customHeight="1" x14ac:dyDescent="0.25">
      <c r="B16" s="27">
        <v>46082</v>
      </c>
      <c r="C16" s="38">
        <f>'Mar2026'!G44</f>
        <v>3809</v>
      </c>
      <c r="D16" s="29">
        <f>'Mar2026'!I44</f>
        <v>33.756366500393803</v>
      </c>
      <c r="E16" s="30">
        <f>'Mar2026'!J44</f>
        <v>0.1554313229413205</v>
      </c>
      <c r="F16" s="31">
        <f>'Mar2026'!H44</f>
        <v>128578</v>
      </c>
      <c r="G16" s="32">
        <f>'Mar2026'!P44</f>
        <v>68528</v>
      </c>
      <c r="H16" s="33">
        <f>'Mar2026'!Q44</f>
        <v>17.991073772643738</v>
      </c>
      <c r="I16" s="34">
        <f>'Mar2026'!S44</f>
        <v>0.40535573641375688</v>
      </c>
      <c r="J16" s="37">
        <f>'Mar2026'!W44</f>
        <v>0.93279075872932526</v>
      </c>
      <c r="K16" s="36">
        <f>'Mar2026'!Y44</f>
        <v>0.18068234882091991</v>
      </c>
      <c r="L16" s="32">
        <f t="shared" si="0"/>
        <v>197106</v>
      </c>
      <c r="N16" s="39"/>
    </row>
    <row r="17" spans="2:12" ht="15" customHeight="1" x14ac:dyDescent="0.25">
      <c r="B17" s="40">
        <v>46113</v>
      </c>
      <c r="C17" s="41">
        <f>'Apr2026'!G44</f>
        <v>3689</v>
      </c>
      <c r="D17" s="42">
        <f>'Apr2026'!I44</f>
        <v>33.479750609921389</v>
      </c>
      <c r="E17" s="43">
        <f>'Apr2026'!J44</f>
        <v>0.10655998151304197</v>
      </c>
      <c r="F17" s="44">
        <f>'Apr2026'!H44</f>
        <v>123506.8</v>
      </c>
      <c r="G17" s="45">
        <f>'Apr2026'!P44</f>
        <v>50049.53</v>
      </c>
      <c r="H17" s="46">
        <f>'Apr2026'!Q44</f>
        <v>13.567235023041475</v>
      </c>
      <c r="I17" s="47">
        <f>'Apr2026'!S44</f>
        <v>0.32176741664407699</v>
      </c>
      <c r="J17" s="48">
        <f>'Apr2026'!W44</f>
        <v>0.70777988614800758</v>
      </c>
      <c r="K17" s="49">
        <f>'Apr2026'!Y44</f>
        <v>0.17203418293838127</v>
      </c>
      <c r="L17" s="45">
        <f t="shared" si="0"/>
        <v>173556.33000000002</v>
      </c>
    </row>
    <row r="18" spans="2:12" ht="15" customHeight="1" x14ac:dyDescent="0.25">
      <c r="B18" s="40">
        <v>46143</v>
      </c>
      <c r="C18" s="50">
        <f>'May 2026'!G44</f>
        <v>4122</v>
      </c>
      <c r="D18" s="42">
        <f>'May 2026'!I44</f>
        <v>33.418529839883547</v>
      </c>
      <c r="E18" s="43">
        <f>'May 2026'!J44</f>
        <v>0.12690495982266556</v>
      </c>
      <c r="F18" s="44">
        <f>'May 2026'!H44</f>
        <v>137751.18</v>
      </c>
      <c r="G18" s="45">
        <f>'May 2026'!P44</f>
        <v>53778.71</v>
      </c>
      <c r="H18" s="46">
        <f>'May 2026'!Q44</f>
        <v>13.046751576904414</v>
      </c>
      <c r="I18" s="47">
        <f>'May 2026'!S44</f>
        <v>0.33357593401261526</v>
      </c>
      <c r="J18" s="48">
        <f>'May 2026'!W44</f>
        <v>0.63731198447355653</v>
      </c>
      <c r="K18" s="49">
        <f>'May 2026'!Y44</f>
        <v>0.19948451720020804</v>
      </c>
      <c r="L18" s="45">
        <f t="shared" si="0"/>
        <v>191529.88999999998</v>
      </c>
    </row>
    <row r="19" spans="2:12" ht="15" customHeight="1" x14ac:dyDescent="0.25">
      <c r="B19" s="27">
        <v>46174</v>
      </c>
      <c r="C19" s="51">
        <f>'Jun 2026'!G44</f>
        <v>1990</v>
      </c>
      <c r="D19" s="29">
        <f>'Jun 2026'!I44</f>
        <v>26.338693467336682</v>
      </c>
      <c r="E19" s="30">
        <f>'Jun 2026'!J44</f>
        <v>5.9757965226269479E-2</v>
      </c>
      <c r="F19" s="31">
        <f>'Jun 2026'!H44</f>
        <v>52414</v>
      </c>
      <c r="G19" s="32">
        <f>'Jun 2026'!P44</f>
        <v>36984.270000000004</v>
      </c>
      <c r="H19" s="33">
        <f>'Jun 2026'!Q44</f>
        <v>18.585060301507539</v>
      </c>
      <c r="I19" s="34">
        <f>'Jun 2026'!S44</f>
        <v>0.43567839195979902</v>
      </c>
      <c r="J19" s="37">
        <f>'Jun 2026'!W44</f>
        <v>0.90552763819095472</v>
      </c>
      <c r="K19" s="36">
        <f>'Jun 2026'!Y44</f>
        <v>0.19599954250820686</v>
      </c>
      <c r="L19" s="32">
        <f t="shared" si="0"/>
        <v>89398.27</v>
      </c>
    </row>
    <row r="20" spans="2:12" ht="15" customHeight="1" x14ac:dyDescent="0.25">
      <c r="B20" s="27">
        <v>46204</v>
      </c>
      <c r="C20" s="51">
        <f>'Jul 2026'!G44</f>
        <v>2303</v>
      </c>
      <c r="D20" s="29">
        <f>'Jul 2026'!I44</f>
        <v>22.201259227095093</v>
      </c>
      <c r="E20" s="30">
        <f>'Jul 2026'!J44</f>
        <v>6.5398267783614933E-2</v>
      </c>
      <c r="F20" s="31">
        <f>'Jul 2026'!H44</f>
        <v>51129.5</v>
      </c>
      <c r="G20" s="32">
        <f>'Jul 2026'!P44</f>
        <v>46102.47</v>
      </c>
      <c r="H20" s="33">
        <f>'Jul 2026'!Q44</f>
        <v>20.018441163699524</v>
      </c>
      <c r="I20" s="34">
        <f>'Jul 2026'!S44</f>
        <v>0.44767694311767259</v>
      </c>
      <c r="J20" s="37">
        <f>'Jul 2026'!W44</f>
        <v>0.93617021276595747</v>
      </c>
      <c r="K20" s="36">
        <f>'Jul 2026'!Y44</f>
        <v>0.19380176376667019</v>
      </c>
      <c r="L20" s="32">
        <f t="shared" si="0"/>
        <v>97231.97</v>
      </c>
    </row>
    <row r="21" spans="2:12" ht="15" customHeight="1" x14ac:dyDescent="0.25">
      <c r="B21" s="27">
        <v>46235</v>
      </c>
      <c r="C21" s="51">
        <f>'Aug 2026'!G44</f>
        <v>4624</v>
      </c>
      <c r="D21" s="29">
        <f>'Aug 2026'!I44</f>
        <v>30.719446366782009</v>
      </c>
      <c r="E21" s="30">
        <f>'Aug 2026'!J44</f>
        <v>0.13881300471315783</v>
      </c>
      <c r="F21" s="31">
        <f>'Aug 2026'!H44</f>
        <v>142046.72</v>
      </c>
      <c r="G21" s="32">
        <f>'Aug 2026'!P44</f>
        <v>60976.94</v>
      </c>
      <c r="H21" s="33">
        <f>'Aug 2026'!Q44</f>
        <v>13.187054498269896</v>
      </c>
      <c r="I21" s="34">
        <f>'Aug 2026'!S44</f>
        <v>0.33001730103806226</v>
      </c>
      <c r="J21" s="37">
        <f>'Aug 2026'!W44</f>
        <v>0.5726643598615917</v>
      </c>
      <c r="K21" s="36">
        <f>'Aug 2026'!Y44</f>
        <v>0.1864386766538301</v>
      </c>
      <c r="L21" s="32">
        <f t="shared" si="0"/>
        <v>203023.66</v>
      </c>
    </row>
    <row r="22" spans="2:12" ht="15" customHeight="1" x14ac:dyDescent="0.25">
      <c r="B22" s="27">
        <v>46266</v>
      </c>
      <c r="C22" s="51">
        <f>'Sep 2026'!G43</f>
        <v>1491</v>
      </c>
      <c r="D22" s="29">
        <f>'Sep 2026'!I43</f>
        <v>32.27900737759893</v>
      </c>
      <c r="E22" s="30">
        <f>'Sep 2026'!J43</f>
        <v>4.6242595292001365E-2</v>
      </c>
      <c r="F22" s="31">
        <f>'Sep 2026'!H43</f>
        <v>48128</v>
      </c>
      <c r="G22" s="32">
        <f>'Sep 2026'!P43</f>
        <v>22398</v>
      </c>
      <c r="H22" s="33">
        <f>'Sep 2026'!Q43</f>
        <v>15.022132796780683</v>
      </c>
      <c r="I22" s="34">
        <f>'Sep 2026'!S43</f>
        <v>0.38564721663313212</v>
      </c>
      <c r="J22" s="37">
        <f>'Sep 2026'!W43</f>
        <v>0.64185110663983902</v>
      </c>
      <c r="K22" s="36">
        <f>'Sep 2026'!Y43</f>
        <v>0.16997678364139654</v>
      </c>
      <c r="L22" s="32">
        <f>F22+G22</f>
        <v>70526</v>
      </c>
    </row>
    <row r="23" spans="2:12" ht="15" customHeight="1" x14ac:dyDescent="0.25">
      <c r="B23" s="27">
        <v>46296</v>
      </c>
      <c r="C23" s="51">
        <f>'Oct 2026'!G44</f>
        <v>94</v>
      </c>
      <c r="D23" s="29">
        <f>'Oct 2026'!I44</f>
        <v>39.595744680851062</v>
      </c>
      <c r="E23" s="30">
        <f>'Oct 2026'!J44</f>
        <v>4.7522750252780584E-2</v>
      </c>
      <c r="F23" s="31">
        <f>'Oct 2026'!H44</f>
        <v>3722</v>
      </c>
      <c r="G23" s="32">
        <f>'Oct 2026'!P44</f>
        <v>2520</v>
      </c>
      <c r="H23" s="33">
        <f>'Oct 2026'!Q44</f>
        <v>26.808510638297872</v>
      </c>
      <c r="I23" s="34">
        <f>'Oct 2026'!S44</f>
        <v>0.63829787234042556</v>
      </c>
      <c r="J23" s="37">
        <f>'Oct 2026'!W44</f>
        <v>1.2765957446808511</v>
      </c>
      <c r="K23" s="36">
        <f>'Oct 2026'!Y44</f>
        <v>0.16684920634920636</v>
      </c>
      <c r="L23" s="32">
        <f t="shared" si="0"/>
        <v>6242</v>
      </c>
    </row>
    <row r="24" spans="2:12" ht="15" customHeight="1" x14ac:dyDescent="0.25">
      <c r="B24" s="27">
        <v>46327</v>
      </c>
      <c r="C24" s="51">
        <v>0</v>
      </c>
      <c r="D24" s="29">
        <v>0</v>
      </c>
      <c r="E24" s="30">
        <f>'MTD Summary'!E55</f>
        <v>0</v>
      </c>
      <c r="F24" s="31">
        <v>0</v>
      </c>
      <c r="G24" s="32">
        <v>0</v>
      </c>
      <c r="H24" s="33">
        <v>0</v>
      </c>
      <c r="I24" s="34">
        <v>0</v>
      </c>
      <c r="J24" s="37">
        <v>0</v>
      </c>
      <c r="K24" s="36">
        <v>0</v>
      </c>
      <c r="L24" s="32">
        <f t="shared" si="0"/>
        <v>0</v>
      </c>
    </row>
    <row r="25" spans="2:12" ht="15" customHeight="1" x14ac:dyDescent="0.25">
      <c r="B25" s="27">
        <v>46357</v>
      </c>
      <c r="C25" s="51">
        <v>0</v>
      </c>
      <c r="D25" s="29">
        <v>0</v>
      </c>
      <c r="E25" s="30">
        <f>'MTD Summary'!E56</f>
        <v>0</v>
      </c>
      <c r="F25" s="31">
        <v>0</v>
      </c>
      <c r="G25" s="32">
        <v>0</v>
      </c>
      <c r="H25" s="33">
        <v>0</v>
      </c>
      <c r="I25" s="34">
        <v>0</v>
      </c>
      <c r="J25" s="37">
        <v>0</v>
      </c>
      <c r="K25" s="36">
        <v>0</v>
      </c>
      <c r="L25" s="32">
        <f t="shared" si="0"/>
        <v>0</v>
      </c>
    </row>
    <row r="26" spans="2:12" ht="15" customHeight="1" x14ac:dyDescent="0.25">
      <c r="B26" s="52" t="s">
        <v>27</v>
      </c>
      <c r="C26" s="53">
        <f>SUM(C14:C25)</f>
        <v>23849</v>
      </c>
      <c r="D26" s="54">
        <f>F26/C26</f>
        <v>31.123242064656797</v>
      </c>
      <c r="E26" s="55">
        <f>'MTD Summary'!E44</f>
        <v>0</v>
      </c>
      <c r="F26" s="53">
        <f>SUM(F14:F25)</f>
        <v>742258.2</v>
      </c>
      <c r="G26" s="53">
        <f>SUM(G14:G25)</f>
        <v>375587.7</v>
      </c>
      <c r="H26" s="54">
        <f>G26/C26</f>
        <v>15.748572267181014</v>
      </c>
      <c r="I26" s="56">
        <f>'MTD Summary'!I44</f>
        <v>0</v>
      </c>
      <c r="J26" s="57">
        <f>'MTD Summary'!J44</f>
        <v>0</v>
      </c>
      <c r="K26" s="56">
        <f>'MTD Summary'!K44</f>
        <v>0</v>
      </c>
      <c r="L26" s="53">
        <f>SUM(L14:L25)</f>
        <v>1117845.8999999999</v>
      </c>
    </row>
    <row r="27" spans="2:12" ht="15" customHeight="1" x14ac:dyDescent="0.25">
      <c r="B27" s="6"/>
      <c r="C27" s="6"/>
      <c r="D27" s="6"/>
      <c r="E27" s="6"/>
      <c r="F27" s="6"/>
      <c r="G27" s="6"/>
      <c r="H27" s="6"/>
      <c r="I27" s="7"/>
      <c r="J27" s="6"/>
      <c r="K27" s="8"/>
      <c r="L27" s="9"/>
    </row>
  </sheetData>
  <mergeCells count="12">
    <mergeCell ref="B2:L2"/>
    <mergeCell ref="B3:L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</mergeCells>
  <conditionalFormatting sqref="F14:F25">
    <cfRule type="expression" dxfId="6" priority="2">
      <formula>NOT(ISERROR(SEARCH("Fiday,sutarday,sunday",F14)))</formula>
    </cfRule>
  </conditionalFormatting>
  <conditionalFormatting sqref="F9:G9">
    <cfRule type="expression" dxfId="5" priority="3">
      <formula>NOT(ISERROR(SEARCH("Fiday,sutarday,sunday",F9)))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Q45"/>
  <sheetViews>
    <sheetView topLeftCell="A6" zoomScale="85" zoomScaleNormal="85" workbookViewId="0">
      <selection activeCell="P24" sqref="P24"/>
    </sheetView>
  </sheetViews>
  <sheetFormatPr defaultColWidth="13.5703125" defaultRowHeight="15" x14ac:dyDescent="0.25"/>
  <cols>
    <col min="1" max="1" width="2.5703125" style="58" customWidth="1"/>
    <col min="2" max="5" width="10.7109375" style="58" customWidth="1"/>
    <col min="6" max="6" width="11.42578125" style="58" customWidth="1"/>
    <col min="7" max="8" width="10.7109375" style="58" customWidth="1"/>
    <col min="9" max="9" width="10.7109375" style="59" customWidth="1"/>
    <col min="10" max="10" width="10.7109375" style="58" customWidth="1"/>
    <col min="11" max="11" width="10.7109375" style="59" customWidth="1"/>
    <col min="12" max="12" width="10.7109375" style="60" customWidth="1"/>
    <col min="13" max="13" width="11.7109375" style="61" customWidth="1"/>
    <col min="14" max="14" width="15.28515625" style="58" customWidth="1"/>
    <col min="15" max="18" width="13.5703125" style="58"/>
    <col min="19" max="20" width="13.42578125" style="58" customWidth="1"/>
    <col min="21" max="21" width="3.7109375" style="58" customWidth="1"/>
    <col min="22" max="42" width="13.5703125" style="58" hidden="1"/>
    <col min="43" max="43" width="3.7109375" style="58" hidden="1" customWidth="1"/>
    <col min="44" max="45" width="3.7109375" style="58" customWidth="1"/>
    <col min="46" max="16384" width="13.5703125" style="58"/>
  </cols>
  <sheetData>
    <row r="2" spans="2:36" ht="21" customHeight="1" x14ac:dyDescent="0.35">
      <c r="B2" s="177" t="s">
        <v>28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</row>
    <row r="3" spans="2:36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</row>
    <row r="4" spans="2:36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2:36" ht="15" customHeight="1" x14ac:dyDescent="0.25">
      <c r="B5" s="180" t="s">
        <v>2</v>
      </c>
      <c r="C5" s="180"/>
      <c r="D5" s="182" t="s">
        <v>3</v>
      </c>
      <c r="E5" s="182"/>
      <c r="J5" s="8"/>
      <c r="K5" s="62" t="s">
        <v>12</v>
      </c>
      <c r="L5" s="63">
        <v>46296</v>
      </c>
      <c r="M5" s="64"/>
    </row>
    <row r="6" spans="2:36" ht="15" customHeight="1" x14ac:dyDescent="0.25">
      <c r="B6" s="180" t="s">
        <v>6</v>
      </c>
      <c r="C6" s="180"/>
      <c r="D6" s="182" t="s">
        <v>7</v>
      </c>
      <c r="E6" s="182"/>
      <c r="J6" s="8"/>
      <c r="K6" s="62" t="s">
        <v>4</v>
      </c>
      <c r="L6" s="65">
        <v>2026</v>
      </c>
      <c r="M6" s="64"/>
    </row>
    <row r="7" spans="2:36" ht="15" customHeight="1" x14ac:dyDescent="0.25">
      <c r="B7" s="180" t="s">
        <v>9</v>
      </c>
      <c r="C7" s="180"/>
      <c r="D7" s="181">
        <v>4</v>
      </c>
      <c r="E7" s="181"/>
      <c r="J7" s="8"/>
      <c r="K7" s="62" t="s">
        <v>8</v>
      </c>
      <c r="L7" s="66">
        <v>0.15</v>
      </c>
      <c r="M7" s="64"/>
    </row>
    <row r="8" spans="2:36" ht="15" customHeight="1" x14ac:dyDescent="0.25">
      <c r="B8" s="180" t="s">
        <v>11</v>
      </c>
      <c r="C8" s="180"/>
      <c r="D8" s="181">
        <v>238</v>
      </c>
      <c r="E8" s="181"/>
      <c r="J8" s="8"/>
      <c r="K8" s="62" t="s">
        <v>10</v>
      </c>
      <c r="L8" s="66">
        <v>0.1</v>
      </c>
      <c r="M8" s="64"/>
    </row>
    <row r="9" spans="2:36" ht="15.75" customHeight="1" x14ac:dyDescent="0.25">
      <c r="B9" s="176"/>
      <c r="C9" s="176"/>
      <c r="D9" s="176"/>
      <c r="E9" s="176"/>
      <c r="F9" s="67"/>
      <c r="G9" s="67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</row>
    <row r="10" spans="2:36" ht="29.25" customHeight="1" x14ac:dyDescent="0.25">
      <c r="B10" s="69" t="s">
        <v>29</v>
      </c>
      <c r="C10" s="69" t="s">
        <v>13</v>
      </c>
      <c r="D10" s="69" t="s">
        <v>14</v>
      </c>
      <c r="E10" s="69" t="s">
        <v>15</v>
      </c>
      <c r="F10" s="69" t="s">
        <v>16</v>
      </c>
      <c r="G10" s="69" t="s">
        <v>17</v>
      </c>
      <c r="H10" s="69" t="s">
        <v>18</v>
      </c>
      <c r="I10" s="69" t="s">
        <v>19</v>
      </c>
      <c r="J10" s="69" t="s">
        <v>20</v>
      </c>
      <c r="K10" s="69" t="s">
        <v>21</v>
      </c>
      <c r="L10" s="69" t="s">
        <v>22</v>
      </c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</row>
    <row r="11" spans="2:36" ht="15.75" customHeight="1" x14ac:dyDescent="0.25">
      <c r="B11" s="70" t="s">
        <v>30</v>
      </c>
      <c r="C11" s="71">
        <f t="shared" ref="C11:L11" si="0">C44</f>
        <v>0</v>
      </c>
      <c r="D11" s="72">
        <f t="shared" si="0"/>
        <v>0</v>
      </c>
      <c r="E11" s="73">
        <f t="shared" si="0"/>
        <v>0</v>
      </c>
      <c r="F11" s="74">
        <f t="shared" si="0"/>
        <v>0</v>
      </c>
      <c r="G11" s="74">
        <f t="shared" si="0"/>
        <v>0</v>
      </c>
      <c r="H11" s="75">
        <f t="shared" si="0"/>
        <v>0</v>
      </c>
      <c r="I11" s="76">
        <f t="shared" si="0"/>
        <v>0</v>
      </c>
      <c r="J11" s="77">
        <f t="shared" si="0"/>
        <v>0</v>
      </c>
      <c r="K11" s="78">
        <f t="shared" si="0"/>
        <v>0</v>
      </c>
      <c r="L11" s="74">
        <f t="shared" si="0"/>
        <v>0</v>
      </c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</row>
    <row r="12" spans="2:36" ht="15.75" customHeight="1" x14ac:dyDescent="0.25">
      <c r="B12" s="79" t="s">
        <v>24</v>
      </c>
      <c r="C12" s="80">
        <v>0</v>
      </c>
      <c r="D12" s="81" t="s">
        <v>25</v>
      </c>
      <c r="E12" s="82" t="s">
        <v>25</v>
      </c>
      <c r="F12" s="83">
        <v>0</v>
      </c>
      <c r="G12" s="83">
        <v>0</v>
      </c>
      <c r="H12" s="84" t="s">
        <v>25</v>
      </c>
      <c r="I12" s="85" t="s">
        <v>25</v>
      </c>
      <c r="J12" s="84" t="s">
        <v>25</v>
      </c>
      <c r="K12" s="84" t="s">
        <v>25</v>
      </c>
      <c r="L12" s="83">
        <f>F12+G12</f>
        <v>0</v>
      </c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</row>
    <row r="13" spans="2:36" ht="15.75" customHeight="1" x14ac:dyDescent="0.25">
      <c r="B13" s="79" t="s">
        <v>31</v>
      </c>
      <c r="C13" s="86" t="e">
        <f>C11/C12</f>
        <v>#DIV/0!</v>
      </c>
      <c r="D13" s="23" t="s">
        <v>25</v>
      </c>
      <c r="E13" s="87" t="s">
        <v>25</v>
      </c>
      <c r="F13" s="86" t="e">
        <f>F11/F12</f>
        <v>#DIV/0!</v>
      </c>
      <c r="G13" s="86" t="e">
        <f>G11/G12</f>
        <v>#DIV/0!</v>
      </c>
      <c r="H13" s="26" t="s">
        <v>25</v>
      </c>
      <c r="I13" s="88" t="s">
        <v>25</v>
      </c>
      <c r="J13" s="89" t="s">
        <v>25</v>
      </c>
      <c r="K13" s="89" t="s">
        <v>25</v>
      </c>
      <c r="L13" s="86" t="e">
        <f>L11/L12</f>
        <v>#DIV/0!</v>
      </c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</row>
    <row r="14" spans="2:36" ht="23.25" customHeight="1" x14ac:dyDescent="0.25">
      <c r="B14" s="90">
        <v>46296</v>
      </c>
      <c r="C14" s="91">
        <f>'Oct 2026'!G13</f>
        <v>55</v>
      </c>
      <c r="D14" s="91">
        <f>'Oct 2026'!H13</f>
        <v>2180</v>
      </c>
      <c r="E14" s="91">
        <f>'Oct 2026'!I13</f>
        <v>39.636363636363633</v>
      </c>
      <c r="F14" s="91">
        <f>'Oct 2026'!J13</f>
        <v>5.5611729019211326E-2</v>
      </c>
      <c r="G14" s="91">
        <f>'Oct 2026'!K13</f>
        <v>284.3478260869565</v>
      </c>
      <c r="H14" s="91">
        <f>'Oct 2026'!L13</f>
        <v>1895.6521739130435</v>
      </c>
      <c r="I14" s="91">
        <f>'Oct 2026'!M13</f>
        <v>176.33</v>
      </c>
      <c r="J14" s="91">
        <f>'Oct 2026'!N13</f>
        <v>1719.3221739130436</v>
      </c>
      <c r="K14" s="91">
        <f>'Oct 2026'!O13</f>
        <v>0</v>
      </c>
      <c r="L14" s="91">
        <f>'Oct 2026'!P13</f>
        <v>1277</v>
      </c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</row>
    <row r="15" spans="2:36" ht="15" customHeight="1" x14ac:dyDescent="0.25">
      <c r="B15" s="90">
        <v>46297</v>
      </c>
      <c r="C15" s="91">
        <f>'Oct 2026'!G14</f>
        <v>39</v>
      </c>
      <c r="D15" s="91">
        <f>'Oct 2026'!H14</f>
        <v>1542</v>
      </c>
      <c r="E15" s="91">
        <f>'Oct 2026'!I14</f>
        <v>39.53846153846154</v>
      </c>
      <c r="F15" s="91">
        <f>'Oct 2026'!J14</f>
        <v>3.9433771486349849E-2</v>
      </c>
      <c r="G15" s="91">
        <f>'Oct 2026'!K14</f>
        <v>201.13043478260869</v>
      </c>
      <c r="H15" s="91">
        <f>'Oct 2026'!L14</f>
        <v>1340.8695652173913</v>
      </c>
      <c r="I15" s="91">
        <f>'Oct 2026'!M14</f>
        <v>95.99</v>
      </c>
      <c r="J15" s="91">
        <f>'Oct 2026'!N14</f>
        <v>1244.8795652173912</v>
      </c>
      <c r="K15" s="91">
        <f>'Oct 2026'!O14</f>
        <v>0</v>
      </c>
      <c r="L15" s="91">
        <f>'Oct 2026'!P14</f>
        <v>1243</v>
      </c>
    </row>
    <row r="16" spans="2:36" ht="15" customHeight="1" x14ac:dyDescent="0.25">
      <c r="B16" s="90">
        <v>46298</v>
      </c>
      <c r="C16" s="91">
        <f>'Oct 2026'!G15</f>
        <v>0</v>
      </c>
      <c r="D16" s="91">
        <f>'Oct 2026'!H15</f>
        <v>0</v>
      </c>
      <c r="E16" s="91">
        <f>'Oct 2026'!I15</f>
        <v>0</v>
      </c>
      <c r="F16" s="91">
        <f>'Oct 2026'!J15</f>
        <v>0</v>
      </c>
      <c r="G16" s="91">
        <f>'Oct 2026'!K15</f>
        <v>0</v>
      </c>
      <c r="H16" s="91">
        <f>'Oct 2026'!L15</f>
        <v>0</v>
      </c>
      <c r="I16" s="91">
        <f>'Oct 2026'!M15</f>
        <v>0</v>
      </c>
      <c r="J16" s="91">
        <f>'Oct 2026'!N15</f>
        <v>0</v>
      </c>
      <c r="K16" s="91">
        <f>'Oct 2026'!O15</f>
        <v>0</v>
      </c>
      <c r="L16" s="91">
        <f>'Oct 2026'!P15</f>
        <v>0</v>
      </c>
    </row>
    <row r="17" spans="2:12" ht="15" customHeight="1" x14ac:dyDescent="0.25">
      <c r="B17" s="90">
        <v>46299</v>
      </c>
      <c r="C17" s="91">
        <f>'Oct 2026'!G16</f>
        <v>0</v>
      </c>
      <c r="D17" s="91">
        <f>'Oct 2026'!H16</f>
        <v>0</v>
      </c>
      <c r="E17" s="91">
        <f>'Oct 2026'!I16</f>
        <v>0</v>
      </c>
      <c r="F17" s="91">
        <f>'Oct 2026'!J16</f>
        <v>0</v>
      </c>
      <c r="G17" s="91">
        <f>'Oct 2026'!K16</f>
        <v>0</v>
      </c>
      <c r="H17" s="91">
        <f>'Oct 2026'!L16</f>
        <v>0</v>
      </c>
      <c r="I17" s="91">
        <f>'Oct 2026'!M16</f>
        <v>0</v>
      </c>
      <c r="J17" s="91">
        <f>'Oct 2026'!N16</f>
        <v>0</v>
      </c>
      <c r="K17" s="91">
        <f>'Oct 2026'!O16</f>
        <v>0</v>
      </c>
      <c r="L17" s="91">
        <f>'Oct 2026'!P16</f>
        <v>0</v>
      </c>
    </row>
    <row r="18" spans="2:12" ht="15" customHeight="1" x14ac:dyDescent="0.25">
      <c r="B18" s="90">
        <v>46300</v>
      </c>
      <c r="C18" s="91">
        <f>'Oct 2026'!G17</f>
        <v>0</v>
      </c>
      <c r="D18" s="91">
        <f>'Oct 2026'!H17</f>
        <v>0</v>
      </c>
      <c r="E18" s="91">
        <f>'Oct 2026'!I17</f>
        <v>0</v>
      </c>
      <c r="F18" s="91">
        <f>'Oct 2026'!J17</f>
        <v>0</v>
      </c>
      <c r="G18" s="91">
        <f>'Oct 2026'!K17</f>
        <v>0</v>
      </c>
      <c r="H18" s="91">
        <f>'Oct 2026'!L17</f>
        <v>0</v>
      </c>
      <c r="I18" s="91">
        <f>'Oct 2026'!M17</f>
        <v>0</v>
      </c>
      <c r="J18" s="91">
        <f>'Oct 2026'!N17</f>
        <v>0</v>
      </c>
      <c r="K18" s="91">
        <f>'Oct 2026'!O17</f>
        <v>0</v>
      </c>
      <c r="L18" s="91">
        <f>'Oct 2026'!P17</f>
        <v>0</v>
      </c>
    </row>
    <row r="19" spans="2:12" ht="15" customHeight="1" x14ac:dyDescent="0.25">
      <c r="B19" s="90">
        <v>46301</v>
      </c>
      <c r="C19" s="91">
        <f>'Oct 2026'!G18</f>
        <v>0</v>
      </c>
      <c r="D19" s="91">
        <f>'Oct 2026'!H18</f>
        <v>0</v>
      </c>
      <c r="E19" s="91">
        <f>'Oct 2026'!I18</f>
        <v>0</v>
      </c>
      <c r="F19" s="91">
        <f>'Oct 2026'!J18</f>
        <v>0</v>
      </c>
      <c r="G19" s="91">
        <f>'Oct 2026'!K18</f>
        <v>0</v>
      </c>
      <c r="H19" s="91">
        <f>'Oct 2026'!L18</f>
        <v>0</v>
      </c>
      <c r="I19" s="91">
        <f>'Oct 2026'!M18</f>
        <v>0</v>
      </c>
      <c r="J19" s="91">
        <f>'Oct 2026'!N18</f>
        <v>0</v>
      </c>
      <c r="K19" s="91">
        <f>'Oct 2026'!O18</f>
        <v>0</v>
      </c>
      <c r="L19" s="91">
        <f>'Oct 2026'!P18</f>
        <v>0</v>
      </c>
    </row>
    <row r="20" spans="2:12" ht="15" customHeight="1" x14ac:dyDescent="0.25">
      <c r="B20" s="90">
        <v>46302</v>
      </c>
      <c r="C20" s="91">
        <f>'Oct 2026'!G19</f>
        <v>0</v>
      </c>
      <c r="D20" s="91">
        <f>'Oct 2026'!H19</f>
        <v>0</v>
      </c>
      <c r="E20" s="91">
        <f>'Oct 2026'!I19</f>
        <v>0</v>
      </c>
      <c r="F20" s="91">
        <f>'Oct 2026'!J19</f>
        <v>0</v>
      </c>
      <c r="G20" s="91">
        <f>'Oct 2026'!K19</f>
        <v>0</v>
      </c>
      <c r="H20" s="91">
        <f>'Oct 2026'!L19</f>
        <v>0</v>
      </c>
      <c r="I20" s="91">
        <f>'Oct 2026'!M19</f>
        <v>0</v>
      </c>
      <c r="J20" s="91">
        <f>'Oct 2026'!N19</f>
        <v>0</v>
      </c>
      <c r="K20" s="91">
        <f>'Oct 2026'!O19</f>
        <v>0</v>
      </c>
      <c r="L20" s="91">
        <f>'Oct 2026'!P19</f>
        <v>0</v>
      </c>
    </row>
    <row r="21" spans="2:12" ht="15" customHeight="1" x14ac:dyDescent="0.25">
      <c r="B21" s="90">
        <v>46303</v>
      </c>
      <c r="C21" s="91">
        <f>'Oct 2026'!G20</f>
        <v>0</v>
      </c>
      <c r="D21" s="91">
        <f>'Oct 2026'!H20</f>
        <v>0</v>
      </c>
      <c r="E21" s="91">
        <f>'Oct 2026'!I20</f>
        <v>0</v>
      </c>
      <c r="F21" s="91">
        <f>'Oct 2026'!J20</f>
        <v>0</v>
      </c>
      <c r="G21" s="91">
        <f>'Oct 2026'!K20</f>
        <v>0</v>
      </c>
      <c r="H21" s="91">
        <f>'Oct 2026'!L20</f>
        <v>0</v>
      </c>
      <c r="I21" s="91">
        <f>'Oct 2026'!M20</f>
        <v>0</v>
      </c>
      <c r="J21" s="91">
        <f>'Oct 2026'!N20</f>
        <v>0</v>
      </c>
      <c r="K21" s="91">
        <f>'Oct 2026'!O20</f>
        <v>0</v>
      </c>
      <c r="L21" s="91">
        <f>'Oct 2026'!P20</f>
        <v>0</v>
      </c>
    </row>
    <row r="22" spans="2:12" ht="15" customHeight="1" x14ac:dyDescent="0.25">
      <c r="B22" s="90">
        <v>46304</v>
      </c>
      <c r="C22" s="91">
        <f>'Oct 2026'!G21</f>
        <v>0</v>
      </c>
      <c r="D22" s="91">
        <f>'Oct 2026'!H21</f>
        <v>0</v>
      </c>
      <c r="E22" s="91">
        <f>'Oct 2026'!I21</f>
        <v>0</v>
      </c>
      <c r="F22" s="91">
        <f>'Oct 2026'!J21</f>
        <v>0</v>
      </c>
      <c r="G22" s="91">
        <f>'Oct 2026'!K21</f>
        <v>0</v>
      </c>
      <c r="H22" s="91">
        <f>'Oct 2026'!L21</f>
        <v>0</v>
      </c>
      <c r="I22" s="91">
        <f>'Oct 2026'!M21</f>
        <v>0</v>
      </c>
      <c r="J22" s="91">
        <f>'Oct 2026'!N21</f>
        <v>0</v>
      </c>
      <c r="K22" s="91">
        <f>'Oct 2026'!O21</f>
        <v>0</v>
      </c>
      <c r="L22" s="91">
        <f>'Oct 2026'!P21</f>
        <v>0</v>
      </c>
    </row>
    <row r="23" spans="2:12" ht="15" customHeight="1" x14ac:dyDescent="0.25">
      <c r="B23" s="90">
        <v>46305</v>
      </c>
      <c r="C23" s="91">
        <f>'Oct 2026'!G22</f>
        <v>0</v>
      </c>
      <c r="D23" s="91">
        <f>'Oct 2026'!H22</f>
        <v>0</v>
      </c>
      <c r="E23" s="91">
        <f>'Oct 2026'!I22</f>
        <v>0</v>
      </c>
      <c r="F23" s="91">
        <f>'Oct 2026'!J22</f>
        <v>0</v>
      </c>
      <c r="G23" s="91">
        <f>'Oct 2026'!K22</f>
        <v>0</v>
      </c>
      <c r="H23" s="91">
        <f>'Oct 2026'!L22</f>
        <v>0</v>
      </c>
      <c r="I23" s="91">
        <f>'Oct 2026'!M22</f>
        <v>0</v>
      </c>
      <c r="J23" s="91">
        <f>'Oct 2026'!N22</f>
        <v>0</v>
      </c>
      <c r="K23" s="91">
        <f>'Oct 2026'!O22</f>
        <v>0</v>
      </c>
      <c r="L23" s="91">
        <f>'Oct 2026'!P22</f>
        <v>0</v>
      </c>
    </row>
    <row r="24" spans="2:12" ht="15" customHeight="1" x14ac:dyDescent="0.25">
      <c r="B24" s="90">
        <v>46306</v>
      </c>
      <c r="C24" s="91">
        <f>'Oct 2026'!G23</f>
        <v>0</v>
      </c>
      <c r="D24" s="91">
        <f>'Oct 2026'!H23</f>
        <v>0</v>
      </c>
      <c r="E24" s="91">
        <f>'Oct 2026'!I23</f>
        <v>0</v>
      </c>
      <c r="F24" s="91">
        <f>'Oct 2026'!J23</f>
        <v>0</v>
      </c>
      <c r="G24" s="91">
        <f>'Oct 2026'!K23</f>
        <v>0</v>
      </c>
      <c r="H24" s="91">
        <f>'Oct 2026'!L23</f>
        <v>0</v>
      </c>
      <c r="I24" s="91">
        <f>'Oct 2026'!M23</f>
        <v>0</v>
      </c>
      <c r="J24" s="91">
        <f>'Oct 2026'!N23</f>
        <v>0</v>
      </c>
      <c r="K24" s="91">
        <f>'Oct 2026'!O23</f>
        <v>0</v>
      </c>
      <c r="L24" s="91">
        <f>'Oct 2026'!P23</f>
        <v>0</v>
      </c>
    </row>
    <row r="25" spans="2:12" ht="15" customHeight="1" x14ac:dyDescent="0.25">
      <c r="B25" s="90">
        <v>46307</v>
      </c>
      <c r="C25" s="91">
        <f>'Oct 2026'!G24</f>
        <v>0</v>
      </c>
      <c r="D25" s="91">
        <f>'Oct 2026'!H24</f>
        <v>0</v>
      </c>
      <c r="E25" s="91">
        <f>'Oct 2026'!I24</f>
        <v>0</v>
      </c>
      <c r="F25" s="91">
        <f>'Oct 2026'!J24</f>
        <v>0</v>
      </c>
      <c r="G25" s="91">
        <f>'Oct 2026'!K24</f>
        <v>0</v>
      </c>
      <c r="H25" s="91">
        <f>'Oct 2026'!L24</f>
        <v>0</v>
      </c>
      <c r="I25" s="91">
        <f>'Oct 2026'!M24</f>
        <v>0</v>
      </c>
      <c r="J25" s="91">
        <f>'Oct 2026'!N24</f>
        <v>0</v>
      </c>
      <c r="K25" s="91">
        <f>'Oct 2026'!O24</f>
        <v>0</v>
      </c>
      <c r="L25" s="91">
        <f>'Oct 2026'!P24</f>
        <v>0</v>
      </c>
    </row>
    <row r="26" spans="2:12" ht="15" customHeight="1" x14ac:dyDescent="0.25">
      <c r="B26" s="90">
        <v>46308</v>
      </c>
      <c r="C26" s="91">
        <f>'Oct 2026'!G25</f>
        <v>0</v>
      </c>
      <c r="D26" s="91">
        <f>'Oct 2026'!H25</f>
        <v>0</v>
      </c>
      <c r="E26" s="91">
        <f>'Oct 2026'!I25</f>
        <v>0</v>
      </c>
      <c r="F26" s="91">
        <f>'Oct 2026'!J25</f>
        <v>0</v>
      </c>
      <c r="G26" s="91">
        <f>'Oct 2026'!K25</f>
        <v>0</v>
      </c>
      <c r="H26" s="91">
        <f>'Oct 2026'!L25</f>
        <v>0</v>
      </c>
      <c r="I26" s="91">
        <f>'Oct 2026'!M25</f>
        <v>0</v>
      </c>
      <c r="J26" s="91">
        <f>'Oct 2026'!N25</f>
        <v>0</v>
      </c>
      <c r="K26" s="91">
        <f>'Oct 2026'!O25</f>
        <v>0</v>
      </c>
      <c r="L26" s="91">
        <f>'Oct 2026'!P25</f>
        <v>0</v>
      </c>
    </row>
    <row r="27" spans="2:12" ht="15" customHeight="1" x14ac:dyDescent="0.25">
      <c r="B27" s="90">
        <v>46309</v>
      </c>
      <c r="C27" s="91">
        <f>'Oct 2026'!G26</f>
        <v>0</v>
      </c>
      <c r="D27" s="91">
        <f>'Oct 2026'!H26</f>
        <v>0</v>
      </c>
      <c r="E27" s="91">
        <f>'Oct 2026'!I26</f>
        <v>0</v>
      </c>
      <c r="F27" s="91">
        <f>'Oct 2026'!J26</f>
        <v>0</v>
      </c>
      <c r="G27" s="91">
        <f>'Oct 2026'!K26</f>
        <v>0</v>
      </c>
      <c r="H27" s="91">
        <f>'Oct 2026'!L26</f>
        <v>0</v>
      </c>
      <c r="I27" s="91">
        <f>'Oct 2026'!M26</f>
        <v>0</v>
      </c>
      <c r="J27" s="91">
        <f>'Oct 2026'!N26</f>
        <v>0</v>
      </c>
      <c r="K27" s="91">
        <f>'Oct 2026'!O26</f>
        <v>0</v>
      </c>
      <c r="L27" s="91">
        <f>'Oct 2026'!P26</f>
        <v>0</v>
      </c>
    </row>
    <row r="28" spans="2:12" ht="15" customHeight="1" x14ac:dyDescent="0.25">
      <c r="B28" s="90">
        <v>46310</v>
      </c>
      <c r="C28" s="91">
        <f>'Oct 2026'!G27</f>
        <v>0</v>
      </c>
      <c r="D28" s="91">
        <f>'Oct 2026'!H27</f>
        <v>0</v>
      </c>
      <c r="E28" s="91">
        <f>'Oct 2026'!I27</f>
        <v>0</v>
      </c>
      <c r="F28" s="91">
        <f>'Oct 2026'!J27</f>
        <v>0</v>
      </c>
      <c r="G28" s="91">
        <f>'Oct 2026'!K27</f>
        <v>0</v>
      </c>
      <c r="H28" s="91">
        <f>'Oct 2026'!L27</f>
        <v>0</v>
      </c>
      <c r="I28" s="91">
        <f>'Oct 2026'!M27</f>
        <v>0</v>
      </c>
      <c r="J28" s="91">
        <f>'Oct 2026'!N27</f>
        <v>0</v>
      </c>
      <c r="K28" s="91">
        <f>'Oct 2026'!O27</f>
        <v>0</v>
      </c>
      <c r="L28" s="91">
        <f>'Oct 2026'!P27</f>
        <v>0</v>
      </c>
    </row>
    <row r="29" spans="2:12" ht="15" customHeight="1" x14ac:dyDescent="0.25">
      <c r="B29" s="90">
        <v>46311</v>
      </c>
      <c r="C29" s="91">
        <f>'Oct 2026'!G28</f>
        <v>0</v>
      </c>
      <c r="D29" s="91">
        <f>'Oct 2026'!H28</f>
        <v>0</v>
      </c>
      <c r="E29" s="91">
        <f>'Oct 2026'!I28</f>
        <v>0</v>
      </c>
      <c r="F29" s="91">
        <f>'Oct 2026'!J28</f>
        <v>0</v>
      </c>
      <c r="G29" s="91">
        <f>'Oct 2026'!K28</f>
        <v>0</v>
      </c>
      <c r="H29" s="91">
        <f>'Oct 2026'!L28</f>
        <v>0</v>
      </c>
      <c r="I29" s="91">
        <f>'Oct 2026'!M28</f>
        <v>0</v>
      </c>
      <c r="J29" s="91">
        <f>'Oct 2026'!N28</f>
        <v>0</v>
      </c>
      <c r="K29" s="91">
        <f>'Oct 2026'!O28</f>
        <v>0</v>
      </c>
      <c r="L29" s="91">
        <f>'Oct 2026'!P28</f>
        <v>0</v>
      </c>
    </row>
    <row r="30" spans="2:12" ht="15" customHeight="1" x14ac:dyDescent="0.25">
      <c r="B30" s="90">
        <v>46312</v>
      </c>
      <c r="C30" s="91">
        <f>'Oct 2026'!G29</f>
        <v>0</v>
      </c>
      <c r="D30" s="91">
        <f>'Oct 2026'!H29</f>
        <v>0</v>
      </c>
      <c r="E30" s="91">
        <f>'Oct 2026'!I29</f>
        <v>0</v>
      </c>
      <c r="F30" s="91">
        <f>'Oct 2026'!J29</f>
        <v>0</v>
      </c>
      <c r="G30" s="91">
        <f>'Oct 2026'!K29</f>
        <v>0</v>
      </c>
      <c r="H30" s="91">
        <f>'Oct 2026'!L29</f>
        <v>0</v>
      </c>
      <c r="I30" s="91">
        <f>'Oct 2026'!M29</f>
        <v>0</v>
      </c>
      <c r="J30" s="91">
        <f>'Oct 2026'!N29</f>
        <v>0</v>
      </c>
      <c r="K30" s="91">
        <f>'Oct 2026'!O29</f>
        <v>0</v>
      </c>
      <c r="L30" s="91">
        <f>'Oct 2026'!P29</f>
        <v>0</v>
      </c>
    </row>
    <row r="31" spans="2:12" ht="15" customHeight="1" x14ac:dyDescent="0.25">
      <c r="B31" s="90">
        <v>46313</v>
      </c>
      <c r="C31" s="91">
        <f>'Oct 2026'!G30</f>
        <v>0</v>
      </c>
      <c r="D31" s="91">
        <f>'Oct 2026'!H30</f>
        <v>0</v>
      </c>
      <c r="E31" s="91">
        <f>'Oct 2026'!I30</f>
        <v>0</v>
      </c>
      <c r="F31" s="91">
        <f>'Oct 2026'!J30</f>
        <v>0</v>
      </c>
      <c r="G31" s="91">
        <f>'Oct 2026'!K30</f>
        <v>0</v>
      </c>
      <c r="H31" s="91">
        <f>'Oct 2026'!L30</f>
        <v>0</v>
      </c>
      <c r="I31" s="91">
        <f>'Oct 2026'!M30</f>
        <v>0</v>
      </c>
      <c r="J31" s="91">
        <f>'Oct 2026'!N30</f>
        <v>0</v>
      </c>
      <c r="K31" s="91">
        <f>'Oct 2026'!O30</f>
        <v>0</v>
      </c>
      <c r="L31" s="91">
        <f>'Oct 2026'!P30</f>
        <v>0</v>
      </c>
    </row>
    <row r="32" spans="2:12" ht="15" customHeight="1" x14ac:dyDescent="0.25">
      <c r="B32" s="90">
        <v>46314</v>
      </c>
      <c r="C32" s="91">
        <f>'Oct 2026'!G31</f>
        <v>0</v>
      </c>
      <c r="D32" s="91">
        <f>'Oct 2026'!H31</f>
        <v>0</v>
      </c>
      <c r="E32" s="91">
        <f>'Oct 2026'!I31</f>
        <v>0</v>
      </c>
      <c r="F32" s="91">
        <f>'Oct 2026'!J31</f>
        <v>0</v>
      </c>
      <c r="G32" s="91">
        <f>'Oct 2026'!K31</f>
        <v>0</v>
      </c>
      <c r="H32" s="91">
        <f>'Oct 2026'!L31</f>
        <v>0</v>
      </c>
      <c r="I32" s="91">
        <f>'Oct 2026'!M31</f>
        <v>0</v>
      </c>
      <c r="J32" s="91">
        <f>'Oct 2026'!N31</f>
        <v>0</v>
      </c>
      <c r="K32" s="91">
        <f>'Oct 2026'!O31</f>
        <v>0</v>
      </c>
      <c r="L32" s="91">
        <f>'Oct 2026'!P31</f>
        <v>0</v>
      </c>
    </row>
    <row r="33" spans="2:12" ht="15" customHeight="1" x14ac:dyDescent="0.25">
      <c r="B33" s="90">
        <v>46315</v>
      </c>
      <c r="C33" s="91">
        <f>'Oct 2026'!G32</f>
        <v>0</v>
      </c>
      <c r="D33" s="91">
        <f>'Oct 2026'!H32</f>
        <v>0</v>
      </c>
      <c r="E33" s="91">
        <f>'Oct 2026'!I32</f>
        <v>0</v>
      </c>
      <c r="F33" s="91">
        <f>'Oct 2026'!J32</f>
        <v>0</v>
      </c>
      <c r="G33" s="91">
        <f>'Oct 2026'!K32</f>
        <v>0</v>
      </c>
      <c r="H33" s="91">
        <f>'Oct 2026'!L32</f>
        <v>0</v>
      </c>
      <c r="I33" s="91">
        <f>'Oct 2026'!M32</f>
        <v>0</v>
      </c>
      <c r="J33" s="91">
        <f>'Oct 2026'!N32</f>
        <v>0</v>
      </c>
      <c r="K33" s="91">
        <f>'Oct 2026'!O32</f>
        <v>0</v>
      </c>
      <c r="L33" s="91">
        <f>'Oct 2026'!P32</f>
        <v>0</v>
      </c>
    </row>
    <row r="34" spans="2:12" ht="15" customHeight="1" x14ac:dyDescent="0.25">
      <c r="B34" s="90">
        <v>46316</v>
      </c>
      <c r="C34" s="91">
        <f>'Oct 2026'!G33</f>
        <v>0</v>
      </c>
      <c r="D34" s="91">
        <f>'Oct 2026'!H33</f>
        <v>0</v>
      </c>
      <c r="E34" s="91">
        <f>'Oct 2026'!I33</f>
        <v>0</v>
      </c>
      <c r="F34" s="91">
        <f>'Oct 2026'!J33</f>
        <v>0</v>
      </c>
      <c r="G34" s="91">
        <f>'Oct 2026'!K33</f>
        <v>0</v>
      </c>
      <c r="H34" s="91">
        <f>'Oct 2026'!L33</f>
        <v>0</v>
      </c>
      <c r="I34" s="91">
        <f>'Oct 2026'!M33</f>
        <v>0</v>
      </c>
      <c r="J34" s="91">
        <f>'Oct 2026'!N33</f>
        <v>0</v>
      </c>
      <c r="K34" s="91">
        <f>'Oct 2026'!O33</f>
        <v>0</v>
      </c>
      <c r="L34" s="91">
        <f>'Oct 2026'!P33</f>
        <v>0</v>
      </c>
    </row>
    <row r="35" spans="2:12" ht="15" customHeight="1" x14ac:dyDescent="0.25">
      <c r="B35" s="90">
        <v>46317</v>
      </c>
      <c r="C35" s="91">
        <f>'Oct 2026'!G34</f>
        <v>0</v>
      </c>
      <c r="D35" s="91">
        <f>'Oct 2026'!H34</f>
        <v>0</v>
      </c>
      <c r="E35" s="91">
        <f>'Oct 2026'!I34</f>
        <v>0</v>
      </c>
      <c r="F35" s="91">
        <f>'Oct 2026'!J34</f>
        <v>0</v>
      </c>
      <c r="G35" s="91">
        <f>'Oct 2026'!K34</f>
        <v>0</v>
      </c>
      <c r="H35" s="91">
        <f>'Oct 2026'!L34</f>
        <v>0</v>
      </c>
      <c r="I35" s="91">
        <f>'Oct 2026'!M34</f>
        <v>0</v>
      </c>
      <c r="J35" s="91">
        <f>'Oct 2026'!N34</f>
        <v>0</v>
      </c>
      <c r="K35" s="91">
        <f>'Oct 2026'!O34</f>
        <v>0</v>
      </c>
      <c r="L35" s="91">
        <f>'Oct 2026'!P34</f>
        <v>0</v>
      </c>
    </row>
    <row r="36" spans="2:12" ht="15" customHeight="1" x14ac:dyDescent="0.25">
      <c r="B36" s="90">
        <v>46318</v>
      </c>
      <c r="C36" s="91">
        <f>'Oct 2026'!G35</f>
        <v>0</v>
      </c>
      <c r="D36" s="91">
        <f>'Oct 2026'!H35</f>
        <v>0</v>
      </c>
      <c r="E36" s="91">
        <f>'Oct 2026'!I35</f>
        <v>0</v>
      </c>
      <c r="F36" s="91">
        <f>'Oct 2026'!J35</f>
        <v>0</v>
      </c>
      <c r="G36" s="91">
        <f>'Oct 2026'!K35</f>
        <v>0</v>
      </c>
      <c r="H36" s="91">
        <f>'Oct 2026'!L35</f>
        <v>0</v>
      </c>
      <c r="I36" s="91">
        <f>'Oct 2026'!M35</f>
        <v>0</v>
      </c>
      <c r="J36" s="91">
        <f>'Oct 2026'!N35</f>
        <v>0</v>
      </c>
      <c r="K36" s="91">
        <f>'Oct 2026'!O35</f>
        <v>0</v>
      </c>
      <c r="L36" s="91">
        <f>'Oct 2026'!P35</f>
        <v>0</v>
      </c>
    </row>
    <row r="37" spans="2:12" ht="15" customHeight="1" x14ac:dyDescent="0.25">
      <c r="B37" s="90">
        <v>46319</v>
      </c>
      <c r="C37" s="91">
        <f>'Oct 2026'!G36</f>
        <v>0</v>
      </c>
      <c r="D37" s="91">
        <f>'Oct 2026'!H36</f>
        <v>0</v>
      </c>
      <c r="E37" s="91">
        <f>'Oct 2026'!I36</f>
        <v>0</v>
      </c>
      <c r="F37" s="91">
        <f>'Oct 2026'!J36</f>
        <v>0</v>
      </c>
      <c r="G37" s="91">
        <f>'Oct 2026'!K36</f>
        <v>0</v>
      </c>
      <c r="H37" s="91">
        <f>'Oct 2026'!L36</f>
        <v>0</v>
      </c>
      <c r="I37" s="91">
        <f>'Oct 2026'!M36</f>
        <v>0</v>
      </c>
      <c r="J37" s="91">
        <f>'Oct 2026'!N36</f>
        <v>0</v>
      </c>
      <c r="K37" s="91">
        <f>'Oct 2026'!O36</f>
        <v>0</v>
      </c>
      <c r="L37" s="91">
        <f>'Oct 2026'!P36</f>
        <v>0</v>
      </c>
    </row>
    <row r="38" spans="2:12" ht="15" customHeight="1" x14ac:dyDescent="0.25">
      <c r="B38" s="90">
        <v>46320</v>
      </c>
      <c r="C38" s="91">
        <f>'Oct 2026'!G37</f>
        <v>0</v>
      </c>
      <c r="D38" s="91">
        <f>'Oct 2026'!H37</f>
        <v>0</v>
      </c>
      <c r="E38" s="91">
        <f>'Oct 2026'!I37</f>
        <v>0</v>
      </c>
      <c r="F38" s="91">
        <f>'Oct 2026'!J37</f>
        <v>0</v>
      </c>
      <c r="G38" s="91">
        <f>'Oct 2026'!K37</f>
        <v>0</v>
      </c>
      <c r="H38" s="91">
        <f>'Oct 2026'!L37</f>
        <v>0</v>
      </c>
      <c r="I38" s="91">
        <f>'Oct 2026'!M37</f>
        <v>0</v>
      </c>
      <c r="J38" s="91">
        <f>'Oct 2026'!N37</f>
        <v>0</v>
      </c>
      <c r="K38" s="91">
        <f>'Oct 2026'!O37</f>
        <v>0</v>
      </c>
      <c r="L38" s="91">
        <f>'Oct 2026'!P37</f>
        <v>0</v>
      </c>
    </row>
    <row r="39" spans="2:12" ht="15" customHeight="1" x14ac:dyDescent="0.25">
      <c r="B39" s="90">
        <v>46321</v>
      </c>
      <c r="C39" s="91">
        <f>'Oct 2026'!G38</f>
        <v>0</v>
      </c>
      <c r="D39" s="91">
        <f>'Oct 2026'!H38</f>
        <v>0</v>
      </c>
      <c r="E39" s="91">
        <f>'Oct 2026'!I38</f>
        <v>0</v>
      </c>
      <c r="F39" s="91">
        <f>'Oct 2026'!J38</f>
        <v>0</v>
      </c>
      <c r="G39" s="91">
        <f>'Oct 2026'!K38</f>
        <v>0</v>
      </c>
      <c r="H39" s="91">
        <f>'Oct 2026'!L38</f>
        <v>0</v>
      </c>
      <c r="I39" s="91">
        <f>'Oct 2026'!M38</f>
        <v>0</v>
      </c>
      <c r="J39" s="91">
        <f>'Oct 2026'!N38</f>
        <v>0</v>
      </c>
      <c r="K39" s="91">
        <f>'Oct 2026'!O38</f>
        <v>0</v>
      </c>
      <c r="L39" s="91">
        <f>'Oct 2026'!P38</f>
        <v>0</v>
      </c>
    </row>
    <row r="40" spans="2:12" ht="15" customHeight="1" x14ac:dyDescent="0.25">
      <c r="B40" s="90">
        <v>46322</v>
      </c>
      <c r="C40" s="91">
        <f>'Oct 2026'!G39</f>
        <v>0</v>
      </c>
      <c r="D40" s="91">
        <f>'Oct 2026'!H39</f>
        <v>0</v>
      </c>
      <c r="E40" s="91">
        <f>'Oct 2026'!I39</f>
        <v>0</v>
      </c>
      <c r="F40" s="91">
        <f>'Oct 2026'!J39</f>
        <v>0</v>
      </c>
      <c r="G40" s="91">
        <f>'Oct 2026'!K39</f>
        <v>0</v>
      </c>
      <c r="H40" s="91">
        <f>'Oct 2026'!L39</f>
        <v>0</v>
      </c>
      <c r="I40" s="91">
        <f>'Oct 2026'!M39</f>
        <v>0</v>
      </c>
      <c r="J40" s="91">
        <f>'Oct 2026'!N39</f>
        <v>0</v>
      </c>
      <c r="K40" s="91">
        <f>'Oct 2026'!O39</f>
        <v>0</v>
      </c>
      <c r="L40" s="91">
        <f>'Oct 2026'!P39</f>
        <v>0</v>
      </c>
    </row>
    <row r="41" spans="2:12" ht="15" customHeight="1" x14ac:dyDescent="0.25">
      <c r="B41" s="90">
        <v>46323</v>
      </c>
      <c r="C41" s="91">
        <f>'Oct 2026'!G40</f>
        <v>0</v>
      </c>
      <c r="D41" s="91">
        <f>'Oct 2026'!H40</f>
        <v>0</v>
      </c>
      <c r="E41" s="91">
        <f>'Oct 2026'!I40</f>
        <v>0</v>
      </c>
      <c r="F41" s="91">
        <f>'Oct 2026'!J40</f>
        <v>0</v>
      </c>
      <c r="G41" s="91">
        <f>'Oct 2026'!K40</f>
        <v>0</v>
      </c>
      <c r="H41" s="91">
        <f>'Oct 2026'!L40</f>
        <v>0</v>
      </c>
      <c r="I41" s="91">
        <f>'Oct 2026'!M40</f>
        <v>0</v>
      </c>
      <c r="J41" s="91">
        <f>'Oct 2026'!N40</f>
        <v>0</v>
      </c>
      <c r="K41" s="91">
        <f>'Oct 2026'!O40</f>
        <v>0</v>
      </c>
      <c r="L41" s="91">
        <f>'Oct 2026'!P40</f>
        <v>0</v>
      </c>
    </row>
    <row r="42" spans="2:12" ht="15" customHeight="1" x14ac:dyDescent="0.25">
      <c r="B42" s="90">
        <v>46324</v>
      </c>
      <c r="C42" s="91">
        <f>'Oct 2026'!G41</f>
        <v>0</v>
      </c>
      <c r="D42" s="91">
        <f>'Oct 2026'!H41</f>
        <v>0</v>
      </c>
      <c r="E42" s="91">
        <f>'Oct 2026'!I41</f>
        <v>0</v>
      </c>
      <c r="F42" s="91">
        <f>'Oct 2026'!J41</f>
        <v>0</v>
      </c>
      <c r="G42" s="91">
        <f>'Oct 2026'!K41</f>
        <v>0</v>
      </c>
      <c r="H42" s="91">
        <f>'Oct 2026'!L41</f>
        <v>0</v>
      </c>
      <c r="I42" s="91">
        <f>'Oct 2026'!M41</f>
        <v>0</v>
      </c>
      <c r="J42" s="91">
        <f>'Oct 2026'!N41</f>
        <v>0</v>
      </c>
      <c r="K42" s="91">
        <f>'Oct 2026'!O41</f>
        <v>0</v>
      </c>
      <c r="L42" s="91">
        <f>'Oct 2026'!P41</f>
        <v>0</v>
      </c>
    </row>
    <row r="43" spans="2:12" ht="15" customHeight="1" x14ac:dyDescent="0.25">
      <c r="B43" s="90">
        <v>46325</v>
      </c>
      <c r="C43" s="91">
        <f>'Oct 2026'!G42</f>
        <v>0</v>
      </c>
      <c r="D43" s="91">
        <f>'Oct 2026'!H42</f>
        <v>0</v>
      </c>
      <c r="E43" s="91">
        <f>'Oct 2026'!I42</f>
        <v>0</v>
      </c>
      <c r="F43" s="91">
        <f>'Oct 2026'!J42</f>
        <v>0</v>
      </c>
      <c r="G43" s="91">
        <f>'Oct 2026'!K42</f>
        <v>0</v>
      </c>
      <c r="H43" s="91">
        <f>'Oct 2026'!L42</f>
        <v>0</v>
      </c>
      <c r="I43" s="91">
        <f>'Oct 2026'!M42</f>
        <v>0</v>
      </c>
      <c r="J43" s="91">
        <f>'Oct 2026'!N42</f>
        <v>0</v>
      </c>
      <c r="K43" s="91">
        <f>'Oct 2026'!O42</f>
        <v>0</v>
      </c>
      <c r="L43" s="91">
        <f>'Oct 2026'!P42</f>
        <v>0</v>
      </c>
    </row>
    <row r="44" spans="2:12" ht="16.5" customHeight="1" x14ac:dyDescent="0.25">
      <c r="B44" s="90">
        <v>46326</v>
      </c>
      <c r="C44" s="92">
        <v>0</v>
      </c>
      <c r="D44" s="93">
        <v>0</v>
      </c>
      <c r="E44" s="94">
        <v>0</v>
      </c>
      <c r="F44" s="95">
        <v>0</v>
      </c>
      <c r="G44" s="96"/>
      <c r="H44" s="93">
        <v>0</v>
      </c>
      <c r="I44" s="97">
        <v>0</v>
      </c>
      <c r="J44" s="98">
        <v>0</v>
      </c>
      <c r="K44" s="99">
        <v>0</v>
      </c>
      <c r="L44" s="100">
        <v>0</v>
      </c>
    </row>
    <row r="45" spans="2:12" s="64" customFormat="1" ht="15" customHeight="1" x14ac:dyDescent="0.25"/>
  </sheetData>
  <mergeCells count="12">
    <mergeCell ref="B2:L2"/>
    <mergeCell ref="B3:L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</mergeCells>
  <conditionalFormatting sqref="F9:G9 F45">
    <cfRule type="expression" dxfId="4" priority="2">
      <formula>NOT(ISERROR(SEARCH("Fiday,sutarday,sunday",F9)))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G44"/>
  <sheetViews>
    <sheetView topLeftCell="A9" zoomScale="80" zoomScaleNormal="80" workbookViewId="0">
      <selection activeCell="R6" sqref="R6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9" width="9.7109375" style="58" customWidth="1"/>
    <col min="10" max="10" width="9.7109375" style="59" customWidth="1"/>
    <col min="11" max="11" width="9.7109375" style="60" customWidth="1"/>
    <col min="12" max="12" width="10.8554687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1" width="10.28515625" style="58" customWidth="1"/>
    <col min="22" max="25" width="9.7109375" style="58" customWidth="1"/>
    <col min="26" max="26" width="1.7109375" style="58" customWidth="1"/>
    <col min="27" max="32" width="9.7109375" style="58" customWidth="1"/>
    <col min="33" max="16384" width="13.5703125" style="58"/>
  </cols>
  <sheetData>
    <row r="2" spans="2:33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3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3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3" s="64" customFormat="1" ht="14.25" customHeight="1" x14ac:dyDescent="0.25">
      <c r="B5" s="180" t="s">
        <v>2</v>
      </c>
      <c r="C5" s="180"/>
      <c r="D5" s="182" t="s">
        <v>3</v>
      </c>
      <c r="E5" s="182"/>
      <c r="F5" s="182"/>
      <c r="G5" s="190" t="s">
        <v>12</v>
      </c>
      <c r="H5" s="190"/>
      <c r="I5" s="194">
        <v>46023</v>
      </c>
      <c r="J5" s="194"/>
      <c r="K5" s="3"/>
      <c r="L5" s="3"/>
      <c r="M5" s="3"/>
      <c r="S5" s="101"/>
    </row>
    <row r="6" spans="2:33" s="64" customFormat="1" ht="14.25" customHeight="1" x14ac:dyDescent="0.25">
      <c r="B6" s="180" t="s">
        <v>6</v>
      </c>
      <c r="C6" s="180"/>
      <c r="D6" s="189" t="s">
        <v>32</v>
      </c>
      <c r="E6" s="189"/>
      <c r="F6" s="189"/>
      <c r="G6" s="190" t="s">
        <v>33</v>
      </c>
      <c r="H6" s="190"/>
      <c r="I6" s="193">
        <v>2026</v>
      </c>
      <c r="J6" s="193"/>
      <c r="K6" s="3"/>
      <c r="L6" s="3"/>
      <c r="M6" s="3"/>
      <c r="S6" s="101"/>
    </row>
    <row r="7" spans="2:33" s="64" customFormat="1" ht="14.25" customHeight="1" x14ac:dyDescent="0.25">
      <c r="B7" s="180" t="s">
        <v>9</v>
      </c>
      <c r="C7" s="180"/>
      <c r="D7" s="189">
        <v>4</v>
      </c>
      <c r="E7" s="189"/>
      <c r="F7" s="189"/>
      <c r="G7" s="190" t="s">
        <v>8</v>
      </c>
      <c r="H7" s="190"/>
      <c r="I7" s="191">
        <v>0.15</v>
      </c>
      <c r="J7" s="191"/>
      <c r="K7" s="3"/>
      <c r="L7" s="3"/>
      <c r="M7" s="3"/>
      <c r="S7" s="101"/>
    </row>
    <row r="8" spans="2:33" s="64" customFormat="1" ht="15.75" customHeight="1" x14ac:dyDescent="0.25">
      <c r="B8" s="180" t="s">
        <v>11</v>
      </c>
      <c r="C8" s="180"/>
      <c r="D8" s="189">
        <v>238</v>
      </c>
      <c r="E8" s="189"/>
      <c r="F8" s="189"/>
      <c r="G8" s="190" t="s">
        <v>10</v>
      </c>
      <c r="H8" s="190"/>
      <c r="I8" s="191">
        <v>0.1</v>
      </c>
      <c r="J8" s="191"/>
      <c r="K8" s="3"/>
      <c r="L8" s="3"/>
      <c r="M8" s="3"/>
      <c r="S8" s="101"/>
    </row>
    <row r="9" spans="2:33" ht="15.75" customHeight="1" x14ac:dyDescent="0.25">
      <c r="B9" s="192"/>
      <c r="C9" s="192"/>
      <c r="D9" s="192"/>
      <c r="E9" s="192"/>
      <c r="F9" s="67"/>
    </row>
    <row r="10" spans="2:33" ht="49.5" customHeight="1" x14ac:dyDescent="0.25">
      <c r="B10" s="102"/>
      <c r="C10" s="103"/>
      <c r="D10" s="104"/>
      <c r="E10" s="104"/>
      <c r="F10" s="105"/>
      <c r="G10" s="185" t="s">
        <v>34</v>
      </c>
      <c r="H10" s="185"/>
      <c r="I10" s="185"/>
      <c r="J10" s="185"/>
      <c r="K10" s="185"/>
      <c r="L10" s="185"/>
      <c r="M10" s="185"/>
      <c r="N10" s="185"/>
      <c r="O10" s="68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3" s="106" customFormat="1" ht="57.75" customHeight="1" x14ac:dyDescent="0.25">
      <c r="B11" s="107" t="s">
        <v>29</v>
      </c>
      <c r="C11" s="107" t="s">
        <v>39</v>
      </c>
      <c r="D11" s="107" t="s">
        <v>11</v>
      </c>
      <c r="E11" s="107" t="s">
        <v>40</v>
      </c>
      <c r="F11" s="107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3" s="106" customFormat="1" ht="14.25" customHeight="1" x14ac:dyDescent="0.25">
      <c r="B12" s="183" t="s">
        <v>56</v>
      </c>
      <c r="C12" s="183"/>
      <c r="D12" s="1">
        <f t="shared" ref="D12:N12" si="0">D44</f>
        <v>238</v>
      </c>
      <c r="E12" s="114">
        <f t="shared" si="0"/>
        <v>562</v>
      </c>
      <c r="F12" s="114">
        <f t="shared" si="0"/>
        <v>33185</v>
      </c>
      <c r="G12" s="114">
        <f t="shared" si="0"/>
        <v>1265</v>
      </c>
      <c r="H12" s="115">
        <f t="shared" si="0"/>
        <v>42380</v>
      </c>
      <c r="I12" s="115">
        <f t="shared" si="0"/>
        <v>33.501976284584977</v>
      </c>
      <c r="J12" s="116">
        <f t="shared" si="0"/>
        <v>3.8119632364019891E-2</v>
      </c>
      <c r="K12" s="115">
        <f t="shared" si="0"/>
        <v>5527.826086956522</v>
      </c>
      <c r="L12" s="115">
        <f t="shared" si="0"/>
        <v>36852.17391304348</v>
      </c>
      <c r="M12" s="115">
        <f t="shared" si="0"/>
        <v>3379.1300000000006</v>
      </c>
      <c r="N12" s="115">
        <f t="shared" si="0"/>
        <v>33473.043913043482</v>
      </c>
      <c r="O12" s="110"/>
      <c r="P12" s="117">
        <f t="shared" ref="P12:Y12" si="1">P44</f>
        <v>22104</v>
      </c>
      <c r="Q12" s="117">
        <f t="shared" si="1"/>
        <v>17.473517786561263</v>
      </c>
      <c r="R12" s="118">
        <f t="shared" si="1"/>
        <v>670</v>
      </c>
      <c r="S12" s="119">
        <f t="shared" si="1"/>
        <v>0.52964426877470361</v>
      </c>
      <c r="T12" s="117">
        <f t="shared" si="1"/>
        <v>2883.1304347826085</v>
      </c>
      <c r="U12" s="117">
        <f t="shared" si="1"/>
        <v>19220.869565217388</v>
      </c>
      <c r="V12" s="118">
        <f t="shared" si="1"/>
        <v>1426</v>
      </c>
      <c r="W12" s="116">
        <f t="shared" si="1"/>
        <v>1.1272727272727272</v>
      </c>
      <c r="X12" s="117">
        <f t="shared" si="1"/>
        <v>4410.68</v>
      </c>
      <c r="Y12" s="116">
        <f t="shared" si="1"/>
        <v>0.19954216431415131</v>
      </c>
      <c r="Z12" s="110"/>
      <c r="AA12" s="117">
        <f t="shared" ref="AA12:AF12" si="2">AA44</f>
        <v>42380</v>
      </c>
      <c r="AB12" s="117">
        <f t="shared" si="2"/>
        <v>33473.043913043482</v>
      </c>
      <c r="AC12" s="117">
        <f t="shared" si="2"/>
        <v>22104</v>
      </c>
      <c r="AD12" s="120">
        <f t="shared" si="2"/>
        <v>19220.869565217388</v>
      </c>
      <c r="AE12" s="117">
        <f t="shared" si="2"/>
        <v>64484</v>
      </c>
      <c r="AF12" s="117">
        <f t="shared" si="2"/>
        <v>52693.913478260874</v>
      </c>
    </row>
    <row r="13" spans="2:33" ht="15" customHeight="1" x14ac:dyDescent="0.25">
      <c r="B13" s="121">
        <v>46023</v>
      </c>
      <c r="C13" s="122" t="s">
        <v>57</v>
      </c>
      <c r="D13" s="123">
        <v>238</v>
      </c>
      <c r="E13" s="124">
        <v>17</v>
      </c>
      <c r="F13" s="124">
        <v>1016</v>
      </c>
      <c r="G13" s="124">
        <v>90</v>
      </c>
      <c r="H13" s="124">
        <v>3010</v>
      </c>
      <c r="I13" s="125">
        <f t="shared" ref="I13:I44" si="3">H13/G13</f>
        <v>33.444444444444443</v>
      </c>
      <c r="J13" s="126">
        <f t="shared" ref="J13:J43" si="4">G13/F13</f>
        <v>8.8582677165354326E-2</v>
      </c>
      <c r="K13" s="127">
        <f t="shared" ref="K13:K43" si="5">H13*15/115</f>
        <v>392.60869565217394</v>
      </c>
      <c r="L13" s="127">
        <f t="shared" ref="L13:L43" si="6">H13-K13</f>
        <v>2617.391304347826</v>
      </c>
      <c r="M13" s="128">
        <v>231.15</v>
      </c>
      <c r="N13" s="129">
        <f t="shared" ref="N13:N43" si="7">L13-M13</f>
        <v>2386.2413043478259</v>
      </c>
      <c r="O13" s="130"/>
      <c r="P13" s="46">
        <v>1203</v>
      </c>
      <c r="Q13" s="125">
        <f t="shared" ref="Q13:Q32" si="8">P13/G13</f>
        <v>13.366666666666667</v>
      </c>
      <c r="R13" s="131">
        <v>33</v>
      </c>
      <c r="S13" s="132">
        <f t="shared" ref="S13:S44" si="9">(R13/G13)</f>
        <v>0.36666666666666664</v>
      </c>
      <c r="T13" s="133">
        <f t="shared" ref="T13:T43" si="10">P13*15/115</f>
        <v>156.91304347826087</v>
      </c>
      <c r="U13" s="133">
        <f t="shared" ref="U13:U43" si="11">P13-T13</f>
        <v>1046.086956521739</v>
      </c>
      <c r="V13" s="131">
        <v>61</v>
      </c>
      <c r="W13" s="126">
        <f t="shared" ref="W13:W44" si="12">V13/G13</f>
        <v>0.67777777777777781</v>
      </c>
      <c r="X13" s="46">
        <v>252.53</v>
      </c>
      <c r="Y13" s="126">
        <f t="shared" ref="Y13:Y44" si="13">(X13/P13)</f>
        <v>0.2099168744804655</v>
      </c>
      <c r="Z13" s="134"/>
      <c r="AA13" s="125">
        <f t="shared" ref="AA13:AA43" si="14">H13</f>
        <v>3010</v>
      </c>
      <c r="AB13" s="125">
        <f t="shared" ref="AB13:AB43" si="15">N13</f>
        <v>2386.2413043478259</v>
      </c>
      <c r="AC13" s="135">
        <f t="shared" ref="AC13:AC43" si="16">P13</f>
        <v>1203</v>
      </c>
      <c r="AD13" s="136">
        <f t="shared" ref="AD13:AD43" si="17">U13</f>
        <v>1046.086956521739</v>
      </c>
      <c r="AE13" s="125">
        <f t="shared" ref="AE13:AE43" si="18">AA13+AC13</f>
        <v>4213</v>
      </c>
      <c r="AF13" s="46">
        <f t="shared" ref="AF13:AF43" si="19">AB13+AD13</f>
        <v>3432.3282608695649</v>
      </c>
      <c r="AG13" s="64" t="s">
        <v>58</v>
      </c>
    </row>
    <row r="14" spans="2:33" ht="15" customHeight="1" x14ac:dyDescent="0.25">
      <c r="B14" s="121">
        <v>46024</v>
      </c>
      <c r="C14" s="122" t="s">
        <v>59</v>
      </c>
      <c r="D14" s="123">
        <v>238</v>
      </c>
      <c r="E14" s="124">
        <v>17</v>
      </c>
      <c r="F14" s="124">
        <v>1016</v>
      </c>
      <c r="G14" s="124">
        <v>63</v>
      </c>
      <c r="H14" s="124">
        <v>2146</v>
      </c>
      <c r="I14" s="125">
        <f t="shared" si="3"/>
        <v>34.063492063492063</v>
      </c>
      <c r="J14" s="126">
        <f t="shared" si="4"/>
        <v>6.2007874015748032E-2</v>
      </c>
      <c r="K14" s="127">
        <f t="shared" si="5"/>
        <v>279.91304347826087</v>
      </c>
      <c r="L14" s="127">
        <f t="shared" si="6"/>
        <v>1866.086956521739</v>
      </c>
      <c r="M14" s="128">
        <v>181.06</v>
      </c>
      <c r="N14" s="129">
        <f t="shared" si="7"/>
        <v>1685.0269565217391</v>
      </c>
      <c r="O14" s="130"/>
      <c r="P14" s="46">
        <v>948</v>
      </c>
      <c r="Q14" s="125">
        <f t="shared" si="8"/>
        <v>15.047619047619047</v>
      </c>
      <c r="R14" s="131">
        <v>27</v>
      </c>
      <c r="S14" s="132">
        <f t="shared" si="9"/>
        <v>0.42857142857142855</v>
      </c>
      <c r="T14" s="133">
        <f t="shared" si="10"/>
        <v>123.65217391304348</v>
      </c>
      <c r="U14" s="133">
        <f t="shared" si="11"/>
        <v>824.3478260869565</v>
      </c>
      <c r="V14" s="131">
        <v>55</v>
      </c>
      <c r="W14" s="126">
        <f t="shared" si="12"/>
        <v>0.87301587301587302</v>
      </c>
      <c r="X14" s="46">
        <v>174.62</v>
      </c>
      <c r="Y14" s="126">
        <f t="shared" si="13"/>
        <v>0.18419831223628694</v>
      </c>
      <c r="Z14" s="134"/>
      <c r="AA14" s="125">
        <f t="shared" si="14"/>
        <v>2146</v>
      </c>
      <c r="AB14" s="125">
        <f t="shared" si="15"/>
        <v>1685.0269565217391</v>
      </c>
      <c r="AC14" s="135">
        <f t="shared" si="16"/>
        <v>948</v>
      </c>
      <c r="AD14" s="136">
        <f t="shared" si="17"/>
        <v>824.3478260869565</v>
      </c>
      <c r="AE14" s="125">
        <f t="shared" si="18"/>
        <v>3094</v>
      </c>
      <c r="AF14" s="46">
        <f t="shared" si="19"/>
        <v>2509.3747826086956</v>
      </c>
    </row>
    <row r="15" spans="2:33" ht="15" customHeight="1" x14ac:dyDescent="0.25">
      <c r="B15" s="121">
        <v>46025</v>
      </c>
      <c r="C15" s="122" t="s">
        <v>60</v>
      </c>
      <c r="D15" s="123">
        <v>238</v>
      </c>
      <c r="E15" s="124">
        <v>17</v>
      </c>
      <c r="F15" s="124">
        <v>1016</v>
      </c>
      <c r="G15" s="124">
        <v>31</v>
      </c>
      <c r="H15" s="124">
        <v>992</v>
      </c>
      <c r="I15" s="125">
        <f t="shared" si="3"/>
        <v>32</v>
      </c>
      <c r="J15" s="126">
        <f t="shared" si="4"/>
        <v>3.0511811023622049E-2</v>
      </c>
      <c r="K15" s="127">
        <f t="shared" si="5"/>
        <v>129.39130434782609</v>
      </c>
      <c r="L15" s="127">
        <f t="shared" si="6"/>
        <v>862.60869565217388</v>
      </c>
      <c r="M15" s="128">
        <v>86.27</v>
      </c>
      <c r="N15" s="129">
        <f t="shared" si="7"/>
        <v>776.3386956521739</v>
      </c>
      <c r="O15" s="130"/>
      <c r="P15" s="46">
        <v>374</v>
      </c>
      <c r="Q15" s="125">
        <f t="shared" si="8"/>
        <v>12.064516129032258</v>
      </c>
      <c r="R15" s="131">
        <v>12</v>
      </c>
      <c r="S15" s="132">
        <f t="shared" si="9"/>
        <v>0.38709677419354838</v>
      </c>
      <c r="T15" s="133">
        <f t="shared" si="10"/>
        <v>48.782608695652172</v>
      </c>
      <c r="U15" s="133">
        <f t="shared" si="11"/>
        <v>325.21739130434781</v>
      </c>
      <c r="V15" s="131">
        <v>22</v>
      </c>
      <c r="W15" s="126">
        <f t="shared" si="12"/>
        <v>0.70967741935483875</v>
      </c>
      <c r="X15" s="46">
        <v>64.260000000000005</v>
      </c>
      <c r="Y15" s="126">
        <f t="shared" si="13"/>
        <v>0.17181818181818184</v>
      </c>
      <c r="Z15" s="134"/>
      <c r="AA15" s="125">
        <f t="shared" si="14"/>
        <v>992</v>
      </c>
      <c r="AB15" s="125">
        <f t="shared" si="15"/>
        <v>776.3386956521739</v>
      </c>
      <c r="AC15" s="135">
        <f t="shared" si="16"/>
        <v>374</v>
      </c>
      <c r="AD15" s="136">
        <f t="shared" si="17"/>
        <v>325.21739130434781</v>
      </c>
      <c r="AE15" s="125">
        <f t="shared" si="18"/>
        <v>1366</v>
      </c>
      <c r="AF15" s="46">
        <f t="shared" si="19"/>
        <v>1101.5560869565218</v>
      </c>
    </row>
    <row r="16" spans="2:33" ht="15" customHeight="1" x14ac:dyDescent="0.25">
      <c r="B16" s="121">
        <v>46026</v>
      </c>
      <c r="C16" s="122" t="s">
        <v>61</v>
      </c>
      <c r="D16" s="123">
        <v>238</v>
      </c>
      <c r="E16" s="124">
        <v>17</v>
      </c>
      <c r="F16" s="124">
        <v>1016</v>
      </c>
      <c r="G16" s="124">
        <v>17</v>
      </c>
      <c r="H16" s="124">
        <v>594</v>
      </c>
      <c r="I16" s="125">
        <f t="shared" si="3"/>
        <v>34.941176470588232</v>
      </c>
      <c r="J16" s="126">
        <f t="shared" si="4"/>
        <v>1.6732283464566931E-2</v>
      </c>
      <c r="K16" s="127">
        <f t="shared" si="5"/>
        <v>77.478260869565219</v>
      </c>
      <c r="L16" s="127">
        <f t="shared" si="6"/>
        <v>516.52173913043475</v>
      </c>
      <c r="M16" s="128">
        <v>43.31</v>
      </c>
      <c r="N16" s="129">
        <f t="shared" si="7"/>
        <v>473.21173913043475</v>
      </c>
      <c r="O16" s="130"/>
      <c r="P16" s="46">
        <v>573</v>
      </c>
      <c r="Q16" s="125">
        <f t="shared" si="8"/>
        <v>33.705882352941174</v>
      </c>
      <c r="R16" s="131">
        <v>11</v>
      </c>
      <c r="S16" s="132">
        <f t="shared" si="9"/>
        <v>0.6470588235294118</v>
      </c>
      <c r="T16" s="133">
        <f t="shared" si="10"/>
        <v>74.739130434782609</v>
      </c>
      <c r="U16" s="133">
        <f t="shared" si="11"/>
        <v>498.26086956521738</v>
      </c>
      <c r="V16" s="131">
        <v>29</v>
      </c>
      <c r="W16" s="126">
        <f t="shared" si="12"/>
        <v>1.7058823529411764</v>
      </c>
      <c r="X16" s="46">
        <v>120.05</v>
      </c>
      <c r="Y16" s="126">
        <f t="shared" si="13"/>
        <v>0.20951134380453751</v>
      </c>
      <c r="Z16" s="134"/>
      <c r="AA16" s="125">
        <f t="shared" si="14"/>
        <v>594</v>
      </c>
      <c r="AB16" s="125">
        <f t="shared" si="15"/>
        <v>473.21173913043475</v>
      </c>
      <c r="AC16" s="135">
        <f t="shared" si="16"/>
        <v>573</v>
      </c>
      <c r="AD16" s="136">
        <f t="shared" si="17"/>
        <v>498.26086956521738</v>
      </c>
      <c r="AE16" s="125">
        <f t="shared" si="18"/>
        <v>1167</v>
      </c>
      <c r="AF16" s="46">
        <f t="shared" si="19"/>
        <v>971.47260869565207</v>
      </c>
    </row>
    <row r="17" spans="2:32" ht="15" customHeight="1" x14ac:dyDescent="0.25">
      <c r="B17" s="121">
        <v>46027</v>
      </c>
      <c r="C17" s="122" t="s">
        <v>62</v>
      </c>
      <c r="D17" s="123">
        <v>238</v>
      </c>
      <c r="E17" s="124">
        <v>17</v>
      </c>
      <c r="F17" s="124">
        <v>1016</v>
      </c>
      <c r="G17" s="124">
        <v>31</v>
      </c>
      <c r="H17" s="124">
        <v>992</v>
      </c>
      <c r="I17" s="125">
        <f t="shared" si="3"/>
        <v>32</v>
      </c>
      <c r="J17" s="126">
        <f t="shared" si="4"/>
        <v>3.0511811023622049E-2</v>
      </c>
      <c r="K17" s="127">
        <f t="shared" si="5"/>
        <v>129.39130434782609</v>
      </c>
      <c r="L17" s="127">
        <f t="shared" si="6"/>
        <v>862.60869565217388</v>
      </c>
      <c r="M17" s="128">
        <v>80.709999999999994</v>
      </c>
      <c r="N17" s="129">
        <f t="shared" si="7"/>
        <v>781.89869565217384</v>
      </c>
      <c r="O17" s="130"/>
      <c r="P17" s="46">
        <v>662</v>
      </c>
      <c r="Q17" s="125">
        <f t="shared" si="8"/>
        <v>21.35483870967742</v>
      </c>
      <c r="R17" s="131">
        <v>22</v>
      </c>
      <c r="S17" s="132">
        <f t="shared" si="9"/>
        <v>0.70967741935483875</v>
      </c>
      <c r="T17" s="133">
        <f t="shared" si="10"/>
        <v>86.347826086956516</v>
      </c>
      <c r="U17" s="133">
        <f t="shared" si="11"/>
        <v>575.6521739130435</v>
      </c>
      <c r="V17" s="131">
        <v>30</v>
      </c>
      <c r="W17" s="126">
        <f t="shared" si="12"/>
        <v>0.967741935483871</v>
      </c>
      <c r="X17" s="46">
        <v>132.31</v>
      </c>
      <c r="Y17" s="126">
        <f t="shared" si="13"/>
        <v>0.19986404833836857</v>
      </c>
      <c r="Z17" s="134"/>
      <c r="AA17" s="125">
        <f t="shared" si="14"/>
        <v>992</v>
      </c>
      <c r="AB17" s="125">
        <f t="shared" si="15"/>
        <v>781.89869565217384</v>
      </c>
      <c r="AC17" s="135">
        <f t="shared" si="16"/>
        <v>662</v>
      </c>
      <c r="AD17" s="136">
        <f t="shared" si="17"/>
        <v>575.6521739130435</v>
      </c>
      <c r="AE17" s="125">
        <f t="shared" si="18"/>
        <v>1654</v>
      </c>
      <c r="AF17" s="46">
        <f t="shared" si="19"/>
        <v>1357.5508695652175</v>
      </c>
    </row>
    <row r="18" spans="2:32" ht="15" customHeight="1" x14ac:dyDescent="0.25">
      <c r="B18" s="121">
        <v>46028</v>
      </c>
      <c r="C18" s="122" t="s">
        <v>63</v>
      </c>
      <c r="D18" s="123">
        <v>238</v>
      </c>
      <c r="E18" s="124">
        <v>17</v>
      </c>
      <c r="F18" s="124">
        <v>1016</v>
      </c>
      <c r="G18" s="124">
        <v>22</v>
      </c>
      <c r="H18" s="124">
        <v>724</v>
      </c>
      <c r="I18" s="125">
        <f t="shared" si="3"/>
        <v>32.909090909090907</v>
      </c>
      <c r="J18" s="126">
        <f t="shared" si="4"/>
        <v>2.1653543307086614E-2</v>
      </c>
      <c r="K18" s="127">
        <f t="shared" si="5"/>
        <v>94.434782608695656</v>
      </c>
      <c r="L18" s="127">
        <f t="shared" si="6"/>
        <v>629.56521739130437</v>
      </c>
      <c r="M18" s="128">
        <v>62.96</v>
      </c>
      <c r="N18" s="129">
        <f t="shared" si="7"/>
        <v>566.60521739130434</v>
      </c>
      <c r="O18" s="130"/>
      <c r="P18" s="46">
        <v>332</v>
      </c>
      <c r="Q18" s="125">
        <f t="shared" si="8"/>
        <v>15.090909090909092</v>
      </c>
      <c r="R18" s="131">
        <v>8</v>
      </c>
      <c r="S18" s="132">
        <f t="shared" si="9"/>
        <v>0.36363636363636365</v>
      </c>
      <c r="T18" s="133">
        <f t="shared" si="10"/>
        <v>43.304347826086953</v>
      </c>
      <c r="U18" s="133">
        <f t="shared" si="11"/>
        <v>288.69565217391306</v>
      </c>
      <c r="V18" s="131">
        <v>19</v>
      </c>
      <c r="W18" s="126">
        <f t="shared" si="12"/>
        <v>0.86363636363636365</v>
      </c>
      <c r="X18" s="46">
        <v>79.34</v>
      </c>
      <c r="Y18" s="126">
        <f t="shared" si="13"/>
        <v>0.23897590361445784</v>
      </c>
      <c r="Z18" s="134"/>
      <c r="AA18" s="125">
        <f t="shared" si="14"/>
        <v>724</v>
      </c>
      <c r="AB18" s="125">
        <f t="shared" si="15"/>
        <v>566.60521739130434</v>
      </c>
      <c r="AC18" s="135">
        <f t="shared" si="16"/>
        <v>332</v>
      </c>
      <c r="AD18" s="136">
        <f t="shared" si="17"/>
        <v>288.69565217391306</v>
      </c>
      <c r="AE18" s="125">
        <f t="shared" si="18"/>
        <v>1056</v>
      </c>
      <c r="AF18" s="46">
        <f t="shared" si="19"/>
        <v>855.30086956521745</v>
      </c>
    </row>
    <row r="19" spans="2:32" ht="15" customHeight="1" x14ac:dyDescent="0.25">
      <c r="B19" s="121">
        <v>46029</v>
      </c>
      <c r="C19" s="122" t="s">
        <v>64</v>
      </c>
      <c r="D19" s="123">
        <v>238</v>
      </c>
      <c r="E19" s="124">
        <v>17</v>
      </c>
      <c r="F19" s="124">
        <v>1016</v>
      </c>
      <c r="G19" s="124">
        <v>41</v>
      </c>
      <c r="H19" s="124">
        <v>1332</v>
      </c>
      <c r="I19" s="125">
        <f t="shared" si="3"/>
        <v>32.487804878048777</v>
      </c>
      <c r="J19" s="126">
        <f t="shared" si="4"/>
        <v>4.0354330708661415E-2</v>
      </c>
      <c r="K19" s="127">
        <f t="shared" si="5"/>
        <v>173.7391304347826</v>
      </c>
      <c r="L19" s="127">
        <f t="shared" si="6"/>
        <v>1158.2608695652175</v>
      </c>
      <c r="M19" s="128">
        <v>88.01</v>
      </c>
      <c r="N19" s="129">
        <f t="shared" si="7"/>
        <v>1070.2508695652175</v>
      </c>
      <c r="O19" s="130"/>
      <c r="P19" s="46">
        <v>596</v>
      </c>
      <c r="Q19" s="125">
        <f t="shared" si="8"/>
        <v>14.536585365853659</v>
      </c>
      <c r="R19" s="131">
        <v>36</v>
      </c>
      <c r="S19" s="132">
        <f t="shared" si="9"/>
        <v>0.87804878048780488</v>
      </c>
      <c r="T19" s="133">
        <f t="shared" si="10"/>
        <v>77.739130434782609</v>
      </c>
      <c r="U19" s="133">
        <f t="shared" si="11"/>
        <v>518.26086956521738</v>
      </c>
      <c r="V19" s="131">
        <v>78</v>
      </c>
      <c r="W19" s="126">
        <f t="shared" si="12"/>
        <v>1.9024390243902438</v>
      </c>
      <c r="X19" s="46">
        <v>156.30000000000001</v>
      </c>
      <c r="Y19" s="126">
        <f t="shared" si="13"/>
        <v>0.26224832214765104</v>
      </c>
      <c r="Z19" s="134"/>
      <c r="AA19" s="125">
        <f t="shared" si="14"/>
        <v>1332</v>
      </c>
      <c r="AB19" s="125">
        <f t="shared" si="15"/>
        <v>1070.2508695652175</v>
      </c>
      <c r="AC19" s="135">
        <f t="shared" si="16"/>
        <v>596</v>
      </c>
      <c r="AD19" s="136">
        <f t="shared" si="17"/>
        <v>518.26086956521738</v>
      </c>
      <c r="AE19" s="125">
        <f t="shared" si="18"/>
        <v>1928</v>
      </c>
      <c r="AF19" s="46">
        <f t="shared" si="19"/>
        <v>1588.5117391304348</v>
      </c>
    </row>
    <row r="20" spans="2:32" ht="15" customHeight="1" x14ac:dyDescent="0.25">
      <c r="B20" s="121">
        <v>46030</v>
      </c>
      <c r="C20" s="122" t="s">
        <v>57</v>
      </c>
      <c r="D20" s="123">
        <v>238</v>
      </c>
      <c r="E20" s="124">
        <v>20</v>
      </c>
      <c r="F20" s="124">
        <v>1190</v>
      </c>
      <c r="G20" s="124">
        <v>58</v>
      </c>
      <c r="H20" s="124">
        <v>1936</v>
      </c>
      <c r="I20" s="125">
        <f t="shared" si="3"/>
        <v>33.379310344827587</v>
      </c>
      <c r="J20" s="126">
        <f t="shared" si="4"/>
        <v>4.8739495798319328E-2</v>
      </c>
      <c r="K20" s="127">
        <f t="shared" si="5"/>
        <v>252.52173913043478</v>
      </c>
      <c r="L20" s="127">
        <f t="shared" si="6"/>
        <v>1683.4782608695652</v>
      </c>
      <c r="M20" s="128">
        <v>162.80000000000001</v>
      </c>
      <c r="N20" s="129">
        <f t="shared" si="7"/>
        <v>1520.6782608695653</v>
      </c>
      <c r="O20" s="130"/>
      <c r="P20" s="46">
        <v>1276</v>
      </c>
      <c r="Q20" s="125">
        <f t="shared" si="8"/>
        <v>22</v>
      </c>
      <c r="R20" s="131">
        <v>41</v>
      </c>
      <c r="S20" s="132">
        <f t="shared" si="9"/>
        <v>0.7068965517241379</v>
      </c>
      <c r="T20" s="133">
        <f t="shared" si="10"/>
        <v>166.43478260869566</v>
      </c>
      <c r="U20" s="133">
        <f t="shared" si="11"/>
        <v>1109.5652173913043</v>
      </c>
      <c r="V20" s="131">
        <v>70</v>
      </c>
      <c r="W20" s="126">
        <f t="shared" si="12"/>
        <v>1.2068965517241379</v>
      </c>
      <c r="X20" s="46">
        <v>218.51</v>
      </c>
      <c r="Y20" s="126">
        <f t="shared" si="13"/>
        <v>0.17124608150470219</v>
      </c>
      <c r="Z20" s="134"/>
      <c r="AA20" s="125">
        <f t="shared" si="14"/>
        <v>1936</v>
      </c>
      <c r="AB20" s="125">
        <f t="shared" si="15"/>
        <v>1520.6782608695653</v>
      </c>
      <c r="AC20" s="135">
        <f t="shared" si="16"/>
        <v>1276</v>
      </c>
      <c r="AD20" s="136">
        <f t="shared" si="17"/>
        <v>1109.5652173913043</v>
      </c>
      <c r="AE20" s="125">
        <f t="shared" si="18"/>
        <v>3212</v>
      </c>
      <c r="AF20" s="46">
        <f t="shared" si="19"/>
        <v>2630.2434782608698</v>
      </c>
    </row>
    <row r="21" spans="2:32" ht="15" customHeight="1" x14ac:dyDescent="0.25">
      <c r="B21" s="121">
        <v>46031</v>
      </c>
      <c r="C21" s="122" t="s">
        <v>59</v>
      </c>
      <c r="D21" s="123">
        <v>238</v>
      </c>
      <c r="E21" s="124">
        <v>16</v>
      </c>
      <c r="F21" s="124">
        <v>952</v>
      </c>
      <c r="G21" s="124">
        <v>71</v>
      </c>
      <c r="H21" s="124">
        <v>2382</v>
      </c>
      <c r="I21" s="125">
        <f t="shared" si="3"/>
        <v>33.549295774647888</v>
      </c>
      <c r="J21" s="126">
        <f t="shared" si="4"/>
        <v>7.4579831932773108E-2</v>
      </c>
      <c r="K21" s="127">
        <f t="shared" si="5"/>
        <v>310.69565217391306</v>
      </c>
      <c r="L21" s="127">
        <f t="shared" si="6"/>
        <v>2071.304347826087</v>
      </c>
      <c r="M21" s="128">
        <v>174.8</v>
      </c>
      <c r="N21" s="129">
        <f t="shared" si="7"/>
        <v>1896.504347826087</v>
      </c>
      <c r="O21" s="130"/>
      <c r="P21" s="46">
        <v>1179</v>
      </c>
      <c r="Q21" s="125">
        <f t="shared" si="8"/>
        <v>16.6056338028169</v>
      </c>
      <c r="R21" s="131">
        <v>31</v>
      </c>
      <c r="S21" s="132">
        <f t="shared" si="9"/>
        <v>0.43661971830985913</v>
      </c>
      <c r="T21" s="133">
        <f t="shared" si="10"/>
        <v>153.78260869565219</v>
      </c>
      <c r="U21" s="133">
        <f t="shared" si="11"/>
        <v>1025.2173913043478</v>
      </c>
      <c r="V21" s="131">
        <v>68</v>
      </c>
      <c r="W21" s="126">
        <f t="shared" si="12"/>
        <v>0.95774647887323938</v>
      </c>
      <c r="X21" s="46">
        <v>213.65</v>
      </c>
      <c r="Y21" s="126">
        <f t="shared" si="13"/>
        <v>0.18121289228159457</v>
      </c>
      <c r="Z21" s="134"/>
      <c r="AA21" s="125">
        <f t="shared" si="14"/>
        <v>2382</v>
      </c>
      <c r="AB21" s="125">
        <f t="shared" si="15"/>
        <v>1896.504347826087</v>
      </c>
      <c r="AC21" s="135">
        <f t="shared" si="16"/>
        <v>1179</v>
      </c>
      <c r="AD21" s="136">
        <f t="shared" si="17"/>
        <v>1025.2173913043478</v>
      </c>
      <c r="AE21" s="125">
        <f t="shared" si="18"/>
        <v>3561</v>
      </c>
      <c r="AF21" s="46">
        <f t="shared" si="19"/>
        <v>2921.7217391304348</v>
      </c>
    </row>
    <row r="22" spans="2:32" ht="15" customHeight="1" x14ac:dyDescent="0.25">
      <c r="B22" s="121">
        <v>46032</v>
      </c>
      <c r="C22" s="122" t="s">
        <v>60</v>
      </c>
      <c r="D22" s="123">
        <v>238</v>
      </c>
      <c r="E22" s="124">
        <v>20</v>
      </c>
      <c r="F22" s="124">
        <v>1190</v>
      </c>
      <c r="G22" s="124">
        <v>61</v>
      </c>
      <c r="H22" s="124">
        <v>2002</v>
      </c>
      <c r="I22" s="125">
        <f t="shared" si="3"/>
        <v>32.819672131147541</v>
      </c>
      <c r="J22" s="126">
        <f t="shared" si="4"/>
        <v>5.1260504201680671E-2</v>
      </c>
      <c r="K22" s="127">
        <f t="shared" si="5"/>
        <v>261.13043478260869</v>
      </c>
      <c r="L22" s="127">
        <f t="shared" si="6"/>
        <v>1740.8695652173913</v>
      </c>
      <c r="M22" s="128">
        <v>137.93</v>
      </c>
      <c r="N22" s="129">
        <f t="shared" si="7"/>
        <v>1602.9395652173912</v>
      </c>
      <c r="O22" s="130"/>
      <c r="P22" s="46">
        <v>1006</v>
      </c>
      <c r="Q22" s="125">
        <f t="shared" si="8"/>
        <v>16.491803278688526</v>
      </c>
      <c r="R22" s="131">
        <v>28</v>
      </c>
      <c r="S22" s="132">
        <f t="shared" si="9"/>
        <v>0.45901639344262296</v>
      </c>
      <c r="T22" s="133">
        <f t="shared" si="10"/>
        <v>131.21739130434781</v>
      </c>
      <c r="U22" s="133">
        <f t="shared" si="11"/>
        <v>874.78260869565224</v>
      </c>
      <c r="V22" s="131">
        <v>65</v>
      </c>
      <c r="W22" s="126">
        <f t="shared" si="12"/>
        <v>1.0655737704918034</v>
      </c>
      <c r="X22" s="46">
        <v>196.35</v>
      </c>
      <c r="Y22" s="126">
        <f t="shared" si="13"/>
        <v>0.19517892644135187</v>
      </c>
      <c r="Z22" s="134"/>
      <c r="AA22" s="125">
        <f t="shared" si="14"/>
        <v>2002</v>
      </c>
      <c r="AB22" s="125">
        <f t="shared" si="15"/>
        <v>1602.9395652173912</v>
      </c>
      <c r="AC22" s="135">
        <f t="shared" si="16"/>
        <v>1006</v>
      </c>
      <c r="AD22" s="136">
        <f t="shared" si="17"/>
        <v>874.78260869565224</v>
      </c>
      <c r="AE22" s="125">
        <f t="shared" si="18"/>
        <v>3008</v>
      </c>
      <c r="AF22" s="46">
        <f t="shared" si="19"/>
        <v>2477.7221739130437</v>
      </c>
    </row>
    <row r="23" spans="2:32" ht="15" customHeight="1" x14ac:dyDescent="0.25">
      <c r="B23" s="121">
        <v>46033</v>
      </c>
      <c r="C23" s="122" t="s">
        <v>61</v>
      </c>
      <c r="D23" s="123">
        <v>238</v>
      </c>
      <c r="E23" s="124">
        <v>20</v>
      </c>
      <c r="F23" s="124">
        <v>1190</v>
      </c>
      <c r="G23" s="124">
        <v>40</v>
      </c>
      <c r="H23" s="124">
        <v>1410</v>
      </c>
      <c r="I23" s="125">
        <f t="shared" si="3"/>
        <v>35.25</v>
      </c>
      <c r="J23" s="126">
        <f t="shared" si="4"/>
        <v>3.3613445378151259E-2</v>
      </c>
      <c r="K23" s="127">
        <f t="shared" si="5"/>
        <v>183.91304347826087</v>
      </c>
      <c r="L23" s="127">
        <f t="shared" si="6"/>
        <v>1226.086956521739</v>
      </c>
      <c r="M23" s="128">
        <v>81.22</v>
      </c>
      <c r="N23" s="129">
        <f t="shared" si="7"/>
        <v>1144.866956521739</v>
      </c>
      <c r="O23" s="130"/>
      <c r="P23" s="46">
        <v>884</v>
      </c>
      <c r="Q23" s="125">
        <f t="shared" si="8"/>
        <v>22.1</v>
      </c>
      <c r="R23" s="131">
        <v>37</v>
      </c>
      <c r="S23" s="132">
        <f t="shared" si="9"/>
        <v>0.92500000000000004</v>
      </c>
      <c r="T23" s="133">
        <f t="shared" si="10"/>
        <v>115.30434782608695</v>
      </c>
      <c r="U23" s="133">
        <f t="shared" si="11"/>
        <v>768.695652173913</v>
      </c>
      <c r="V23" s="131">
        <v>75</v>
      </c>
      <c r="W23" s="126">
        <f t="shared" si="12"/>
        <v>1.875</v>
      </c>
      <c r="X23" s="46">
        <v>181.39</v>
      </c>
      <c r="Y23" s="126">
        <f t="shared" si="13"/>
        <v>0.20519230769230767</v>
      </c>
      <c r="Z23" s="134"/>
      <c r="AA23" s="125">
        <f t="shared" si="14"/>
        <v>1410</v>
      </c>
      <c r="AB23" s="125">
        <f t="shared" si="15"/>
        <v>1144.866956521739</v>
      </c>
      <c r="AC23" s="135">
        <f t="shared" si="16"/>
        <v>884</v>
      </c>
      <c r="AD23" s="136">
        <f t="shared" si="17"/>
        <v>768.695652173913</v>
      </c>
      <c r="AE23" s="125">
        <f t="shared" si="18"/>
        <v>2294</v>
      </c>
      <c r="AF23" s="46">
        <f t="shared" si="19"/>
        <v>1913.562608695652</v>
      </c>
    </row>
    <row r="24" spans="2:32" ht="15" customHeight="1" x14ac:dyDescent="0.25">
      <c r="B24" s="121">
        <v>46034</v>
      </c>
      <c r="C24" s="122" t="s">
        <v>62</v>
      </c>
      <c r="D24" s="123">
        <v>238</v>
      </c>
      <c r="E24" s="124">
        <v>20</v>
      </c>
      <c r="F24" s="124">
        <v>1190</v>
      </c>
      <c r="G24" s="124">
        <v>33</v>
      </c>
      <c r="H24" s="124">
        <v>1056</v>
      </c>
      <c r="I24" s="125">
        <f t="shared" si="3"/>
        <v>32</v>
      </c>
      <c r="J24" s="126">
        <f t="shared" si="4"/>
        <v>2.7731092436974789E-2</v>
      </c>
      <c r="K24" s="127">
        <f t="shared" si="5"/>
        <v>137.7391304347826</v>
      </c>
      <c r="L24" s="127">
        <f t="shared" si="6"/>
        <v>918.26086956521738</v>
      </c>
      <c r="M24" s="128">
        <v>58.44</v>
      </c>
      <c r="N24" s="129">
        <f t="shared" si="7"/>
        <v>859.82086956521744</v>
      </c>
      <c r="O24" s="130"/>
      <c r="P24" s="46">
        <v>770</v>
      </c>
      <c r="Q24" s="125">
        <f t="shared" si="8"/>
        <v>23.333333333333332</v>
      </c>
      <c r="R24" s="131">
        <v>14</v>
      </c>
      <c r="S24" s="132">
        <f t="shared" si="9"/>
        <v>0.42424242424242425</v>
      </c>
      <c r="T24" s="133">
        <f t="shared" si="10"/>
        <v>100.43478260869566</v>
      </c>
      <c r="U24" s="133">
        <f t="shared" si="11"/>
        <v>669.56521739130437</v>
      </c>
      <c r="V24" s="131">
        <v>69</v>
      </c>
      <c r="W24" s="126">
        <f t="shared" si="12"/>
        <v>2.0909090909090908</v>
      </c>
      <c r="X24" s="46">
        <v>154.65</v>
      </c>
      <c r="Y24" s="126">
        <f t="shared" si="13"/>
        <v>0.20084415584415585</v>
      </c>
      <c r="Z24" s="134"/>
      <c r="AA24" s="125">
        <f t="shared" si="14"/>
        <v>1056</v>
      </c>
      <c r="AB24" s="125">
        <f t="shared" si="15"/>
        <v>859.82086956521744</v>
      </c>
      <c r="AC24" s="135">
        <f t="shared" si="16"/>
        <v>770</v>
      </c>
      <c r="AD24" s="136">
        <f t="shared" si="17"/>
        <v>669.56521739130437</v>
      </c>
      <c r="AE24" s="125">
        <f t="shared" si="18"/>
        <v>1826</v>
      </c>
      <c r="AF24" s="46">
        <f t="shared" si="19"/>
        <v>1529.3860869565219</v>
      </c>
    </row>
    <row r="25" spans="2:32" ht="15" customHeight="1" x14ac:dyDescent="0.25">
      <c r="B25" s="121">
        <v>46035</v>
      </c>
      <c r="C25" s="122" t="s">
        <v>63</v>
      </c>
      <c r="D25" s="123">
        <v>238</v>
      </c>
      <c r="E25" s="124">
        <v>20</v>
      </c>
      <c r="F25" s="124">
        <v>1190</v>
      </c>
      <c r="G25" s="124">
        <v>23</v>
      </c>
      <c r="H25" s="124">
        <v>756</v>
      </c>
      <c r="I25" s="125">
        <f t="shared" si="3"/>
        <v>32.869565217391305</v>
      </c>
      <c r="J25" s="126">
        <f t="shared" si="4"/>
        <v>1.9327731092436976E-2</v>
      </c>
      <c r="K25" s="127">
        <f t="shared" si="5"/>
        <v>98.608695652173907</v>
      </c>
      <c r="L25" s="127">
        <f t="shared" si="6"/>
        <v>657.39130434782612</v>
      </c>
      <c r="M25" s="128">
        <v>49.05</v>
      </c>
      <c r="N25" s="129">
        <f t="shared" si="7"/>
        <v>608.34130434782617</v>
      </c>
      <c r="O25" s="130"/>
      <c r="P25" s="46">
        <v>1059</v>
      </c>
      <c r="Q25" s="125">
        <f t="shared" si="8"/>
        <v>46.043478260869563</v>
      </c>
      <c r="R25" s="131">
        <v>30</v>
      </c>
      <c r="S25" s="132">
        <f t="shared" si="9"/>
        <v>1.3043478260869565</v>
      </c>
      <c r="T25" s="133">
        <f t="shared" si="10"/>
        <v>138.13043478260869</v>
      </c>
      <c r="U25" s="133">
        <f t="shared" si="11"/>
        <v>920.86956521739125</v>
      </c>
      <c r="V25" s="131">
        <v>69</v>
      </c>
      <c r="W25" s="126">
        <f t="shared" si="12"/>
        <v>3</v>
      </c>
      <c r="X25" s="46">
        <v>224.45</v>
      </c>
      <c r="Y25" s="126">
        <f t="shared" si="13"/>
        <v>0.2119452313503305</v>
      </c>
      <c r="Z25" s="134"/>
      <c r="AA25" s="125">
        <f t="shared" si="14"/>
        <v>756</v>
      </c>
      <c r="AB25" s="125">
        <f t="shared" si="15"/>
        <v>608.34130434782617</v>
      </c>
      <c r="AC25" s="135">
        <f t="shared" si="16"/>
        <v>1059</v>
      </c>
      <c r="AD25" s="136">
        <f t="shared" si="17"/>
        <v>920.86956521739125</v>
      </c>
      <c r="AE25" s="125">
        <f t="shared" si="18"/>
        <v>1815</v>
      </c>
      <c r="AF25" s="46">
        <f t="shared" si="19"/>
        <v>1529.2108695652173</v>
      </c>
    </row>
    <row r="26" spans="2:32" ht="15" customHeight="1" x14ac:dyDescent="0.25">
      <c r="B26" s="121">
        <v>46036</v>
      </c>
      <c r="C26" s="122" t="s">
        <v>64</v>
      </c>
      <c r="D26" s="123">
        <v>238</v>
      </c>
      <c r="E26" s="124">
        <v>20</v>
      </c>
      <c r="F26" s="124">
        <v>1190</v>
      </c>
      <c r="G26" s="124">
        <v>53</v>
      </c>
      <c r="H26" s="124">
        <v>1766</v>
      </c>
      <c r="I26" s="125">
        <f t="shared" si="3"/>
        <v>33.320754716981135</v>
      </c>
      <c r="J26" s="126">
        <f t="shared" si="4"/>
        <v>4.4537815126050422E-2</v>
      </c>
      <c r="K26" s="127">
        <f t="shared" si="5"/>
        <v>230.34782608695653</v>
      </c>
      <c r="L26" s="127">
        <f t="shared" si="6"/>
        <v>1535.6521739130435</v>
      </c>
      <c r="M26" s="128">
        <v>145.22999999999999</v>
      </c>
      <c r="N26" s="129">
        <f t="shared" si="7"/>
        <v>1390.4221739130435</v>
      </c>
      <c r="O26" s="130"/>
      <c r="P26" s="46">
        <v>843</v>
      </c>
      <c r="Q26" s="125">
        <f t="shared" si="8"/>
        <v>15.90566037735849</v>
      </c>
      <c r="R26" s="131">
        <v>31</v>
      </c>
      <c r="S26" s="132">
        <f t="shared" si="9"/>
        <v>0.58490566037735847</v>
      </c>
      <c r="T26" s="133">
        <f t="shared" si="10"/>
        <v>109.95652173913044</v>
      </c>
      <c r="U26" s="133">
        <f t="shared" si="11"/>
        <v>733.04347826086951</v>
      </c>
      <c r="V26" s="131">
        <v>85</v>
      </c>
      <c r="W26" s="126">
        <f t="shared" si="12"/>
        <v>1.6037735849056605</v>
      </c>
      <c r="X26" s="46">
        <v>234.47</v>
      </c>
      <c r="Y26" s="126">
        <f t="shared" si="13"/>
        <v>0.2781376037959668</v>
      </c>
      <c r="Z26" s="134"/>
      <c r="AA26" s="125">
        <f t="shared" si="14"/>
        <v>1766</v>
      </c>
      <c r="AB26" s="125">
        <f t="shared" si="15"/>
        <v>1390.4221739130435</v>
      </c>
      <c r="AC26" s="135">
        <f t="shared" si="16"/>
        <v>843</v>
      </c>
      <c r="AD26" s="136">
        <f t="shared" si="17"/>
        <v>733.04347826086951</v>
      </c>
      <c r="AE26" s="125">
        <f t="shared" si="18"/>
        <v>2609</v>
      </c>
      <c r="AF26" s="46">
        <f t="shared" si="19"/>
        <v>2123.465652173913</v>
      </c>
    </row>
    <row r="27" spans="2:32" ht="15" customHeight="1" x14ac:dyDescent="0.25">
      <c r="B27" s="121">
        <v>46037</v>
      </c>
      <c r="C27" s="122" t="s">
        <v>57</v>
      </c>
      <c r="D27" s="123">
        <v>238</v>
      </c>
      <c r="E27" s="124">
        <v>18</v>
      </c>
      <c r="F27" s="124">
        <v>1053</v>
      </c>
      <c r="G27" s="124">
        <v>35</v>
      </c>
      <c r="H27" s="124">
        <v>1160</v>
      </c>
      <c r="I27" s="125">
        <f t="shared" si="3"/>
        <v>33.142857142857146</v>
      </c>
      <c r="J27" s="126">
        <f t="shared" si="4"/>
        <v>3.3238366571699908E-2</v>
      </c>
      <c r="K27" s="127">
        <f t="shared" si="5"/>
        <v>151.30434782608697</v>
      </c>
      <c r="L27" s="127">
        <f t="shared" si="6"/>
        <v>1008.695652173913</v>
      </c>
      <c r="M27" s="128">
        <v>79.66</v>
      </c>
      <c r="N27" s="129">
        <f t="shared" si="7"/>
        <v>929.03565217391304</v>
      </c>
      <c r="O27" s="130"/>
      <c r="P27" s="46">
        <v>1141</v>
      </c>
      <c r="Q27" s="125">
        <f t="shared" si="8"/>
        <v>32.6</v>
      </c>
      <c r="R27" s="131">
        <v>28</v>
      </c>
      <c r="S27" s="132">
        <f t="shared" si="9"/>
        <v>0.8</v>
      </c>
      <c r="T27" s="133">
        <f t="shared" si="10"/>
        <v>148.82608695652175</v>
      </c>
      <c r="U27" s="133">
        <f t="shared" si="11"/>
        <v>992.17391304347825</v>
      </c>
      <c r="V27" s="131">
        <v>73</v>
      </c>
      <c r="W27" s="126">
        <f t="shared" si="12"/>
        <v>2.0857142857142859</v>
      </c>
      <c r="X27" s="46">
        <v>220.08</v>
      </c>
      <c r="Y27" s="126">
        <f t="shared" si="13"/>
        <v>0.19288343558282209</v>
      </c>
      <c r="Z27" s="134"/>
      <c r="AA27" s="125">
        <f t="shared" si="14"/>
        <v>1160</v>
      </c>
      <c r="AB27" s="125">
        <f t="shared" si="15"/>
        <v>929.03565217391304</v>
      </c>
      <c r="AC27" s="135">
        <f t="shared" si="16"/>
        <v>1141</v>
      </c>
      <c r="AD27" s="136">
        <f t="shared" si="17"/>
        <v>992.17391304347825</v>
      </c>
      <c r="AE27" s="125">
        <f t="shared" si="18"/>
        <v>2301</v>
      </c>
      <c r="AF27" s="46">
        <f t="shared" si="19"/>
        <v>1921.2095652173912</v>
      </c>
    </row>
    <row r="28" spans="2:32" ht="15" customHeight="1" x14ac:dyDescent="0.25">
      <c r="B28" s="121">
        <v>46038</v>
      </c>
      <c r="C28" s="122" t="s">
        <v>59</v>
      </c>
      <c r="D28" s="123">
        <v>238</v>
      </c>
      <c r="E28" s="124">
        <v>18</v>
      </c>
      <c r="F28" s="124">
        <v>1053</v>
      </c>
      <c r="G28" s="124">
        <v>56</v>
      </c>
      <c r="H28" s="124">
        <v>1942</v>
      </c>
      <c r="I28" s="125">
        <f t="shared" si="3"/>
        <v>34.678571428571431</v>
      </c>
      <c r="J28" s="126">
        <f t="shared" si="4"/>
        <v>5.3181386514719847E-2</v>
      </c>
      <c r="K28" s="127">
        <f t="shared" si="5"/>
        <v>253.30434782608697</v>
      </c>
      <c r="L28" s="127">
        <f t="shared" si="6"/>
        <v>1688.695652173913</v>
      </c>
      <c r="M28" s="128">
        <v>154.97</v>
      </c>
      <c r="N28" s="129">
        <f t="shared" si="7"/>
        <v>1533.725652173913</v>
      </c>
      <c r="O28" s="130"/>
      <c r="P28" s="46">
        <v>1135</v>
      </c>
      <c r="Q28" s="125">
        <f t="shared" si="8"/>
        <v>20.267857142857142</v>
      </c>
      <c r="R28" s="131">
        <v>22</v>
      </c>
      <c r="S28" s="132">
        <f t="shared" si="9"/>
        <v>0.39285714285714285</v>
      </c>
      <c r="T28" s="133">
        <f t="shared" si="10"/>
        <v>148.04347826086956</v>
      </c>
      <c r="U28" s="133">
        <f t="shared" si="11"/>
        <v>986.95652173913049</v>
      </c>
      <c r="V28" s="131">
        <v>70</v>
      </c>
      <c r="W28" s="126">
        <f t="shared" si="12"/>
        <v>1.25</v>
      </c>
      <c r="X28" s="46">
        <v>223.03</v>
      </c>
      <c r="Y28" s="126">
        <f t="shared" si="13"/>
        <v>0.19650220264317181</v>
      </c>
      <c r="Z28" s="134"/>
      <c r="AA28" s="125">
        <f t="shared" si="14"/>
        <v>1942</v>
      </c>
      <c r="AB28" s="125">
        <f t="shared" si="15"/>
        <v>1533.725652173913</v>
      </c>
      <c r="AC28" s="135">
        <f t="shared" si="16"/>
        <v>1135</v>
      </c>
      <c r="AD28" s="136">
        <f t="shared" si="17"/>
        <v>986.95652173913049</v>
      </c>
      <c r="AE28" s="125">
        <f t="shared" si="18"/>
        <v>3077</v>
      </c>
      <c r="AF28" s="46">
        <f t="shared" si="19"/>
        <v>2520.6821739130437</v>
      </c>
    </row>
    <row r="29" spans="2:32" ht="15" customHeight="1" x14ac:dyDescent="0.25">
      <c r="B29" s="121">
        <v>46039</v>
      </c>
      <c r="C29" s="122" t="s">
        <v>60</v>
      </c>
      <c r="D29" s="123">
        <v>238</v>
      </c>
      <c r="E29" s="124">
        <v>18</v>
      </c>
      <c r="F29" s="124">
        <v>1053</v>
      </c>
      <c r="G29" s="124">
        <v>9</v>
      </c>
      <c r="H29" s="124">
        <v>308</v>
      </c>
      <c r="I29" s="125">
        <f t="shared" si="3"/>
        <v>34.222222222222221</v>
      </c>
      <c r="J29" s="126">
        <f t="shared" si="4"/>
        <v>8.5470085470085479E-3</v>
      </c>
      <c r="K29" s="127">
        <f t="shared" si="5"/>
        <v>40.173913043478258</v>
      </c>
      <c r="L29" s="127">
        <f t="shared" si="6"/>
        <v>267.82608695652175</v>
      </c>
      <c r="M29" s="128">
        <v>26.78</v>
      </c>
      <c r="N29" s="129">
        <f t="shared" si="7"/>
        <v>241.04608695652175</v>
      </c>
      <c r="O29" s="130"/>
      <c r="P29" s="46">
        <v>121</v>
      </c>
      <c r="Q29" s="125">
        <f t="shared" si="8"/>
        <v>13.444444444444445</v>
      </c>
      <c r="R29" s="131">
        <v>5</v>
      </c>
      <c r="S29" s="132">
        <f t="shared" si="9"/>
        <v>0.55555555555555558</v>
      </c>
      <c r="T29" s="133">
        <f t="shared" si="10"/>
        <v>15.782608695652174</v>
      </c>
      <c r="U29" s="133">
        <f t="shared" si="11"/>
        <v>105.21739130434783</v>
      </c>
      <c r="V29" s="131">
        <v>7</v>
      </c>
      <c r="W29" s="126">
        <f t="shared" si="12"/>
        <v>0.77777777777777779</v>
      </c>
      <c r="X29" s="46">
        <v>18.149999999999999</v>
      </c>
      <c r="Y29" s="126">
        <f t="shared" si="13"/>
        <v>0.15</v>
      </c>
      <c r="Z29" s="134"/>
      <c r="AA29" s="125">
        <f t="shared" si="14"/>
        <v>308</v>
      </c>
      <c r="AB29" s="125">
        <f t="shared" si="15"/>
        <v>241.04608695652175</v>
      </c>
      <c r="AC29" s="135">
        <f t="shared" si="16"/>
        <v>121</v>
      </c>
      <c r="AD29" s="136">
        <f t="shared" si="17"/>
        <v>105.21739130434783</v>
      </c>
      <c r="AE29" s="125">
        <f t="shared" si="18"/>
        <v>429</v>
      </c>
      <c r="AF29" s="46">
        <f t="shared" si="19"/>
        <v>346.26347826086959</v>
      </c>
    </row>
    <row r="30" spans="2:32" ht="15" customHeight="1" x14ac:dyDescent="0.25">
      <c r="B30" s="121">
        <v>46040</v>
      </c>
      <c r="C30" s="122" t="s">
        <v>61</v>
      </c>
      <c r="D30" s="123">
        <v>238</v>
      </c>
      <c r="E30" s="124">
        <v>18</v>
      </c>
      <c r="F30" s="124">
        <v>1053</v>
      </c>
      <c r="G30" s="124">
        <v>3</v>
      </c>
      <c r="H30" s="124">
        <v>96</v>
      </c>
      <c r="I30" s="125">
        <f t="shared" si="3"/>
        <v>32</v>
      </c>
      <c r="J30" s="132">
        <f t="shared" si="4"/>
        <v>2.8490028490028491E-3</v>
      </c>
      <c r="K30" s="127">
        <f t="shared" si="5"/>
        <v>12.521739130434783</v>
      </c>
      <c r="L30" s="127">
        <f t="shared" si="6"/>
        <v>83.478260869565219</v>
      </c>
      <c r="M30" s="128">
        <v>8.35</v>
      </c>
      <c r="N30" s="129">
        <f t="shared" si="7"/>
        <v>75.128260869565224</v>
      </c>
      <c r="O30" s="130"/>
      <c r="P30" s="46">
        <v>178</v>
      </c>
      <c r="Q30" s="125">
        <f t="shared" si="8"/>
        <v>59.333333333333336</v>
      </c>
      <c r="R30" s="131">
        <v>11</v>
      </c>
      <c r="S30" s="132">
        <f t="shared" si="9"/>
        <v>3.6666666666666665</v>
      </c>
      <c r="T30" s="133">
        <f t="shared" si="10"/>
        <v>23.217391304347824</v>
      </c>
      <c r="U30" s="133">
        <f t="shared" si="11"/>
        <v>154.78260869565219</v>
      </c>
      <c r="V30" s="131">
        <v>14</v>
      </c>
      <c r="W30" s="126">
        <f t="shared" si="12"/>
        <v>4.666666666666667</v>
      </c>
      <c r="X30" s="46">
        <v>40.18</v>
      </c>
      <c r="Y30" s="126">
        <f t="shared" si="13"/>
        <v>0.22573033707865167</v>
      </c>
      <c r="Z30" s="134"/>
      <c r="AA30" s="125">
        <f t="shared" si="14"/>
        <v>96</v>
      </c>
      <c r="AB30" s="125">
        <f t="shared" si="15"/>
        <v>75.128260869565224</v>
      </c>
      <c r="AC30" s="135">
        <f t="shared" si="16"/>
        <v>178</v>
      </c>
      <c r="AD30" s="136">
        <f t="shared" si="17"/>
        <v>154.78260869565219</v>
      </c>
      <c r="AE30" s="125">
        <f t="shared" si="18"/>
        <v>274</v>
      </c>
      <c r="AF30" s="46">
        <f t="shared" si="19"/>
        <v>229.91086956521741</v>
      </c>
    </row>
    <row r="31" spans="2:32" ht="15" customHeight="1" x14ac:dyDescent="0.25">
      <c r="B31" s="121">
        <v>46041</v>
      </c>
      <c r="C31" s="122" t="s">
        <v>62</v>
      </c>
      <c r="D31" s="123">
        <v>238</v>
      </c>
      <c r="E31" s="124">
        <v>18</v>
      </c>
      <c r="F31" s="124">
        <v>1053</v>
      </c>
      <c r="G31" s="124">
        <v>16</v>
      </c>
      <c r="H31" s="124">
        <v>512</v>
      </c>
      <c r="I31" s="125">
        <f t="shared" si="3"/>
        <v>32</v>
      </c>
      <c r="J31" s="126">
        <f t="shared" si="4"/>
        <v>1.5194681861348529E-2</v>
      </c>
      <c r="K31" s="127">
        <f t="shared" si="5"/>
        <v>66.782608695652172</v>
      </c>
      <c r="L31" s="127">
        <f t="shared" si="6"/>
        <v>445.21739130434781</v>
      </c>
      <c r="M31" s="128">
        <v>38.96</v>
      </c>
      <c r="N31" s="129">
        <f t="shared" si="7"/>
        <v>406.25739130434783</v>
      </c>
      <c r="O31" s="130"/>
      <c r="P31" s="46">
        <v>318</v>
      </c>
      <c r="Q31" s="125">
        <f t="shared" si="8"/>
        <v>19.875</v>
      </c>
      <c r="R31" s="131">
        <v>15</v>
      </c>
      <c r="S31" s="132">
        <f t="shared" si="9"/>
        <v>0.9375</v>
      </c>
      <c r="T31" s="133">
        <f t="shared" si="10"/>
        <v>41.478260869565219</v>
      </c>
      <c r="U31" s="133">
        <f t="shared" si="11"/>
        <v>276.52173913043475</v>
      </c>
      <c r="V31" s="131">
        <v>32</v>
      </c>
      <c r="W31" s="126">
        <f t="shared" si="12"/>
        <v>2</v>
      </c>
      <c r="X31" s="46">
        <v>86.32</v>
      </c>
      <c r="Y31" s="126">
        <f t="shared" si="13"/>
        <v>0.27144654088050313</v>
      </c>
      <c r="Z31" s="134"/>
      <c r="AA31" s="125">
        <f t="shared" si="14"/>
        <v>512</v>
      </c>
      <c r="AB31" s="125">
        <f t="shared" si="15"/>
        <v>406.25739130434783</v>
      </c>
      <c r="AC31" s="135">
        <f t="shared" si="16"/>
        <v>318</v>
      </c>
      <c r="AD31" s="136">
        <f t="shared" si="17"/>
        <v>276.52173913043475</v>
      </c>
      <c r="AE31" s="125">
        <f t="shared" si="18"/>
        <v>830</v>
      </c>
      <c r="AF31" s="46">
        <f t="shared" si="19"/>
        <v>682.77913043478259</v>
      </c>
    </row>
    <row r="32" spans="2:32" ht="15" customHeight="1" x14ac:dyDescent="0.25">
      <c r="B32" s="121">
        <v>46042</v>
      </c>
      <c r="C32" s="122" t="s">
        <v>63</v>
      </c>
      <c r="D32" s="123">
        <v>238</v>
      </c>
      <c r="E32" s="124">
        <v>18</v>
      </c>
      <c r="F32" s="124">
        <v>1053</v>
      </c>
      <c r="G32" s="124">
        <v>18</v>
      </c>
      <c r="H32" s="124">
        <v>646</v>
      </c>
      <c r="I32" s="125">
        <f t="shared" si="3"/>
        <v>35.888888888888886</v>
      </c>
      <c r="J32" s="126">
        <f t="shared" si="4"/>
        <v>1.7094017094017096E-2</v>
      </c>
      <c r="K32" s="127">
        <f t="shared" si="5"/>
        <v>84.260869565217391</v>
      </c>
      <c r="L32" s="127">
        <f t="shared" si="6"/>
        <v>561.73913043478262</v>
      </c>
      <c r="M32" s="128">
        <v>56.18</v>
      </c>
      <c r="N32" s="129">
        <f t="shared" si="7"/>
        <v>505.55913043478262</v>
      </c>
      <c r="O32" s="130"/>
      <c r="P32" s="46">
        <v>620</v>
      </c>
      <c r="Q32" s="125">
        <f t="shared" si="8"/>
        <v>34.444444444444443</v>
      </c>
      <c r="R32" s="131">
        <v>17</v>
      </c>
      <c r="S32" s="132">
        <f t="shared" si="9"/>
        <v>0.94444444444444442</v>
      </c>
      <c r="T32" s="133">
        <f t="shared" si="10"/>
        <v>80.869565217391298</v>
      </c>
      <c r="U32" s="133">
        <f t="shared" si="11"/>
        <v>539.13043478260875</v>
      </c>
      <c r="V32" s="131">
        <v>34</v>
      </c>
      <c r="W32" s="126">
        <f t="shared" si="12"/>
        <v>1.8888888888888888</v>
      </c>
      <c r="X32" s="46">
        <v>120.55</v>
      </c>
      <c r="Y32" s="126">
        <f t="shared" si="13"/>
        <v>0.19443548387096773</v>
      </c>
      <c r="Z32" s="134"/>
      <c r="AA32" s="125">
        <f t="shared" si="14"/>
        <v>646</v>
      </c>
      <c r="AB32" s="125">
        <f t="shared" si="15"/>
        <v>505.55913043478262</v>
      </c>
      <c r="AC32" s="135">
        <f t="shared" si="16"/>
        <v>620</v>
      </c>
      <c r="AD32" s="136">
        <f t="shared" si="17"/>
        <v>539.13043478260875</v>
      </c>
      <c r="AE32" s="125">
        <f t="shared" si="18"/>
        <v>1266</v>
      </c>
      <c r="AF32" s="46">
        <f t="shared" si="19"/>
        <v>1044.6895652173914</v>
      </c>
    </row>
    <row r="33" spans="2:32" ht="15" customHeight="1" x14ac:dyDescent="0.25">
      <c r="B33" s="121">
        <v>46043</v>
      </c>
      <c r="C33" s="122" t="s">
        <v>64</v>
      </c>
      <c r="D33" s="123">
        <v>238</v>
      </c>
      <c r="E33" s="124">
        <v>18</v>
      </c>
      <c r="F33" s="124">
        <v>1053</v>
      </c>
      <c r="G33" s="124">
        <v>17</v>
      </c>
      <c r="H33" s="124">
        <v>544</v>
      </c>
      <c r="I33" s="125">
        <f t="shared" si="3"/>
        <v>32</v>
      </c>
      <c r="J33" s="126">
        <f t="shared" si="4"/>
        <v>1.6144349477682812E-2</v>
      </c>
      <c r="K33" s="127">
        <f t="shared" si="5"/>
        <v>70.956521739130437</v>
      </c>
      <c r="L33" s="127">
        <f t="shared" si="6"/>
        <v>473.04347826086956</v>
      </c>
      <c r="M33" s="128">
        <v>41.75</v>
      </c>
      <c r="N33" s="129">
        <f t="shared" si="7"/>
        <v>431.29347826086956</v>
      </c>
      <c r="O33" s="130"/>
      <c r="P33" s="46">
        <v>218</v>
      </c>
      <c r="Q33" s="125">
        <v>18.760000000000002</v>
      </c>
      <c r="R33" s="131">
        <v>11</v>
      </c>
      <c r="S33" s="132">
        <f t="shared" si="9"/>
        <v>0.6470588235294118</v>
      </c>
      <c r="T33" s="133">
        <f t="shared" si="10"/>
        <v>28.434782608695652</v>
      </c>
      <c r="U33" s="133">
        <f t="shared" si="11"/>
        <v>189.56521739130434</v>
      </c>
      <c r="V33" s="131">
        <v>30</v>
      </c>
      <c r="W33" s="126">
        <f t="shared" si="12"/>
        <v>1.7647058823529411</v>
      </c>
      <c r="X33" s="42">
        <v>65.56</v>
      </c>
      <c r="Y33" s="126">
        <f t="shared" si="13"/>
        <v>0.30073394495412847</v>
      </c>
      <c r="Z33" s="134"/>
      <c r="AA33" s="125">
        <f t="shared" si="14"/>
        <v>544</v>
      </c>
      <c r="AB33" s="125">
        <f t="shared" si="15"/>
        <v>431.29347826086956</v>
      </c>
      <c r="AC33" s="135">
        <f t="shared" si="16"/>
        <v>218</v>
      </c>
      <c r="AD33" s="136">
        <f t="shared" si="17"/>
        <v>189.56521739130434</v>
      </c>
      <c r="AE33" s="125">
        <f t="shared" si="18"/>
        <v>762</v>
      </c>
      <c r="AF33" s="46">
        <f t="shared" si="19"/>
        <v>620.85869565217388</v>
      </c>
    </row>
    <row r="34" spans="2:32" ht="15" customHeight="1" x14ac:dyDescent="0.25">
      <c r="B34" s="121">
        <v>46044</v>
      </c>
      <c r="C34" s="122" t="s">
        <v>57</v>
      </c>
      <c r="D34" s="123">
        <v>238</v>
      </c>
      <c r="E34" s="124">
        <v>18</v>
      </c>
      <c r="F34" s="124">
        <v>1030</v>
      </c>
      <c r="G34" s="124">
        <v>104</v>
      </c>
      <c r="H34" s="124">
        <v>3538</v>
      </c>
      <c r="I34" s="125">
        <f t="shared" si="3"/>
        <v>34.019230769230766</v>
      </c>
      <c r="J34" s="126">
        <f t="shared" si="4"/>
        <v>0.10097087378640776</v>
      </c>
      <c r="K34" s="127">
        <f t="shared" si="5"/>
        <v>461.47826086956519</v>
      </c>
      <c r="L34" s="127">
        <f t="shared" si="6"/>
        <v>3076.521739130435</v>
      </c>
      <c r="M34" s="128">
        <v>302.11</v>
      </c>
      <c r="N34" s="129">
        <f t="shared" si="7"/>
        <v>2774.4117391304349</v>
      </c>
      <c r="O34" s="130"/>
      <c r="P34" s="46">
        <v>1157</v>
      </c>
      <c r="Q34" s="125">
        <f t="shared" ref="Q34:Q44" si="20">P34/G34</f>
        <v>11.125</v>
      </c>
      <c r="R34" s="131">
        <v>30</v>
      </c>
      <c r="S34" s="132">
        <f t="shared" si="9"/>
        <v>0.28846153846153844</v>
      </c>
      <c r="T34" s="133">
        <f t="shared" si="10"/>
        <v>150.91304347826087</v>
      </c>
      <c r="U34" s="133">
        <f t="shared" si="11"/>
        <v>1006.0869565217391</v>
      </c>
      <c r="V34" s="131">
        <v>67</v>
      </c>
      <c r="W34" s="126">
        <f t="shared" si="12"/>
        <v>0.64423076923076927</v>
      </c>
      <c r="X34" s="42">
        <v>217.08</v>
      </c>
      <c r="Y34" s="126">
        <f t="shared" si="13"/>
        <v>0.18762316335350043</v>
      </c>
      <c r="Z34" s="134"/>
      <c r="AA34" s="125">
        <f t="shared" si="14"/>
        <v>3538</v>
      </c>
      <c r="AB34" s="125">
        <f t="shared" si="15"/>
        <v>2774.4117391304349</v>
      </c>
      <c r="AC34" s="135">
        <f t="shared" si="16"/>
        <v>1157</v>
      </c>
      <c r="AD34" s="136">
        <f t="shared" si="17"/>
        <v>1006.0869565217391</v>
      </c>
      <c r="AE34" s="125">
        <f t="shared" si="18"/>
        <v>4695</v>
      </c>
      <c r="AF34" s="46">
        <f t="shared" si="19"/>
        <v>3780.4986956521739</v>
      </c>
    </row>
    <row r="35" spans="2:32" ht="15" customHeight="1" x14ac:dyDescent="0.25">
      <c r="B35" s="121">
        <v>46045</v>
      </c>
      <c r="C35" s="122" t="s">
        <v>59</v>
      </c>
      <c r="D35" s="123">
        <v>238</v>
      </c>
      <c r="E35" s="124">
        <v>19</v>
      </c>
      <c r="F35" s="124">
        <v>1110</v>
      </c>
      <c r="G35" s="124">
        <v>94</v>
      </c>
      <c r="H35" s="124">
        <v>3278</v>
      </c>
      <c r="I35" s="125">
        <f t="shared" si="3"/>
        <v>34.872340425531917</v>
      </c>
      <c r="J35" s="126">
        <f t="shared" si="4"/>
        <v>8.468468468468468E-2</v>
      </c>
      <c r="K35" s="127">
        <f t="shared" si="5"/>
        <v>427.56521739130437</v>
      </c>
      <c r="L35" s="127">
        <f t="shared" si="6"/>
        <v>2850.4347826086955</v>
      </c>
      <c r="M35" s="128">
        <v>285.06</v>
      </c>
      <c r="N35" s="129">
        <f t="shared" si="7"/>
        <v>2565.3747826086956</v>
      </c>
      <c r="O35" s="130"/>
      <c r="P35" s="46">
        <v>721</v>
      </c>
      <c r="Q35" s="125">
        <f t="shared" si="20"/>
        <v>7.6702127659574471</v>
      </c>
      <c r="R35" s="131">
        <v>25</v>
      </c>
      <c r="S35" s="132">
        <f t="shared" si="9"/>
        <v>0.26595744680851063</v>
      </c>
      <c r="T35" s="133">
        <f t="shared" si="10"/>
        <v>94.043478260869563</v>
      </c>
      <c r="U35" s="133">
        <f t="shared" si="11"/>
        <v>626.95652173913049</v>
      </c>
      <c r="V35" s="131">
        <v>46</v>
      </c>
      <c r="W35" s="126">
        <f t="shared" si="12"/>
        <v>0.48936170212765956</v>
      </c>
      <c r="X35" s="42">
        <v>119.83</v>
      </c>
      <c r="Y35" s="126">
        <f t="shared" si="13"/>
        <v>0.16619972260748961</v>
      </c>
      <c r="Z35" s="134"/>
      <c r="AA35" s="125">
        <f t="shared" si="14"/>
        <v>3278</v>
      </c>
      <c r="AB35" s="125">
        <f t="shared" si="15"/>
        <v>2565.3747826086956</v>
      </c>
      <c r="AC35" s="135">
        <f t="shared" si="16"/>
        <v>721</v>
      </c>
      <c r="AD35" s="136">
        <f t="shared" si="17"/>
        <v>626.95652173913049</v>
      </c>
      <c r="AE35" s="125">
        <f t="shared" si="18"/>
        <v>3999</v>
      </c>
      <c r="AF35" s="46">
        <f t="shared" si="19"/>
        <v>3192.3313043478261</v>
      </c>
    </row>
    <row r="36" spans="2:32" ht="15" customHeight="1" x14ac:dyDescent="0.25">
      <c r="B36" s="121">
        <v>46046</v>
      </c>
      <c r="C36" s="122" t="s">
        <v>60</v>
      </c>
      <c r="D36" s="123">
        <v>238</v>
      </c>
      <c r="E36" s="124">
        <v>19</v>
      </c>
      <c r="F36" s="124">
        <v>1110</v>
      </c>
      <c r="G36" s="124">
        <v>48</v>
      </c>
      <c r="H36" s="124">
        <v>1556</v>
      </c>
      <c r="I36" s="125">
        <f t="shared" si="3"/>
        <v>32.416666666666664</v>
      </c>
      <c r="J36" s="126">
        <f t="shared" si="4"/>
        <v>4.3243243243243246E-2</v>
      </c>
      <c r="K36" s="127">
        <f t="shared" si="5"/>
        <v>202.95652173913044</v>
      </c>
      <c r="L36" s="127">
        <f t="shared" si="6"/>
        <v>1353.0434782608695</v>
      </c>
      <c r="M36" s="128">
        <v>132.54</v>
      </c>
      <c r="N36" s="129">
        <f t="shared" si="7"/>
        <v>1220.5034782608695</v>
      </c>
      <c r="O36" s="130"/>
      <c r="P36" s="46">
        <v>611</v>
      </c>
      <c r="Q36" s="125">
        <f t="shared" si="20"/>
        <v>12.729166666666666</v>
      </c>
      <c r="R36" s="131">
        <v>19</v>
      </c>
      <c r="S36" s="132">
        <f t="shared" si="9"/>
        <v>0.39583333333333331</v>
      </c>
      <c r="T36" s="133">
        <f t="shared" si="10"/>
        <v>79.695652173913047</v>
      </c>
      <c r="U36" s="133">
        <f t="shared" si="11"/>
        <v>531.304347826087</v>
      </c>
      <c r="V36" s="131">
        <v>36</v>
      </c>
      <c r="W36" s="126">
        <f t="shared" si="12"/>
        <v>0.75</v>
      </c>
      <c r="X36" s="46">
        <v>121.25</v>
      </c>
      <c r="Y36" s="126">
        <f t="shared" si="13"/>
        <v>0.19844517184942717</v>
      </c>
      <c r="Z36" s="134"/>
      <c r="AA36" s="125">
        <f t="shared" si="14"/>
        <v>1556</v>
      </c>
      <c r="AB36" s="125">
        <f t="shared" si="15"/>
        <v>1220.5034782608695</v>
      </c>
      <c r="AC36" s="135">
        <f t="shared" si="16"/>
        <v>611</v>
      </c>
      <c r="AD36" s="136">
        <f t="shared" si="17"/>
        <v>531.304347826087</v>
      </c>
      <c r="AE36" s="125">
        <f t="shared" si="18"/>
        <v>2167</v>
      </c>
      <c r="AF36" s="46">
        <f t="shared" si="19"/>
        <v>1751.8078260869565</v>
      </c>
    </row>
    <row r="37" spans="2:32" ht="15" customHeight="1" x14ac:dyDescent="0.25">
      <c r="B37" s="121">
        <v>46047</v>
      </c>
      <c r="C37" s="122" t="s">
        <v>61</v>
      </c>
      <c r="D37" s="123">
        <v>238</v>
      </c>
      <c r="E37" s="124">
        <v>19</v>
      </c>
      <c r="F37" s="124">
        <v>1110</v>
      </c>
      <c r="G37" s="124">
        <v>12</v>
      </c>
      <c r="H37" s="124">
        <v>424</v>
      </c>
      <c r="I37" s="125">
        <f t="shared" si="3"/>
        <v>35.333333333333336</v>
      </c>
      <c r="J37" s="126">
        <f t="shared" si="4"/>
        <v>1.0810810810810811E-2</v>
      </c>
      <c r="K37" s="127">
        <f t="shared" si="5"/>
        <v>55.304347826086953</v>
      </c>
      <c r="L37" s="127">
        <f t="shared" si="6"/>
        <v>368.69565217391306</v>
      </c>
      <c r="M37" s="128">
        <v>36.869999999999997</v>
      </c>
      <c r="N37" s="129">
        <f t="shared" si="7"/>
        <v>331.82565217391306</v>
      </c>
      <c r="O37" s="130"/>
      <c r="P37" s="46">
        <v>423</v>
      </c>
      <c r="Q37" s="125">
        <f t="shared" si="20"/>
        <v>35.25</v>
      </c>
      <c r="R37" s="131">
        <v>8</v>
      </c>
      <c r="S37" s="132">
        <f t="shared" si="9"/>
        <v>0.66666666666666663</v>
      </c>
      <c r="T37" s="133">
        <f t="shared" si="10"/>
        <v>55.173913043478258</v>
      </c>
      <c r="U37" s="133">
        <f t="shared" si="11"/>
        <v>367.82608695652175</v>
      </c>
      <c r="V37" s="131">
        <v>24</v>
      </c>
      <c r="W37" s="126">
        <f t="shared" si="12"/>
        <v>2</v>
      </c>
      <c r="X37" s="46">
        <v>76.8</v>
      </c>
      <c r="Y37" s="126">
        <f t="shared" si="13"/>
        <v>0.18156028368794325</v>
      </c>
      <c r="Z37" s="134"/>
      <c r="AA37" s="125">
        <f t="shared" si="14"/>
        <v>424</v>
      </c>
      <c r="AB37" s="125">
        <f t="shared" si="15"/>
        <v>331.82565217391306</v>
      </c>
      <c r="AC37" s="135">
        <f t="shared" si="16"/>
        <v>423</v>
      </c>
      <c r="AD37" s="136">
        <f t="shared" si="17"/>
        <v>367.82608695652175</v>
      </c>
      <c r="AE37" s="125">
        <f t="shared" si="18"/>
        <v>847</v>
      </c>
      <c r="AF37" s="46">
        <f t="shared" si="19"/>
        <v>699.65173913043486</v>
      </c>
    </row>
    <row r="38" spans="2:32" ht="15" customHeight="1" x14ac:dyDescent="0.25">
      <c r="B38" s="121">
        <v>46048</v>
      </c>
      <c r="C38" s="122" t="s">
        <v>62</v>
      </c>
      <c r="D38" s="123">
        <v>238</v>
      </c>
      <c r="E38" s="124">
        <v>19</v>
      </c>
      <c r="F38" s="124">
        <v>1110</v>
      </c>
      <c r="G38" s="124">
        <v>23</v>
      </c>
      <c r="H38" s="124">
        <v>736</v>
      </c>
      <c r="I38" s="125">
        <f t="shared" si="3"/>
        <v>32</v>
      </c>
      <c r="J38" s="126">
        <f t="shared" si="4"/>
        <v>2.0720720720720721E-2</v>
      </c>
      <c r="K38" s="127">
        <f t="shared" si="5"/>
        <v>96</v>
      </c>
      <c r="L38" s="127">
        <f t="shared" si="6"/>
        <v>640</v>
      </c>
      <c r="M38" s="128">
        <v>64.010000000000005</v>
      </c>
      <c r="N38" s="129">
        <f t="shared" si="7"/>
        <v>575.99</v>
      </c>
      <c r="O38" s="130"/>
      <c r="P38" s="46">
        <v>225</v>
      </c>
      <c r="Q38" s="125">
        <f t="shared" si="20"/>
        <v>9.7826086956521738</v>
      </c>
      <c r="R38" s="131">
        <v>8</v>
      </c>
      <c r="S38" s="132">
        <f t="shared" si="9"/>
        <v>0.34782608695652173</v>
      </c>
      <c r="T38" s="133">
        <f t="shared" si="10"/>
        <v>29.347826086956523</v>
      </c>
      <c r="U38" s="133">
        <f t="shared" si="11"/>
        <v>195.65217391304347</v>
      </c>
      <c r="V38" s="131">
        <v>12</v>
      </c>
      <c r="W38" s="126">
        <f t="shared" si="12"/>
        <v>0.52173913043478259</v>
      </c>
      <c r="X38" s="46">
        <v>50.06</v>
      </c>
      <c r="Y38" s="126">
        <f t="shared" si="13"/>
        <v>0.2224888888888889</v>
      </c>
      <c r="Z38" s="134"/>
      <c r="AA38" s="125">
        <f t="shared" si="14"/>
        <v>736</v>
      </c>
      <c r="AB38" s="125">
        <f t="shared" si="15"/>
        <v>575.99</v>
      </c>
      <c r="AC38" s="135">
        <f t="shared" si="16"/>
        <v>225</v>
      </c>
      <c r="AD38" s="136">
        <f t="shared" si="17"/>
        <v>195.65217391304347</v>
      </c>
      <c r="AE38" s="125">
        <f t="shared" si="18"/>
        <v>961</v>
      </c>
      <c r="AF38" s="46">
        <f t="shared" si="19"/>
        <v>771.64217391304351</v>
      </c>
    </row>
    <row r="39" spans="2:32" ht="15" customHeight="1" x14ac:dyDescent="0.25">
      <c r="B39" s="121">
        <v>46049</v>
      </c>
      <c r="C39" s="122" t="s">
        <v>63</v>
      </c>
      <c r="D39" s="123">
        <v>238</v>
      </c>
      <c r="E39" s="124">
        <v>19</v>
      </c>
      <c r="F39" s="124">
        <v>1110</v>
      </c>
      <c r="G39" s="124">
        <v>10</v>
      </c>
      <c r="H39" s="124">
        <v>330</v>
      </c>
      <c r="I39" s="125">
        <f t="shared" si="3"/>
        <v>33</v>
      </c>
      <c r="J39" s="126">
        <f t="shared" si="4"/>
        <v>9.0090090090090089E-3</v>
      </c>
      <c r="K39" s="127">
        <f t="shared" si="5"/>
        <v>43.043478260869563</v>
      </c>
      <c r="L39" s="127">
        <f t="shared" si="6"/>
        <v>286.95652173913044</v>
      </c>
      <c r="M39" s="128">
        <v>28.7</v>
      </c>
      <c r="N39" s="129">
        <f t="shared" si="7"/>
        <v>258.25652173913045</v>
      </c>
      <c r="O39" s="130"/>
      <c r="P39" s="46">
        <v>354</v>
      </c>
      <c r="Q39" s="125">
        <f t="shared" si="20"/>
        <v>35.4</v>
      </c>
      <c r="R39" s="131">
        <v>13</v>
      </c>
      <c r="S39" s="132">
        <f t="shared" si="9"/>
        <v>1.3</v>
      </c>
      <c r="T39" s="133">
        <f t="shared" si="10"/>
        <v>46.173913043478258</v>
      </c>
      <c r="U39" s="133">
        <f t="shared" si="11"/>
        <v>307.82608695652175</v>
      </c>
      <c r="V39" s="131">
        <v>19</v>
      </c>
      <c r="W39" s="126">
        <f t="shared" si="12"/>
        <v>1.9</v>
      </c>
      <c r="X39" s="46">
        <v>55.37</v>
      </c>
      <c r="Y39" s="126">
        <f t="shared" si="13"/>
        <v>0.15641242937853106</v>
      </c>
      <c r="Z39" s="134"/>
      <c r="AA39" s="125">
        <f t="shared" si="14"/>
        <v>330</v>
      </c>
      <c r="AB39" s="125">
        <f t="shared" si="15"/>
        <v>258.25652173913045</v>
      </c>
      <c r="AC39" s="135">
        <f t="shared" si="16"/>
        <v>354</v>
      </c>
      <c r="AD39" s="136">
        <f t="shared" si="17"/>
        <v>307.82608695652175</v>
      </c>
      <c r="AE39" s="125">
        <f t="shared" si="18"/>
        <v>684</v>
      </c>
      <c r="AF39" s="46">
        <f t="shared" si="19"/>
        <v>566.0826086956522</v>
      </c>
    </row>
    <row r="40" spans="2:32" ht="15" customHeight="1" x14ac:dyDescent="0.25">
      <c r="B40" s="121">
        <v>46050</v>
      </c>
      <c r="C40" s="122" t="s">
        <v>64</v>
      </c>
      <c r="D40" s="123">
        <v>238</v>
      </c>
      <c r="E40" s="124">
        <v>19</v>
      </c>
      <c r="F40" s="124">
        <v>1110</v>
      </c>
      <c r="G40" s="124">
        <v>21</v>
      </c>
      <c r="H40" s="124">
        <v>702</v>
      </c>
      <c r="I40" s="125">
        <f t="shared" si="3"/>
        <v>33.428571428571431</v>
      </c>
      <c r="J40" s="126">
        <f t="shared" si="4"/>
        <v>1.891891891891892E-2</v>
      </c>
      <c r="K40" s="127">
        <f t="shared" si="5"/>
        <v>91.565217391304344</v>
      </c>
      <c r="L40" s="127">
        <f t="shared" si="6"/>
        <v>610.43478260869563</v>
      </c>
      <c r="M40" s="128">
        <v>61.05</v>
      </c>
      <c r="N40" s="129">
        <f t="shared" si="7"/>
        <v>549.38478260869567</v>
      </c>
      <c r="P40" s="46">
        <v>471</v>
      </c>
      <c r="Q40" s="125">
        <f t="shared" si="20"/>
        <v>22.428571428571427</v>
      </c>
      <c r="R40" s="131">
        <v>17</v>
      </c>
      <c r="S40" s="132">
        <f t="shared" si="9"/>
        <v>0.80952380952380953</v>
      </c>
      <c r="T40" s="133">
        <f t="shared" si="10"/>
        <v>61.434782608695649</v>
      </c>
      <c r="U40" s="133">
        <f t="shared" si="11"/>
        <v>409.56521739130437</v>
      </c>
      <c r="V40" s="131">
        <v>24</v>
      </c>
      <c r="W40" s="126">
        <f t="shared" si="12"/>
        <v>1.1428571428571428</v>
      </c>
      <c r="X40" s="46">
        <v>86.21</v>
      </c>
      <c r="Y40" s="126">
        <f t="shared" si="13"/>
        <v>0.18303609341825902</v>
      </c>
      <c r="Z40" s="134"/>
      <c r="AA40" s="125">
        <f t="shared" si="14"/>
        <v>702</v>
      </c>
      <c r="AB40" s="125">
        <f t="shared" si="15"/>
        <v>549.38478260869567</v>
      </c>
      <c r="AC40" s="135">
        <f t="shared" si="16"/>
        <v>471</v>
      </c>
      <c r="AD40" s="136">
        <f t="shared" si="17"/>
        <v>409.56521739130437</v>
      </c>
      <c r="AE40" s="125">
        <f t="shared" si="18"/>
        <v>1173</v>
      </c>
      <c r="AF40" s="46">
        <f t="shared" si="19"/>
        <v>958.95</v>
      </c>
    </row>
    <row r="41" spans="2:32" ht="15" customHeight="1" x14ac:dyDescent="0.25">
      <c r="B41" s="121">
        <v>46051</v>
      </c>
      <c r="C41" s="122" t="s">
        <v>57</v>
      </c>
      <c r="D41" s="123">
        <v>238</v>
      </c>
      <c r="E41" s="124">
        <v>17</v>
      </c>
      <c r="F41" s="124">
        <v>1016</v>
      </c>
      <c r="G41" s="124">
        <v>54</v>
      </c>
      <c r="H41" s="124">
        <v>1738</v>
      </c>
      <c r="I41" s="125">
        <f t="shared" si="3"/>
        <v>32.185185185185183</v>
      </c>
      <c r="J41" s="126">
        <f t="shared" si="4"/>
        <v>5.3149606299212601E-2</v>
      </c>
      <c r="K41" s="127">
        <f t="shared" si="5"/>
        <v>226.69565217391303</v>
      </c>
      <c r="L41" s="127">
        <f t="shared" si="6"/>
        <v>1511.304347826087</v>
      </c>
      <c r="M41" s="128">
        <v>151.15</v>
      </c>
      <c r="N41" s="129">
        <f t="shared" si="7"/>
        <v>1360.1543478260869</v>
      </c>
      <c r="O41" s="130"/>
      <c r="P41" s="46">
        <v>867</v>
      </c>
      <c r="Q41" s="125">
        <f t="shared" si="20"/>
        <v>16.055555555555557</v>
      </c>
      <c r="R41" s="131">
        <v>27</v>
      </c>
      <c r="S41" s="132">
        <f t="shared" si="9"/>
        <v>0.5</v>
      </c>
      <c r="T41" s="133">
        <f t="shared" si="10"/>
        <v>113.08695652173913</v>
      </c>
      <c r="U41" s="133">
        <f t="shared" si="11"/>
        <v>753.91304347826087</v>
      </c>
      <c r="V41" s="131">
        <v>46</v>
      </c>
      <c r="W41" s="126">
        <f t="shared" si="12"/>
        <v>0.85185185185185186</v>
      </c>
      <c r="X41" s="46">
        <v>169.88</v>
      </c>
      <c r="Y41" s="126">
        <f t="shared" si="13"/>
        <v>0.19594002306805075</v>
      </c>
      <c r="Z41" s="134"/>
      <c r="AA41" s="125">
        <f t="shared" si="14"/>
        <v>1738</v>
      </c>
      <c r="AB41" s="125">
        <f t="shared" si="15"/>
        <v>1360.1543478260869</v>
      </c>
      <c r="AC41" s="135">
        <f t="shared" si="16"/>
        <v>867</v>
      </c>
      <c r="AD41" s="136">
        <f t="shared" si="17"/>
        <v>753.91304347826087</v>
      </c>
      <c r="AE41" s="125">
        <f t="shared" si="18"/>
        <v>2605</v>
      </c>
      <c r="AF41" s="46">
        <f t="shared" si="19"/>
        <v>2114.0673913043479</v>
      </c>
    </row>
    <row r="42" spans="2:32" ht="15" customHeight="1" x14ac:dyDescent="0.25">
      <c r="B42" s="121">
        <v>46052</v>
      </c>
      <c r="C42" s="122" t="s">
        <v>59</v>
      </c>
      <c r="D42" s="123">
        <v>238</v>
      </c>
      <c r="E42" s="124">
        <v>16</v>
      </c>
      <c r="F42" s="124">
        <v>952</v>
      </c>
      <c r="G42" s="124">
        <v>82</v>
      </c>
      <c r="H42" s="124">
        <v>2714</v>
      </c>
      <c r="I42" s="125">
        <f t="shared" si="3"/>
        <v>33.097560975609753</v>
      </c>
      <c r="J42" s="126">
        <f t="shared" si="4"/>
        <v>8.6134453781512604E-2</v>
      </c>
      <c r="K42" s="127">
        <f t="shared" si="5"/>
        <v>354</v>
      </c>
      <c r="L42" s="127">
        <f t="shared" si="6"/>
        <v>2360</v>
      </c>
      <c r="M42" s="128">
        <v>236.03</v>
      </c>
      <c r="N42" s="129">
        <f t="shared" si="7"/>
        <v>2123.9699999999998</v>
      </c>
      <c r="O42" s="130"/>
      <c r="P42" s="46">
        <v>1059</v>
      </c>
      <c r="Q42" s="125">
        <f t="shared" si="20"/>
        <v>12.914634146341463</v>
      </c>
      <c r="R42" s="131">
        <v>32</v>
      </c>
      <c r="S42" s="132">
        <f t="shared" si="9"/>
        <v>0.3902439024390244</v>
      </c>
      <c r="T42" s="133">
        <f t="shared" si="10"/>
        <v>138.13043478260869</v>
      </c>
      <c r="U42" s="133">
        <f t="shared" si="11"/>
        <v>920.86956521739125</v>
      </c>
      <c r="V42" s="131">
        <v>52</v>
      </c>
      <c r="W42" s="126">
        <f t="shared" si="12"/>
        <v>0.63414634146341464</v>
      </c>
      <c r="X42" s="46">
        <v>199.54</v>
      </c>
      <c r="Y42" s="126">
        <f t="shared" si="13"/>
        <v>0.1884230406043437</v>
      </c>
      <c r="Z42" s="134"/>
      <c r="AA42" s="125">
        <f t="shared" si="14"/>
        <v>2714</v>
      </c>
      <c r="AB42" s="125">
        <f t="shared" si="15"/>
        <v>2123.9699999999998</v>
      </c>
      <c r="AC42" s="135">
        <f t="shared" si="16"/>
        <v>1059</v>
      </c>
      <c r="AD42" s="136">
        <f t="shared" si="17"/>
        <v>920.86956521739125</v>
      </c>
      <c r="AE42" s="125">
        <f t="shared" si="18"/>
        <v>3773</v>
      </c>
      <c r="AF42" s="46">
        <f t="shared" si="19"/>
        <v>3044.8395652173913</v>
      </c>
    </row>
    <row r="43" spans="2:32" ht="15" customHeight="1" x14ac:dyDescent="0.25">
      <c r="B43" s="121">
        <v>46053</v>
      </c>
      <c r="C43" s="122" t="s">
        <v>60</v>
      </c>
      <c r="D43" s="123">
        <v>238</v>
      </c>
      <c r="E43" s="124">
        <v>16</v>
      </c>
      <c r="F43" s="124">
        <v>952</v>
      </c>
      <c r="G43" s="124">
        <v>29</v>
      </c>
      <c r="H43" s="124">
        <v>1058</v>
      </c>
      <c r="I43" s="125">
        <f t="shared" si="3"/>
        <v>36.482758620689658</v>
      </c>
      <c r="J43" s="126">
        <f t="shared" si="4"/>
        <v>3.0462184873949579E-2</v>
      </c>
      <c r="K43" s="127">
        <f t="shared" si="5"/>
        <v>138</v>
      </c>
      <c r="L43" s="127">
        <f t="shared" si="6"/>
        <v>920</v>
      </c>
      <c r="M43" s="128">
        <v>92.02</v>
      </c>
      <c r="N43" s="129">
        <f t="shared" si="7"/>
        <v>827.98</v>
      </c>
      <c r="O43" s="130"/>
      <c r="P43" s="46">
        <v>780</v>
      </c>
      <c r="Q43" s="125">
        <f t="shared" si="20"/>
        <v>26.896551724137932</v>
      </c>
      <c r="R43" s="131">
        <v>21</v>
      </c>
      <c r="S43" s="132">
        <f t="shared" si="9"/>
        <v>0.72413793103448276</v>
      </c>
      <c r="T43" s="133">
        <f t="shared" si="10"/>
        <v>101.73913043478261</v>
      </c>
      <c r="U43" s="133">
        <f t="shared" si="11"/>
        <v>678.26086956521738</v>
      </c>
      <c r="V43" s="131">
        <v>45</v>
      </c>
      <c r="W43" s="126">
        <f t="shared" si="12"/>
        <v>1.5517241379310345</v>
      </c>
      <c r="X43" s="46">
        <v>137.91</v>
      </c>
      <c r="Y43" s="126">
        <f t="shared" si="13"/>
        <v>0.1768076923076923</v>
      </c>
      <c r="Z43" s="134"/>
      <c r="AA43" s="125">
        <f t="shared" si="14"/>
        <v>1058</v>
      </c>
      <c r="AB43" s="125">
        <f t="shared" si="15"/>
        <v>827.98</v>
      </c>
      <c r="AC43" s="135">
        <f t="shared" si="16"/>
        <v>780</v>
      </c>
      <c r="AD43" s="136">
        <f t="shared" si="17"/>
        <v>678.26086956521738</v>
      </c>
      <c r="AE43" s="125">
        <f t="shared" si="18"/>
        <v>1838</v>
      </c>
      <c r="AF43" s="46">
        <f t="shared" si="19"/>
        <v>1506.2408695652175</v>
      </c>
    </row>
    <row r="44" spans="2:32" ht="15" customHeight="1" x14ac:dyDescent="0.25">
      <c r="B44" s="184" t="s">
        <v>27</v>
      </c>
      <c r="C44" s="184"/>
      <c r="D44" s="137">
        <f>AVERAGE(D13:D43)</f>
        <v>238</v>
      </c>
      <c r="E44" s="137">
        <f>SUM(E13:E43)</f>
        <v>562</v>
      </c>
      <c r="F44" s="137">
        <f>SUM(F13:F43)</f>
        <v>33185</v>
      </c>
      <c r="G44" s="137">
        <f>SUM(G13:G43)</f>
        <v>1265</v>
      </c>
      <c r="H44" s="138">
        <f>SUM(H13:H43)</f>
        <v>42380</v>
      </c>
      <c r="I44" s="139">
        <f t="shared" si="3"/>
        <v>33.501976284584977</v>
      </c>
      <c r="J44" s="140">
        <f>(G44/F44)</f>
        <v>3.8119632364019891E-2</v>
      </c>
      <c r="K44" s="141">
        <f>SUM(K13:K43)</f>
        <v>5527.826086956522</v>
      </c>
      <c r="L44" s="141">
        <f>SUM(L13:L43)</f>
        <v>36852.17391304348</v>
      </c>
      <c r="M44" s="142">
        <f>SUM(M13:M43)</f>
        <v>3379.1300000000006</v>
      </c>
      <c r="N44" s="138">
        <f>SUM(N13:N43)</f>
        <v>33473.043913043482</v>
      </c>
      <c r="O44" s="8"/>
      <c r="P44" s="139">
        <f>SUM(P13:P43)</f>
        <v>22104</v>
      </c>
      <c r="Q44" s="139">
        <f t="shared" si="20"/>
        <v>17.473517786561263</v>
      </c>
      <c r="R44" s="137">
        <f>SUM(R13:R43)</f>
        <v>670</v>
      </c>
      <c r="S44" s="132">
        <f t="shared" si="9"/>
        <v>0.52964426877470361</v>
      </c>
      <c r="T44" s="141">
        <f>SUM(T13:T43)</f>
        <v>2883.1304347826085</v>
      </c>
      <c r="U44" s="142">
        <f>SUM(U13:U43)</f>
        <v>19220.869565217388</v>
      </c>
      <c r="V44" s="143">
        <f>SUM(V13:V43)</f>
        <v>1426</v>
      </c>
      <c r="W44" s="141">
        <f t="shared" si="12"/>
        <v>1.1272727272727272</v>
      </c>
      <c r="X44" s="139">
        <f>SUM(X13:X43)</f>
        <v>4410.68</v>
      </c>
      <c r="Y44" s="140">
        <f t="shared" si="13"/>
        <v>0.19954216431415131</v>
      </c>
      <c r="Z44" s="144"/>
      <c r="AA44" s="139">
        <f t="shared" ref="AA44:AF44" si="21">SUM(AA13:AA43)</f>
        <v>42380</v>
      </c>
      <c r="AB44" s="139">
        <f t="shared" si="21"/>
        <v>33473.043913043482</v>
      </c>
      <c r="AC44" s="139">
        <f t="shared" si="21"/>
        <v>22104</v>
      </c>
      <c r="AD44" s="145">
        <f t="shared" si="21"/>
        <v>19220.869565217388</v>
      </c>
      <c r="AE44" s="139">
        <f t="shared" si="21"/>
        <v>64484</v>
      </c>
      <c r="AF44" s="139">
        <f t="shared" si="21"/>
        <v>52693.913478260874</v>
      </c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4:C44"/>
    <mergeCell ref="G10:N10"/>
    <mergeCell ref="P10:Y10"/>
    <mergeCell ref="AA10:AB10"/>
  </mergeCells>
  <conditionalFormatting sqref="F9">
    <cfRule type="expression" dxfId="3" priority="2">
      <formula>NOT(ISERROR(SEARCH("Fiday,sutarday,sunday",F9)))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F41"/>
  <sheetViews>
    <sheetView topLeftCell="E7" zoomScaleNormal="100" workbookViewId="0">
      <selection activeCell="N44" sqref="N44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9" width="9.7109375" style="58" customWidth="1"/>
    <col min="10" max="10" width="9.7109375" style="59" customWidth="1"/>
    <col min="11" max="11" width="9.7109375" style="60" customWidth="1"/>
    <col min="12" max="12" width="10.4257812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5" width="9.7109375" style="58" customWidth="1"/>
    <col min="26" max="26" width="1.7109375" style="58" customWidth="1"/>
    <col min="27" max="32" width="9.7109375" style="58" customWidth="1"/>
    <col min="33" max="16384" width="13.5703125" style="58"/>
  </cols>
  <sheetData>
    <row r="2" spans="2:32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2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2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2" s="64" customFormat="1" ht="14.25" customHeight="1" x14ac:dyDescent="0.25">
      <c r="B5" s="190" t="s">
        <v>2</v>
      </c>
      <c r="C5" s="190"/>
      <c r="D5" s="196" t="s">
        <v>3</v>
      </c>
      <c r="E5" s="196"/>
      <c r="F5" s="196"/>
      <c r="G5" s="190" t="s">
        <v>12</v>
      </c>
      <c r="H5" s="190"/>
      <c r="I5" s="194">
        <v>46054</v>
      </c>
      <c r="J5" s="194"/>
      <c r="K5" s="3"/>
      <c r="L5" s="3"/>
      <c r="M5" s="3"/>
      <c r="S5" s="101"/>
    </row>
    <row r="6" spans="2:32" s="64" customFormat="1" ht="14.25" customHeight="1" x14ac:dyDescent="0.25">
      <c r="B6" s="190" t="s">
        <v>6</v>
      </c>
      <c r="C6" s="190"/>
      <c r="D6" s="195" t="s">
        <v>32</v>
      </c>
      <c r="E6" s="195"/>
      <c r="F6" s="195"/>
      <c r="G6" s="190" t="s">
        <v>33</v>
      </c>
      <c r="H6" s="190"/>
      <c r="I6" s="193">
        <v>2026</v>
      </c>
      <c r="J6" s="193"/>
      <c r="K6" s="3"/>
      <c r="L6" s="3"/>
      <c r="M6" s="3"/>
      <c r="S6" s="101"/>
    </row>
    <row r="7" spans="2:32" s="64" customFormat="1" ht="14.25" customHeight="1" x14ac:dyDescent="0.25">
      <c r="B7" s="190" t="s">
        <v>9</v>
      </c>
      <c r="C7" s="190"/>
      <c r="D7" s="195">
        <v>4</v>
      </c>
      <c r="E7" s="195"/>
      <c r="F7" s="195"/>
      <c r="G7" s="190" t="s">
        <v>8</v>
      </c>
      <c r="H7" s="190"/>
      <c r="I7" s="191">
        <v>0.15</v>
      </c>
      <c r="J7" s="191"/>
      <c r="K7" s="3"/>
      <c r="L7" s="3"/>
      <c r="M7" s="3"/>
      <c r="S7" s="101"/>
    </row>
    <row r="8" spans="2:32" s="64" customFormat="1" ht="15.75" customHeight="1" x14ac:dyDescent="0.25">
      <c r="B8" s="190" t="s">
        <v>11</v>
      </c>
      <c r="C8" s="190"/>
      <c r="D8" s="195">
        <v>238</v>
      </c>
      <c r="E8" s="195"/>
      <c r="F8" s="195"/>
      <c r="G8" s="190" t="s">
        <v>10</v>
      </c>
      <c r="H8" s="190"/>
      <c r="I8" s="191">
        <v>0.1</v>
      </c>
      <c r="J8" s="191"/>
      <c r="K8" s="3"/>
      <c r="L8" s="3"/>
      <c r="M8" s="3"/>
      <c r="S8" s="101"/>
    </row>
    <row r="9" spans="2:32" ht="15.75" customHeight="1" x14ac:dyDescent="0.25">
      <c r="B9" s="192"/>
      <c r="C9" s="192"/>
      <c r="D9" s="192"/>
      <c r="E9" s="192"/>
      <c r="F9" s="67"/>
    </row>
    <row r="10" spans="2:32" ht="49.5" customHeight="1" x14ac:dyDescent="0.25">
      <c r="B10" s="102"/>
      <c r="C10" s="103"/>
      <c r="D10" s="104"/>
      <c r="E10" s="104"/>
      <c r="F10" s="105"/>
      <c r="G10" s="187" t="s">
        <v>34</v>
      </c>
      <c r="H10" s="187"/>
      <c r="I10" s="187"/>
      <c r="J10" s="187"/>
      <c r="K10" s="187"/>
      <c r="L10" s="187"/>
      <c r="M10" s="187"/>
      <c r="N10" s="187"/>
      <c r="O10" s="68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06" customFormat="1" ht="57.75" customHeight="1" x14ac:dyDescent="0.25">
      <c r="B11" s="146" t="s">
        <v>29</v>
      </c>
      <c r="C11" s="146" t="s">
        <v>39</v>
      </c>
      <c r="D11" s="146" t="s">
        <v>11</v>
      </c>
      <c r="E11" s="146" t="s">
        <v>40</v>
      </c>
      <c r="F11" s="146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2" s="106" customFormat="1" ht="14.25" customHeight="1" x14ac:dyDescent="0.25">
      <c r="B12" s="183" t="s">
        <v>56</v>
      </c>
      <c r="C12" s="183"/>
      <c r="D12" s="1">
        <f t="shared" ref="D12:N12" si="0">D41</f>
        <v>238</v>
      </c>
      <c r="E12" s="114">
        <f t="shared" si="0"/>
        <v>367</v>
      </c>
      <c r="F12" s="114">
        <f t="shared" si="0"/>
        <v>21819</v>
      </c>
      <c r="G12" s="114">
        <f t="shared" si="0"/>
        <v>462</v>
      </c>
      <c r="H12" s="115">
        <f t="shared" si="0"/>
        <v>12602</v>
      </c>
      <c r="I12" s="115">
        <f t="shared" si="0"/>
        <v>27.277056277056278</v>
      </c>
      <c r="J12" s="116">
        <f t="shared" si="0"/>
        <v>2.1174205967276226E-2</v>
      </c>
      <c r="K12" s="115">
        <f t="shared" si="0"/>
        <v>1643.7391304347825</v>
      </c>
      <c r="L12" s="115">
        <f t="shared" si="0"/>
        <v>10958.260869565218</v>
      </c>
      <c r="M12" s="115">
        <f t="shared" si="0"/>
        <v>1095.9100000000001</v>
      </c>
      <c r="N12" s="115">
        <f t="shared" si="0"/>
        <v>9862.3508695652181</v>
      </c>
      <c r="O12" s="110"/>
      <c r="P12" s="117">
        <f t="shared" ref="P12:Y12" si="1">P41</f>
        <v>12145.779999999999</v>
      </c>
      <c r="Q12" s="117">
        <f t="shared" si="1"/>
        <v>26.289567099567098</v>
      </c>
      <c r="R12" s="118">
        <f t="shared" si="1"/>
        <v>372</v>
      </c>
      <c r="S12" s="119">
        <f t="shared" si="1"/>
        <v>0.80519480519480524</v>
      </c>
      <c r="T12" s="117">
        <f t="shared" si="1"/>
        <v>1584.2321739130434</v>
      </c>
      <c r="U12" s="117">
        <f t="shared" si="1"/>
        <v>10561.54782608696</v>
      </c>
      <c r="V12" s="118">
        <f t="shared" si="1"/>
        <v>711</v>
      </c>
      <c r="W12" s="116">
        <f t="shared" si="1"/>
        <v>1.5389610389610389</v>
      </c>
      <c r="X12" s="117">
        <f t="shared" si="1"/>
        <v>2326.2699999999995</v>
      </c>
      <c r="Y12" s="116">
        <f t="shared" si="1"/>
        <v>0.1915290742957636</v>
      </c>
      <c r="Z12" s="110"/>
      <c r="AA12" s="117">
        <f t="shared" ref="AA12:AF12" si="2">AA41</f>
        <v>12602</v>
      </c>
      <c r="AB12" s="117">
        <f t="shared" si="2"/>
        <v>9862.3508695652181</v>
      </c>
      <c r="AC12" s="117">
        <f t="shared" si="2"/>
        <v>12145.779999999999</v>
      </c>
      <c r="AD12" s="120">
        <f t="shared" si="2"/>
        <v>10561.54782608696</v>
      </c>
      <c r="AE12" s="117">
        <f t="shared" si="2"/>
        <v>24747.78</v>
      </c>
      <c r="AF12" s="117">
        <f t="shared" si="2"/>
        <v>20423.898695652177</v>
      </c>
    </row>
    <row r="13" spans="2:32" ht="15" customHeight="1" x14ac:dyDescent="0.25">
      <c r="B13" s="121">
        <v>46054</v>
      </c>
      <c r="C13" s="122" t="s">
        <v>61</v>
      </c>
      <c r="D13" s="123">
        <v>238</v>
      </c>
      <c r="E13" s="124">
        <v>16</v>
      </c>
      <c r="F13" s="124">
        <v>952</v>
      </c>
      <c r="G13" s="124">
        <v>24</v>
      </c>
      <c r="H13" s="124">
        <v>768</v>
      </c>
      <c r="I13" s="125">
        <f t="shared" ref="I13:I41" si="3">H13/G13</f>
        <v>32</v>
      </c>
      <c r="J13" s="126">
        <f t="shared" ref="J13:J40" si="4">G13/F13</f>
        <v>2.5210084033613446E-2</v>
      </c>
      <c r="K13" s="127">
        <f t="shared" ref="K13:K40" si="5">H13*15/115</f>
        <v>100.17391304347827</v>
      </c>
      <c r="L13" s="127">
        <f t="shared" ref="L13:L40" si="6">H13-K13</f>
        <v>667.82608695652175</v>
      </c>
      <c r="M13" s="128">
        <v>66.790000000000006</v>
      </c>
      <c r="N13" s="129">
        <f t="shared" ref="N13:N40" si="7">L13-M13</f>
        <v>601.03608695652179</v>
      </c>
      <c r="O13" s="130"/>
      <c r="P13" s="46">
        <v>474</v>
      </c>
      <c r="Q13" s="125">
        <f t="shared" ref="Q13:Q41" si="8">P13/G13</f>
        <v>19.75</v>
      </c>
      <c r="R13" s="131">
        <v>17</v>
      </c>
      <c r="S13" s="132">
        <f t="shared" ref="S13:S41" si="9">(R13/G13)</f>
        <v>0.70833333333333337</v>
      </c>
      <c r="T13" s="133">
        <f t="shared" ref="T13:T40" si="10">P13*15/115</f>
        <v>61.826086956521742</v>
      </c>
      <c r="U13" s="133">
        <f t="shared" ref="U13:U40" si="11">P13-T13</f>
        <v>412.17391304347825</v>
      </c>
      <c r="V13" s="131">
        <v>25</v>
      </c>
      <c r="W13" s="126">
        <f t="shared" ref="W13:W41" si="12">V13/G13</f>
        <v>1.0416666666666667</v>
      </c>
      <c r="X13" s="46">
        <v>116</v>
      </c>
      <c r="Y13" s="126">
        <f t="shared" ref="Y13:Y41" si="13">(X13/P13)</f>
        <v>0.24472573839662448</v>
      </c>
      <c r="Z13" s="134"/>
      <c r="AA13" s="125">
        <f t="shared" ref="AA13:AA40" si="14">H13</f>
        <v>768</v>
      </c>
      <c r="AB13" s="125">
        <f t="shared" ref="AB13:AB40" si="15">N13</f>
        <v>601.03608695652179</v>
      </c>
      <c r="AC13" s="135">
        <f t="shared" ref="AC13:AC40" si="16">P13</f>
        <v>474</v>
      </c>
      <c r="AD13" s="136">
        <f t="shared" ref="AD13:AD40" si="17">U13</f>
        <v>412.17391304347825</v>
      </c>
      <c r="AE13" s="125">
        <f t="shared" ref="AE13:AE40" si="18">AA13+AC13</f>
        <v>1242</v>
      </c>
      <c r="AF13" s="46">
        <f t="shared" ref="AF13:AF40" si="19">AB13+AD13</f>
        <v>1013.21</v>
      </c>
    </row>
    <row r="14" spans="2:32" ht="15" customHeight="1" x14ac:dyDescent="0.25">
      <c r="B14" s="121">
        <v>46055</v>
      </c>
      <c r="C14" s="122" t="s">
        <v>62</v>
      </c>
      <c r="D14" s="123">
        <v>238</v>
      </c>
      <c r="E14" s="124">
        <v>16</v>
      </c>
      <c r="F14" s="124">
        <v>952</v>
      </c>
      <c r="G14" s="124">
        <v>12</v>
      </c>
      <c r="H14" s="124">
        <v>384</v>
      </c>
      <c r="I14" s="125">
        <f t="shared" si="3"/>
        <v>32</v>
      </c>
      <c r="J14" s="126">
        <f t="shared" si="4"/>
        <v>1.2605042016806723E-2</v>
      </c>
      <c r="K14" s="127">
        <f t="shared" si="5"/>
        <v>50.086956521739133</v>
      </c>
      <c r="L14" s="127">
        <f t="shared" si="6"/>
        <v>333.91304347826087</v>
      </c>
      <c r="M14" s="128">
        <v>33.4</v>
      </c>
      <c r="N14" s="129">
        <f t="shared" si="7"/>
        <v>300.5130434782609</v>
      </c>
      <c r="O14" s="130"/>
      <c r="P14" s="46">
        <v>360</v>
      </c>
      <c r="Q14" s="125">
        <f t="shared" si="8"/>
        <v>30</v>
      </c>
      <c r="R14" s="131">
        <v>12</v>
      </c>
      <c r="S14" s="132">
        <f t="shared" si="9"/>
        <v>1</v>
      </c>
      <c r="T14" s="133">
        <f t="shared" si="10"/>
        <v>46.956521739130437</v>
      </c>
      <c r="U14" s="133">
        <f t="shared" si="11"/>
        <v>313.04347826086956</v>
      </c>
      <c r="V14" s="131">
        <v>20</v>
      </c>
      <c r="W14" s="126">
        <f t="shared" si="12"/>
        <v>1.6666666666666667</v>
      </c>
      <c r="X14" s="46">
        <v>60.67</v>
      </c>
      <c r="Y14" s="126">
        <f t="shared" si="13"/>
        <v>0.16852777777777778</v>
      </c>
      <c r="Z14" s="134"/>
      <c r="AA14" s="125">
        <f t="shared" si="14"/>
        <v>384</v>
      </c>
      <c r="AB14" s="125">
        <f t="shared" si="15"/>
        <v>300.5130434782609</v>
      </c>
      <c r="AC14" s="135">
        <f t="shared" si="16"/>
        <v>360</v>
      </c>
      <c r="AD14" s="136">
        <f t="shared" si="17"/>
        <v>313.04347826086956</v>
      </c>
      <c r="AE14" s="125">
        <f t="shared" si="18"/>
        <v>744</v>
      </c>
      <c r="AF14" s="46">
        <f t="shared" si="19"/>
        <v>613.5565217391304</v>
      </c>
    </row>
    <row r="15" spans="2:32" ht="15" customHeight="1" x14ac:dyDescent="0.25">
      <c r="B15" s="121">
        <v>46056</v>
      </c>
      <c r="C15" s="122" t="s">
        <v>63</v>
      </c>
      <c r="D15" s="123">
        <v>238</v>
      </c>
      <c r="E15" s="124">
        <v>16</v>
      </c>
      <c r="F15" s="124">
        <v>952</v>
      </c>
      <c r="G15" s="124">
        <v>17</v>
      </c>
      <c r="H15" s="124">
        <v>564</v>
      </c>
      <c r="I15" s="125">
        <f t="shared" si="3"/>
        <v>33.176470588235297</v>
      </c>
      <c r="J15" s="126">
        <f t="shared" si="4"/>
        <v>1.7857142857142856E-2</v>
      </c>
      <c r="K15" s="127">
        <f t="shared" si="5"/>
        <v>73.565217391304344</v>
      </c>
      <c r="L15" s="127">
        <f t="shared" si="6"/>
        <v>490.43478260869563</v>
      </c>
      <c r="M15" s="128">
        <v>49.05</v>
      </c>
      <c r="N15" s="129">
        <f t="shared" si="7"/>
        <v>441.38478260869562</v>
      </c>
      <c r="O15" s="130"/>
      <c r="P15" s="46">
        <v>349</v>
      </c>
      <c r="Q15" s="125">
        <f t="shared" si="8"/>
        <v>20.529411764705884</v>
      </c>
      <c r="R15" s="131">
        <v>13</v>
      </c>
      <c r="S15" s="132">
        <f t="shared" si="9"/>
        <v>0.76470588235294112</v>
      </c>
      <c r="T15" s="133">
        <f t="shared" si="10"/>
        <v>45.521739130434781</v>
      </c>
      <c r="U15" s="133">
        <f t="shared" si="11"/>
        <v>303.47826086956525</v>
      </c>
      <c r="V15" s="131">
        <v>22</v>
      </c>
      <c r="W15" s="126">
        <f t="shared" si="12"/>
        <v>1.2941176470588236</v>
      </c>
      <c r="X15" s="46">
        <v>68.19</v>
      </c>
      <c r="Y15" s="126">
        <f t="shared" si="13"/>
        <v>0.19538681948424069</v>
      </c>
      <c r="Z15" s="134"/>
      <c r="AA15" s="125">
        <f t="shared" si="14"/>
        <v>564</v>
      </c>
      <c r="AB15" s="125">
        <f t="shared" si="15"/>
        <v>441.38478260869562</v>
      </c>
      <c r="AC15" s="135">
        <f t="shared" si="16"/>
        <v>349</v>
      </c>
      <c r="AD15" s="136">
        <f t="shared" si="17"/>
        <v>303.47826086956525</v>
      </c>
      <c r="AE15" s="125">
        <f t="shared" si="18"/>
        <v>913</v>
      </c>
      <c r="AF15" s="46">
        <f t="shared" si="19"/>
        <v>744.86304347826081</v>
      </c>
    </row>
    <row r="16" spans="2:32" ht="15" customHeight="1" x14ac:dyDescent="0.25">
      <c r="B16" s="121">
        <v>46057</v>
      </c>
      <c r="C16" s="122" t="s">
        <v>64</v>
      </c>
      <c r="D16" s="123">
        <v>238</v>
      </c>
      <c r="E16" s="124">
        <v>16</v>
      </c>
      <c r="F16" s="124">
        <v>952</v>
      </c>
      <c r="G16" s="124">
        <v>13</v>
      </c>
      <c r="H16" s="124">
        <v>446</v>
      </c>
      <c r="I16" s="125">
        <f t="shared" si="3"/>
        <v>34.307692307692307</v>
      </c>
      <c r="J16" s="126">
        <f t="shared" si="4"/>
        <v>1.365546218487395E-2</v>
      </c>
      <c r="K16" s="127">
        <f t="shared" si="5"/>
        <v>58.173913043478258</v>
      </c>
      <c r="L16" s="127">
        <f t="shared" si="6"/>
        <v>387.82608695652175</v>
      </c>
      <c r="M16" s="128">
        <v>38.79</v>
      </c>
      <c r="N16" s="129">
        <f t="shared" si="7"/>
        <v>349.03608695652173</v>
      </c>
      <c r="O16" s="130"/>
      <c r="P16" s="46">
        <v>243</v>
      </c>
      <c r="Q16" s="125">
        <f t="shared" si="8"/>
        <v>18.692307692307693</v>
      </c>
      <c r="R16" s="131">
        <v>9</v>
      </c>
      <c r="S16" s="132">
        <f t="shared" si="9"/>
        <v>0.69230769230769229</v>
      </c>
      <c r="T16" s="133">
        <f t="shared" si="10"/>
        <v>31.695652173913043</v>
      </c>
      <c r="U16" s="133">
        <f t="shared" si="11"/>
        <v>211.30434782608697</v>
      </c>
      <c r="V16" s="131">
        <v>14</v>
      </c>
      <c r="W16" s="126">
        <f t="shared" si="12"/>
        <v>1.0769230769230769</v>
      </c>
      <c r="X16" s="46">
        <v>36.450000000000003</v>
      </c>
      <c r="Y16" s="126">
        <f t="shared" si="13"/>
        <v>0.15000000000000002</v>
      </c>
      <c r="Z16" s="134"/>
      <c r="AA16" s="125">
        <f t="shared" si="14"/>
        <v>446</v>
      </c>
      <c r="AB16" s="125">
        <f t="shared" si="15"/>
        <v>349.03608695652173</v>
      </c>
      <c r="AC16" s="135">
        <f t="shared" si="16"/>
        <v>243</v>
      </c>
      <c r="AD16" s="136">
        <f t="shared" si="17"/>
        <v>211.30434782608697</v>
      </c>
      <c r="AE16" s="125">
        <f t="shared" si="18"/>
        <v>689</v>
      </c>
      <c r="AF16" s="46">
        <f t="shared" si="19"/>
        <v>560.34043478260867</v>
      </c>
    </row>
    <row r="17" spans="2:32" ht="15" customHeight="1" x14ac:dyDescent="0.25">
      <c r="B17" s="121">
        <v>46058</v>
      </c>
      <c r="C17" s="122" t="s">
        <v>57</v>
      </c>
      <c r="D17" s="123">
        <v>238</v>
      </c>
      <c r="E17" s="124">
        <v>16</v>
      </c>
      <c r="F17" s="124">
        <v>952</v>
      </c>
      <c r="G17" s="124">
        <v>45</v>
      </c>
      <c r="H17" s="124">
        <v>1020</v>
      </c>
      <c r="I17" s="125">
        <f t="shared" si="3"/>
        <v>22.666666666666668</v>
      </c>
      <c r="J17" s="126">
        <f t="shared" si="4"/>
        <v>4.7268907563025209E-2</v>
      </c>
      <c r="K17" s="127">
        <f t="shared" si="5"/>
        <v>133.04347826086956</v>
      </c>
      <c r="L17" s="127">
        <f t="shared" si="6"/>
        <v>886.95652173913049</v>
      </c>
      <c r="M17" s="128">
        <v>88.7</v>
      </c>
      <c r="N17" s="129">
        <f t="shared" si="7"/>
        <v>798.25652173913045</v>
      </c>
      <c r="O17" s="130"/>
      <c r="P17" s="46">
        <v>685</v>
      </c>
      <c r="Q17" s="125">
        <f t="shared" si="8"/>
        <v>15.222222222222221</v>
      </c>
      <c r="R17" s="131">
        <v>23</v>
      </c>
      <c r="S17" s="132">
        <f t="shared" si="9"/>
        <v>0.51111111111111107</v>
      </c>
      <c r="T17" s="133">
        <f t="shared" si="10"/>
        <v>89.347826086956516</v>
      </c>
      <c r="U17" s="133">
        <f t="shared" si="11"/>
        <v>595.6521739130435</v>
      </c>
      <c r="V17" s="131">
        <v>44</v>
      </c>
      <c r="W17" s="126">
        <f t="shared" si="12"/>
        <v>0.97777777777777775</v>
      </c>
      <c r="X17" s="46">
        <v>135.9</v>
      </c>
      <c r="Y17" s="126">
        <f t="shared" si="13"/>
        <v>0.1983941605839416</v>
      </c>
      <c r="Z17" s="134"/>
      <c r="AA17" s="125">
        <f t="shared" si="14"/>
        <v>1020</v>
      </c>
      <c r="AB17" s="125">
        <f t="shared" si="15"/>
        <v>798.25652173913045</v>
      </c>
      <c r="AC17" s="135">
        <f t="shared" si="16"/>
        <v>685</v>
      </c>
      <c r="AD17" s="136">
        <f t="shared" si="17"/>
        <v>595.6521739130435</v>
      </c>
      <c r="AE17" s="125">
        <f t="shared" si="18"/>
        <v>1705</v>
      </c>
      <c r="AF17" s="46">
        <f t="shared" si="19"/>
        <v>1393.9086956521739</v>
      </c>
    </row>
    <row r="18" spans="2:32" ht="15" customHeight="1" x14ac:dyDescent="0.25">
      <c r="B18" s="121">
        <v>46059</v>
      </c>
      <c r="C18" s="122" t="s">
        <v>59</v>
      </c>
      <c r="D18" s="123">
        <v>238</v>
      </c>
      <c r="E18" s="124">
        <v>16</v>
      </c>
      <c r="F18" s="124">
        <v>952</v>
      </c>
      <c r="G18" s="124">
        <v>95</v>
      </c>
      <c r="H18" s="124">
        <v>2090</v>
      </c>
      <c r="I18" s="125">
        <f t="shared" si="3"/>
        <v>22</v>
      </c>
      <c r="J18" s="126">
        <f t="shared" si="4"/>
        <v>9.9789915966386561E-2</v>
      </c>
      <c r="K18" s="127">
        <f t="shared" si="5"/>
        <v>272.60869565217394</v>
      </c>
      <c r="L18" s="127">
        <f t="shared" si="6"/>
        <v>1817.391304347826</v>
      </c>
      <c r="M18" s="128">
        <v>181.74</v>
      </c>
      <c r="N18" s="129">
        <f t="shared" si="7"/>
        <v>1635.651304347826</v>
      </c>
      <c r="O18" s="130"/>
      <c r="P18" s="46">
        <v>1656</v>
      </c>
      <c r="Q18" s="125">
        <f t="shared" si="8"/>
        <v>17.431578947368422</v>
      </c>
      <c r="R18" s="131">
        <v>38</v>
      </c>
      <c r="S18" s="132">
        <f t="shared" si="9"/>
        <v>0.4</v>
      </c>
      <c r="T18" s="133">
        <f t="shared" si="10"/>
        <v>216</v>
      </c>
      <c r="U18" s="133">
        <f t="shared" si="11"/>
        <v>1440</v>
      </c>
      <c r="V18" s="131">
        <v>98</v>
      </c>
      <c r="W18" s="126">
        <f t="shared" si="12"/>
        <v>1.0315789473684212</v>
      </c>
      <c r="X18" s="46">
        <v>328.62</v>
      </c>
      <c r="Y18" s="126">
        <f t="shared" si="13"/>
        <v>0.19844202898550725</v>
      </c>
      <c r="Z18" s="134"/>
      <c r="AA18" s="125">
        <f t="shared" si="14"/>
        <v>2090</v>
      </c>
      <c r="AB18" s="125">
        <f t="shared" si="15"/>
        <v>1635.651304347826</v>
      </c>
      <c r="AC18" s="135">
        <f t="shared" si="16"/>
        <v>1656</v>
      </c>
      <c r="AD18" s="136">
        <f t="shared" si="17"/>
        <v>1440</v>
      </c>
      <c r="AE18" s="125">
        <f t="shared" si="18"/>
        <v>3746</v>
      </c>
      <c r="AF18" s="46">
        <f t="shared" si="19"/>
        <v>3075.6513043478262</v>
      </c>
    </row>
    <row r="19" spans="2:32" ht="15" customHeight="1" x14ac:dyDescent="0.25">
      <c r="B19" s="121">
        <v>46060</v>
      </c>
      <c r="C19" s="122" t="s">
        <v>60</v>
      </c>
      <c r="D19" s="123">
        <v>238</v>
      </c>
      <c r="E19" s="124">
        <v>16</v>
      </c>
      <c r="F19" s="124">
        <v>952</v>
      </c>
      <c r="G19" s="124">
        <v>30</v>
      </c>
      <c r="H19" s="124">
        <v>660</v>
      </c>
      <c r="I19" s="125">
        <f t="shared" si="3"/>
        <v>22</v>
      </c>
      <c r="J19" s="126">
        <f t="shared" si="4"/>
        <v>3.1512605042016806E-2</v>
      </c>
      <c r="K19" s="127">
        <f t="shared" si="5"/>
        <v>86.086956521739125</v>
      </c>
      <c r="L19" s="127">
        <f t="shared" si="6"/>
        <v>573.91304347826087</v>
      </c>
      <c r="M19" s="128">
        <v>57.39</v>
      </c>
      <c r="N19" s="129">
        <f t="shared" si="7"/>
        <v>516.52304347826089</v>
      </c>
      <c r="O19" s="130"/>
      <c r="P19" s="46">
        <v>869.78</v>
      </c>
      <c r="Q19" s="125">
        <f t="shared" si="8"/>
        <v>28.992666666666665</v>
      </c>
      <c r="R19" s="131">
        <v>22</v>
      </c>
      <c r="S19" s="132">
        <f t="shared" si="9"/>
        <v>0.73333333333333328</v>
      </c>
      <c r="T19" s="133">
        <f t="shared" si="10"/>
        <v>113.4495652173913</v>
      </c>
      <c r="U19" s="133">
        <f t="shared" si="11"/>
        <v>756.33043478260868</v>
      </c>
      <c r="V19" s="131">
        <v>42</v>
      </c>
      <c r="W19" s="126">
        <f t="shared" si="12"/>
        <v>1.4</v>
      </c>
      <c r="X19" s="46">
        <v>171.69</v>
      </c>
      <c r="Y19" s="126">
        <f t="shared" si="13"/>
        <v>0.19739474349835592</v>
      </c>
      <c r="Z19" s="134"/>
      <c r="AA19" s="125">
        <f t="shared" si="14"/>
        <v>660</v>
      </c>
      <c r="AB19" s="125">
        <f t="shared" si="15"/>
        <v>516.52304347826089</v>
      </c>
      <c r="AC19" s="135">
        <f t="shared" si="16"/>
        <v>869.78</v>
      </c>
      <c r="AD19" s="136">
        <f t="shared" si="17"/>
        <v>756.33043478260868</v>
      </c>
      <c r="AE19" s="125">
        <f t="shared" si="18"/>
        <v>1529.78</v>
      </c>
      <c r="AF19" s="46">
        <f t="shared" si="19"/>
        <v>1272.8534782608695</v>
      </c>
    </row>
    <row r="20" spans="2:32" ht="15" customHeight="1" x14ac:dyDescent="0.25">
      <c r="B20" s="121">
        <v>46061</v>
      </c>
      <c r="C20" s="122" t="s">
        <v>61</v>
      </c>
      <c r="D20" s="123">
        <v>238</v>
      </c>
      <c r="E20" s="124">
        <v>16</v>
      </c>
      <c r="F20" s="124">
        <v>952</v>
      </c>
      <c r="G20" s="124">
        <v>20</v>
      </c>
      <c r="H20" s="124">
        <v>400</v>
      </c>
      <c r="I20" s="125">
        <f t="shared" si="3"/>
        <v>20</v>
      </c>
      <c r="J20" s="126">
        <f t="shared" si="4"/>
        <v>2.100840336134454E-2</v>
      </c>
      <c r="K20" s="127">
        <f t="shared" si="5"/>
        <v>52.173913043478258</v>
      </c>
      <c r="L20" s="127">
        <f t="shared" si="6"/>
        <v>347.82608695652175</v>
      </c>
      <c r="M20" s="128">
        <v>34.78</v>
      </c>
      <c r="N20" s="129">
        <f t="shared" si="7"/>
        <v>313.04608695652178</v>
      </c>
      <c r="O20" s="130"/>
      <c r="P20" s="46">
        <v>300</v>
      </c>
      <c r="Q20" s="125">
        <f t="shared" si="8"/>
        <v>15</v>
      </c>
      <c r="R20" s="131">
        <v>8</v>
      </c>
      <c r="S20" s="132">
        <f t="shared" si="9"/>
        <v>0.4</v>
      </c>
      <c r="T20" s="133">
        <f t="shared" si="10"/>
        <v>39.130434782608695</v>
      </c>
      <c r="U20" s="133">
        <f t="shared" si="11"/>
        <v>260.86956521739131</v>
      </c>
      <c r="V20" s="131">
        <v>21</v>
      </c>
      <c r="W20" s="126">
        <f t="shared" si="12"/>
        <v>1.05</v>
      </c>
      <c r="X20" s="46">
        <v>63.97</v>
      </c>
      <c r="Y20" s="126">
        <f t="shared" si="13"/>
        <v>0.21323333333333333</v>
      </c>
      <c r="Z20" s="134"/>
      <c r="AA20" s="125">
        <f t="shared" si="14"/>
        <v>400</v>
      </c>
      <c r="AB20" s="125">
        <f t="shared" si="15"/>
        <v>313.04608695652178</v>
      </c>
      <c r="AC20" s="135">
        <f t="shared" si="16"/>
        <v>300</v>
      </c>
      <c r="AD20" s="136">
        <f t="shared" si="17"/>
        <v>260.86956521739131</v>
      </c>
      <c r="AE20" s="125">
        <f t="shared" si="18"/>
        <v>700</v>
      </c>
      <c r="AF20" s="46">
        <f t="shared" si="19"/>
        <v>573.91565217391303</v>
      </c>
    </row>
    <row r="21" spans="2:32" ht="15" customHeight="1" x14ac:dyDescent="0.25">
      <c r="B21" s="121">
        <v>46062</v>
      </c>
      <c r="C21" s="122" t="s">
        <v>62</v>
      </c>
      <c r="D21" s="123">
        <v>238</v>
      </c>
      <c r="E21" s="124">
        <v>16</v>
      </c>
      <c r="F21" s="124">
        <v>952</v>
      </c>
      <c r="G21" s="124">
        <v>11</v>
      </c>
      <c r="H21" s="124">
        <v>240</v>
      </c>
      <c r="I21" s="125">
        <f t="shared" si="3"/>
        <v>21.818181818181817</v>
      </c>
      <c r="J21" s="126">
        <f t="shared" si="4"/>
        <v>1.1554621848739496E-2</v>
      </c>
      <c r="K21" s="127">
        <f t="shared" si="5"/>
        <v>31.304347826086957</v>
      </c>
      <c r="L21" s="127">
        <f t="shared" si="6"/>
        <v>208.69565217391303</v>
      </c>
      <c r="M21" s="128">
        <v>20.87</v>
      </c>
      <c r="N21" s="129">
        <f t="shared" si="7"/>
        <v>187.82565217391303</v>
      </c>
      <c r="O21" s="130"/>
      <c r="P21" s="46">
        <v>431</v>
      </c>
      <c r="Q21" s="125">
        <f t="shared" si="8"/>
        <v>39.18181818181818</v>
      </c>
      <c r="R21" s="131">
        <v>12</v>
      </c>
      <c r="S21" s="132">
        <f t="shared" si="9"/>
        <v>1.0909090909090908</v>
      </c>
      <c r="T21" s="133">
        <f t="shared" si="10"/>
        <v>56.217391304347828</v>
      </c>
      <c r="U21" s="133">
        <f t="shared" si="11"/>
        <v>374.78260869565219</v>
      </c>
      <c r="V21" s="131">
        <v>26</v>
      </c>
      <c r="W21" s="126">
        <f t="shared" si="12"/>
        <v>2.3636363636363638</v>
      </c>
      <c r="X21" s="46">
        <v>67.819999999999993</v>
      </c>
      <c r="Y21" s="126">
        <f t="shared" si="13"/>
        <v>0.15735498839907192</v>
      </c>
      <c r="Z21" s="134"/>
      <c r="AA21" s="125">
        <f t="shared" si="14"/>
        <v>240</v>
      </c>
      <c r="AB21" s="125">
        <f t="shared" si="15"/>
        <v>187.82565217391303</v>
      </c>
      <c r="AC21" s="135">
        <f t="shared" si="16"/>
        <v>431</v>
      </c>
      <c r="AD21" s="136">
        <f t="shared" si="17"/>
        <v>374.78260869565219</v>
      </c>
      <c r="AE21" s="125">
        <f t="shared" si="18"/>
        <v>671</v>
      </c>
      <c r="AF21" s="46">
        <f t="shared" si="19"/>
        <v>562.60826086956524</v>
      </c>
    </row>
    <row r="22" spans="2:32" ht="15" customHeight="1" x14ac:dyDescent="0.25">
      <c r="B22" s="121">
        <v>46063</v>
      </c>
      <c r="C22" s="122" t="s">
        <v>63</v>
      </c>
      <c r="D22" s="123">
        <v>238</v>
      </c>
      <c r="E22" s="124">
        <v>16</v>
      </c>
      <c r="F22" s="124">
        <v>952</v>
      </c>
      <c r="G22" s="124">
        <v>24</v>
      </c>
      <c r="H22" s="124">
        <v>520</v>
      </c>
      <c r="I22" s="125">
        <f t="shared" si="3"/>
        <v>21.666666666666668</v>
      </c>
      <c r="J22" s="126">
        <f t="shared" si="4"/>
        <v>2.5210084033613446E-2</v>
      </c>
      <c r="K22" s="127">
        <f t="shared" si="5"/>
        <v>67.826086956521735</v>
      </c>
      <c r="L22" s="127">
        <f t="shared" si="6"/>
        <v>452.17391304347825</v>
      </c>
      <c r="M22" s="128">
        <v>45.22</v>
      </c>
      <c r="N22" s="129">
        <f t="shared" si="7"/>
        <v>406.95391304347822</v>
      </c>
      <c r="O22" s="130"/>
      <c r="P22" s="46">
        <v>721</v>
      </c>
      <c r="Q22" s="125">
        <f t="shared" si="8"/>
        <v>30.041666666666668</v>
      </c>
      <c r="R22" s="131">
        <v>18</v>
      </c>
      <c r="S22" s="132">
        <f t="shared" si="9"/>
        <v>0.75</v>
      </c>
      <c r="T22" s="133">
        <f t="shared" si="10"/>
        <v>94.043478260869563</v>
      </c>
      <c r="U22" s="133">
        <f t="shared" si="11"/>
        <v>626.95652173913049</v>
      </c>
      <c r="V22" s="131">
        <v>44</v>
      </c>
      <c r="W22" s="126">
        <f t="shared" si="12"/>
        <v>1.8333333333333333</v>
      </c>
      <c r="X22" s="46">
        <v>140.86000000000001</v>
      </c>
      <c r="Y22" s="126">
        <f t="shared" si="13"/>
        <v>0.19536754507628296</v>
      </c>
      <c r="Z22" s="134"/>
      <c r="AA22" s="125">
        <f t="shared" si="14"/>
        <v>520</v>
      </c>
      <c r="AB22" s="125">
        <f t="shared" si="15"/>
        <v>406.95391304347822</v>
      </c>
      <c r="AC22" s="135">
        <f t="shared" si="16"/>
        <v>721</v>
      </c>
      <c r="AD22" s="136">
        <f t="shared" si="17"/>
        <v>626.95652173913049</v>
      </c>
      <c r="AE22" s="125">
        <f t="shared" si="18"/>
        <v>1241</v>
      </c>
      <c r="AF22" s="46">
        <f t="shared" si="19"/>
        <v>1033.9104347826087</v>
      </c>
    </row>
    <row r="23" spans="2:32" ht="15" customHeight="1" x14ac:dyDescent="0.25">
      <c r="B23" s="121">
        <v>46064</v>
      </c>
      <c r="C23" s="122" t="s">
        <v>64</v>
      </c>
      <c r="D23" s="123">
        <v>238</v>
      </c>
      <c r="E23" s="124">
        <v>16</v>
      </c>
      <c r="F23" s="124">
        <v>952</v>
      </c>
      <c r="G23" s="124">
        <v>11</v>
      </c>
      <c r="H23" s="124">
        <v>220</v>
      </c>
      <c r="I23" s="125">
        <f t="shared" si="3"/>
        <v>20</v>
      </c>
      <c r="J23" s="126">
        <f t="shared" si="4"/>
        <v>1.1554621848739496E-2</v>
      </c>
      <c r="K23" s="127">
        <f t="shared" si="5"/>
        <v>28.695652173913043</v>
      </c>
      <c r="L23" s="127">
        <f t="shared" si="6"/>
        <v>191.30434782608697</v>
      </c>
      <c r="M23" s="128">
        <v>19.13</v>
      </c>
      <c r="N23" s="129">
        <f t="shared" si="7"/>
        <v>172.17434782608697</v>
      </c>
      <c r="O23" s="130"/>
      <c r="P23" s="46">
        <v>367</v>
      </c>
      <c r="Q23" s="125">
        <f t="shared" si="8"/>
        <v>33.363636363636367</v>
      </c>
      <c r="R23" s="131">
        <v>12</v>
      </c>
      <c r="S23" s="132">
        <f t="shared" si="9"/>
        <v>1.0909090909090908</v>
      </c>
      <c r="T23" s="133">
        <f t="shared" si="10"/>
        <v>47.869565217391305</v>
      </c>
      <c r="U23" s="133">
        <f t="shared" si="11"/>
        <v>319.13043478260869</v>
      </c>
      <c r="V23" s="131">
        <v>25</v>
      </c>
      <c r="W23" s="126">
        <f t="shared" si="12"/>
        <v>2.2727272727272729</v>
      </c>
      <c r="X23" s="46">
        <v>66.06</v>
      </c>
      <c r="Y23" s="126">
        <f t="shared" si="13"/>
        <v>0.18</v>
      </c>
      <c r="Z23" s="134"/>
      <c r="AA23" s="125">
        <f t="shared" si="14"/>
        <v>220</v>
      </c>
      <c r="AB23" s="125">
        <f t="shared" si="15"/>
        <v>172.17434782608697</v>
      </c>
      <c r="AC23" s="135">
        <f t="shared" si="16"/>
        <v>367</v>
      </c>
      <c r="AD23" s="136">
        <f t="shared" si="17"/>
        <v>319.13043478260869</v>
      </c>
      <c r="AE23" s="125">
        <f t="shared" si="18"/>
        <v>587</v>
      </c>
      <c r="AF23" s="46">
        <f t="shared" si="19"/>
        <v>491.30478260869563</v>
      </c>
    </row>
    <row r="24" spans="2:32" ht="15" customHeight="1" x14ac:dyDescent="0.25">
      <c r="B24" s="121">
        <v>46065</v>
      </c>
      <c r="C24" s="122" t="s">
        <v>57</v>
      </c>
      <c r="D24" s="123">
        <v>238</v>
      </c>
      <c r="E24" s="124">
        <v>16</v>
      </c>
      <c r="F24" s="124">
        <v>952</v>
      </c>
      <c r="G24" s="124">
        <v>34</v>
      </c>
      <c r="H24" s="124">
        <v>1108</v>
      </c>
      <c r="I24" s="125">
        <f t="shared" si="3"/>
        <v>32.588235294117645</v>
      </c>
      <c r="J24" s="126">
        <f t="shared" si="4"/>
        <v>3.5714285714285712E-2</v>
      </c>
      <c r="K24" s="127">
        <f t="shared" si="5"/>
        <v>144.52173913043478</v>
      </c>
      <c r="L24" s="127">
        <f t="shared" si="6"/>
        <v>963.47826086956525</v>
      </c>
      <c r="M24" s="128">
        <v>96.36</v>
      </c>
      <c r="N24" s="129">
        <f t="shared" si="7"/>
        <v>867.11826086956523</v>
      </c>
      <c r="O24" s="130"/>
      <c r="P24" s="46">
        <v>946</v>
      </c>
      <c r="Q24" s="125">
        <f t="shared" si="8"/>
        <v>27.823529411764707</v>
      </c>
      <c r="R24" s="131">
        <v>25</v>
      </c>
      <c r="S24" s="132">
        <f t="shared" si="9"/>
        <v>0.73529411764705888</v>
      </c>
      <c r="T24" s="133">
        <f t="shared" si="10"/>
        <v>123.39130434782609</v>
      </c>
      <c r="U24" s="133">
        <f t="shared" si="11"/>
        <v>822.60869565217388</v>
      </c>
      <c r="V24" s="131">
        <v>54</v>
      </c>
      <c r="W24" s="126">
        <f t="shared" si="12"/>
        <v>1.588235294117647</v>
      </c>
      <c r="X24" s="46">
        <v>183.37</v>
      </c>
      <c r="Y24" s="126">
        <f t="shared" si="13"/>
        <v>0.19383720930232559</v>
      </c>
      <c r="Z24" s="134"/>
      <c r="AA24" s="125">
        <f t="shared" si="14"/>
        <v>1108</v>
      </c>
      <c r="AB24" s="125">
        <f t="shared" si="15"/>
        <v>867.11826086956523</v>
      </c>
      <c r="AC24" s="135">
        <f t="shared" si="16"/>
        <v>946</v>
      </c>
      <c r="AD24" s="136">
        <f t="shared" si="17"/>
        <v>822.60869565217388</v>
      </c>
      <c r="AE24" s="125">
        <f t="shared" si="18"/>
        <v>2054</v>
      </c>
      <c r="AF24" s="46">
        <f t="shared" si="19"/>
        <v>1689.7269565217391</v>
      </c>
    </row>
    <row r="25" spans="2:32" ht="15" customHeight="1" x14ac:dyDescent="0.25">
      <c r="B25" s="121">
        <v>46066</v>
      </c>
      <c r="C25" s="122" t="s">
        <v>59</v>
      </c>
      <c r="D25" s="123">
        <v>238</v>
      </c>
      <c r="E25" s="124">
        <v>16</v>
      </c>
      <c r="F25" s="124">
        <v>952</v>
      </c>
      <c r="G25" s="124">
        <v>36</v>
      </c>
      <c r="H25" s="124">
        <v>1202</v>
      </c>
      <c r="I25" s="125">
        <f t="shared" si="3"/>
        <v>33.388888888888886</v>
      </c>
      <c r="J25" s="126">
        <f t="shared" si="4"/>
        <v>3.7815126050420166E-2</v>
      </c>
      <c r="K25" s="127">
        <f t="shared" si="5"/>
        <v>156.78260869565219</v>
      </c>
      <c r="L25" s="127">
        <f t="shared" si="6"/>
        <v>1045.2173913043478</v>
      </c>
      <c r="M25" s="128">
        <v>104.53</v>
      </c>
      <c r="N25" s="129">
        <f t="shared" si="7"/>
        <v>940.68739130434778</v>
      </c>
      <c r="O25" s="130"/>
      <c r="P25" s="46">
        <v>681</v>
      </c>
      <c r="Q25" s="125">
        <f t="shared" si="8"/>
        <v>18.916666666666668</v>
      </c>
      <c r="R25" s="131">
        <v>21</v>
      </c>
      <c r="S25" s="132">
        <f t="shared" si="9"/>
        <v>0.58333333333333337</v>
      </c>
      <c r="T25" s="133">
        <f t="shared" si="10"/>
        <v>88.826086956521735</v>
      </c>
      <c r="U25" s="133">
        <f t="shared" si="11"/>
        <v>592.17391304347825</v>
      </c>
      <c r="V25" s="131">
        <v>39</v>
      </c>
      <c r="W25" s="126">
        <f t="shared" si="12"/>
        <v>1.0833333333333333</v>
      </c>
      <c r="X25" s="46">
        <v>143.72999999999999</v>
      </c>
      <c r="Y25" s="126">
        <f t="shared" si="13"/>
        <v>0.21105726872246694</v>
      </c>
      <c r="Z25" s="134"/>
      <c r="AA25" s="125">
        <f t="shared" si="14"/>
        <v>1202</v>
      </c>
      <c r="AB25" s="125">
        <f t="shared" si="15"/>
        <v>940.68739130434778</v>
      </c>
      <c r="AC25" s="135">
        <f t="shared" si="16"/>
        <v>681</v>
      </c>
      <c r="AD25" s="136">
        <f t="shared" si="17"/>
        <v>592.17391304347825</v>
      </c>
      <c r="AE25" s="125">
        <f t="shared" si="18"/>
        <v>1883</v>
      </c>
      <c r="AF25" s="46">
        <f t="shared" si="19"/>
        <v>1532.861304347826</v>
      </c>
    </row>
    <row r="26" spans="2:32" ht="15" customHeight="1" x14ac:dyDescent="0.25">
      <c r="B26" s="121">
        <v>46067</v>
      </c>
      <c r="C26" s="122" t="s">
        <v>60</v>
      </c>
      <c r="D26" s="123">
        <v>238</v>
      </c>
      <c r="E26" s="124">
        <v>16</v>
      </c>
      <c r="F26" s="124">
        <v>952</v>
      </c>
      <c r="G26" s="124">
        <v>25</v>
      </c>
      <c r="H26" s="124">
        <v>830</v>
      </c>
      <c r="I26" s="125">
        <f t="shared" si="3"/>
        <v>33.200000000000003</v>
      </c>
      <c r="J26" s="126">
        <f t="shared" si="4"/>
        <v>2.6260504201680673E-2</v>
      </c>
      <c r="K26" s="127">
        <f t="shared" si="5"/>
        <v>108.26086956521739</v>
      </c>
      <c r="L26" s="127">
        <f t="shared" si="6"/>
        <v>721.73913043478262</v>
      </c>
      <c r="M26" s="128">
        <v>72.180000000000007</v>
      </c>
      <c r="N26" s="129">
        <f t="shared" si="7"/>
        <v>649.55913043478267</v>
      </c>
      <c r="O26" s="130"/>
      <c r="P26" s="46">
        <v>606</v>
      </c>
      <c r="Q26" s="125">
        <f t="shared" si="8"/>
        <v>24.24</v>
      </c>
      <c r="R26" s="131">
        <v>22</v>
      </c>
      <c r="S26" s="132">
        <f t="shared" si="9"/>
        <v>0.88</v>
      </c>
      <c r="T26" s="133">
        <f t="shared" si="10"/>
        <v>79.043478260869563</v>
      </c>
      <c r="U26" s="133">
        <f t="shared" si="11"/>
        <v>526.95652173913049</v>
      </c>
      <c r="V26" s="131">
        <v>40</v>
      </c>
      <c r="W26" s="126">
        <f t="shared" si="12"/>
        <v>1.6</v>
      </c>
      <c r="X26" s="46">
        <v>109.86</v>
      </c>
      <c r="Y26" s="126">
        <f t="shared" si="13"/>
        <v>0.18128712871287128</v>
      </c>
      <c r="Z26" s="134"/>
      <c r="AA26" s="125">
        <f t="shared" si="14"/>
        <v>830</v>
      </c>
      <c r="AB26" s="125">
        <f t="shared" si="15"/>
        <v>649.55913043478267</v>
      </c>
      <c r="AC26" s="135">
        <f t="shared" si="16"/>
        <v>606</v>
      </c>
      <c r="AD26" s="136">
        <f t="shared" si="17"/>
        <v>526.95652173913049</v>
      </c>
      <c r="AE26" s="125">
        <f t="shared" si="18"/>
        <v>1436</v>
      </c>
      <c r="AF26" s="46">
        <f t="shared" si="19"/>
        <v>1176.5156521739132</v>
      </c>
    </row>
    <row r="27" spans="2:32" ht="15" customHeight="1" x14ac:dyDescent="0.25">
      <c r="B27" s="121">
        <v>46068</v>
      </c>
      <c r="C27" s="122" t="s">
        <v>61</v>
      </c>
      <c r="D27" s="123">
        <v>238</v>
      </c>
      <c r="E27" s="124">
        <v>16</v>
      </c>
      <c r="F27" s="124">
        <v>952</v>
      </c>
      <c r="G27" s="124">
        <v>11</v>
      </c>
      <c r="H27" s="124">
        <v>372</v>
      </c>
      <c r="I27" s="125">
        <f t="shared" si="3"/>
        <v>33.81818181818182</v>
      </c>
      <c r="J27" s="126">
        <f t="shared" si="4"/>
        <v>1.1554621848739496E-2</v>
      </c>
      <c r="K27" s="127">
        <f t="shared" si="5"/>
        <v>48.521739130434781</v>
      </c>
      <c r="L27" s="127">
        <f t="shared" si="6"/>
        <v>323.47826086956525</v>
      </c>
      <c r="M27" s="128">
        <v>32.35</v>
      </c>
      <c r="N27" s="129">
        <f t="shared" si="7"/>
        <v>291.12826086956522</v>
      </c>
      <c r="O27" s="130"/>
      <c r="P27" s="46">
        <v>335</v>
      </c>
      <c r="Q27" s="125">
        <f t="shared" si="8"/>
        <v>30.454545454545453</v>
      </c>
      <c r="R27" s="131">
        <v>11</v>
      </c>
      <c r="S27" s="132">
        <f t="shared" si="9"/>
        <v>1</v>
      </c>
      <c r="T27" s="133">
        <f t="shared" si="10"/>
        <v>43.695652173913047</v>
      </c>
      <c r="U27" s="133">
        <f t="shared" si="11"/>
        <v>291.30434782608694</v>
      </c>
      <c r="V27" s="131">
        <v>16</v>
      </c>
      <c r="W27" s="126">
        <f t="shared" si="12"/>
        <v>1.4545454545454546</v>
      </c>
      <c r="X27" s="46">
        <v>57.77</v>
      </c>
      <c r="Y27" s="126">
        <f t="shared" si="13"/>
        <v>0.17244776119402985</v>
      </c>
      <c r="Z27" s="134"/>
      <c r="AA27" s="125">
        <f t="shared" si="14"/>
        <v>372</v>
      </c>
      <c r="AB27" s="125">
        <f t="shared" si="15"/>
        <v>291.12826086956522</v>
      </c>
      <c r="AC27" s="135">
        <f t="shared" si="16"/>
        <v>335</v>
      </c>
      <c r="AD27" s="136">
        <f t="shared" si="17"/>
        <v>291.30434782608694</v>
      </c>
      <c r="AE27" s="125">
        <f t="shared" si="18"/>
        <v>707</v>
      </c>
      <c r="AF27" s="46">
        <f t="shared" si="19"/>
        <v>582.43260869565211</v>
      </c>
    </row>
    <row r="28" spans="2:32" ht="15" customHeight="1" x14ac:dyDescent="0.25">
      <c r="B28" s="121">
        <v>46069</v>
      </c>
      <c r="C28" s="122" t="s">
        <v>62</v>
      </c>
      <c r="D28" s="123">
        <v>238</v>
      </c>
      <c r="E28" s="124">
        <v>16</v>
      </c>
      <c r="F28" s="124">
        <v>952</v>
      </c>
      <c r="G28" s="124">
        <v>11</v>
      </c>
      <c r="H28" s="124">
        <v>352</v>
      </c>
      <c r="I28" s="125">
        <f t="shared" si="3"/>
        <v>32</v>
      </c>
      <c r="J28" s="126">
        <f t="shared" si="4"/>
        <v>1.1554621848739496E-2</v>
      </c>
      <c r="K28" s="127">
        <f t="shared" si="5"/>
        <v>45.913043478260867</v>
      </c>
      <c r="L28" s="127">
        <f t="shared" si="6"/>
        <v>306.08695652173913</v>
      </c>
      <c r="M28" s="128">
        <v>30.61</v>
      </c>
      <c r="N28" s="129">
        <f t="shared" si="7"/>
        <v>275.47695652173911</v>
      </c>
      <c r="O28" s="130"/>
      <c r="P28" s="46">
        <v>402</v>
      </c>
      <c r="Q28" s="125">
        <f t="shared" si="8"/>
        <v>36.545454545454547</v>
      </c>
      <c r="R28" s="131">
        <v>17</v>
      </c>
      <c r="S28" s="132">
        <f t="shared" si="9"/>
        <v>1.5454545454545454</v>
      </c>
      <c r="T28" s="133">
        <f t="shared" si="10"/>
        <v>52.434782608695649</v>
      </c>
      <c r="U28" s="133">
        <f t="shared" si="11"/>
        <v>349.56521739130437</v>
      </c>
      <c r="V28" s="131">
        <v>24</v>
      </c>
      <c r="W28" s="126">
        <f t="shared" si="12"/>
        <v>2.1818181818181817</v>
      </c>
      <c r="X28" s="46">
        <v>79.13</v>
      </c>
      <c r="Y28" s="126">
        <f t="shared" si="13"/>
        <v>0.19684079601990048</v>
      </c>
      <c r="Z28" s="134"/>
      <c r="AA28" s="125">
        <f t="shared" si="14"/>
        <v>352</v>
      </c>
      <c r="AB28" s="125">
        <f t="shared" si="15"/>
        <v>275.47695652173911</v>
      </c>
      <c r="AC28" s="135">
        <f t="shared" si="16"/>
        <v>402</v>
      </c>
      <c r="AD28" s="136">
        <f t="shared" si="17"/>
        <v>349.56521739130437</v>
      </c>
      <c r="AE28" s="125">
        <f t="shared" si="18"/>
        <v>754</v>
      </c>
      <c r="AF28" s="46">
        <f t="shared" si="19"/>
        <v>625.04217391304348</v>
      </c>
    </row>
    <row r="29" spans="2:32" ht="15" customHeight="1" x14ac:dyDescent="0.25">
      <c r="B29" s="121">
        <v>46070</v>
      </c>
      <c r="C29" s="122" t="s">
        <v>63</v>
      </c>
      <c r="D29" s="123">
        <v>238</v>
      </c>
      <c r="E29" s="124">
        <v>16</v>
      </c>
      <c r="F29" s="124">
        <v>952</v>
      </c>
      <c r="G29" s="124">
        <v>5</v>
      </c>
      <c r="H29" s="124">
        <v>170</v>
      </c>
      <c r="I29" s="125">
        <f t="shared" si="3"/>
        <v>34</v>
      </c>
      <c r="J29" s="126">
        <f t="shared" si="4"/>
        <v>5.2521008403361349E-3</v>
      </c>
      <c r="K29" s="127">
        <f t="shared" si="5"/>
        <v>22.173913043478262</v>
      </c>
      <c r="L29" s="127">
        <f t="shared" si="6"/>
        <v>147.82608695652175</v>
      </c>
      <c r="M29" s="128">
        <v>14.78</v>
      </c>
      <c r="N29" s="129">
        <f t="shared" si="7"/>
        <v>133.04608695652175</v>
      </c>
      <c r="O29" s="130"/>
      <c r="P29" s="46">
        <v>290</v>
      </c>
      <c r="Q29" s="125">
        <f t="shared" si="8"/>
        <v>58</v>
      </c>
      <c r="R29" s="131">
        <v>8</v>
      </c>
      <c r="S29" s="132">
        <f t="shared" si="9"/>
        <v>1.6</v>
      </c>
      <c r="T29" s="133">
        <f t="shared" si="10"/>
        <v>37.826086956521742</v>
      </c>
      <c r="U29" s="133">
        <f t="shared" si="11"/>
        <v>252.17391304347825</v>
      </c>
      <c r="V29" s="131">
        <v>21</v>
      </c>
      <c r="W29" s="126">
        <f t="shared" si="12"/>
        <v>4.2</v>
      </c>
      <c r="X29" s="46">
        <v>61.27</v>
      </c>
      <c r="Y29" s="126">
        <f t="shared" si="13"/>
        <v>0.21127586206896554</v>
      </c>
      <c r="Z29" s="134"/>
      <c r="AA29" s="125">
        <f t="shared" si="14"/>
        <v>170</v>
      </c>
      <c r="AB29" s="125">
        <f t="shared" si="15"/>
        <v>133.04608695652175</v>
      </c>
      <c r="AC29" s="135">
        <f t="shared" si="16"/>
        <v>290</v>
      </c>
      <c r="AD29" s="136">
        <f t="shared" si="17"/>
        <v>252.17391304347825</v>
      </c>
      <c r="AE29" s="125">
        <f t="shared" si="18"/>
        <v>460</v>
      </c>
      <c r="AF29" s="46">
        <f t="shared" si="19"/>
        <v>385.22</v>
      </c>
    </row>
    <row r="30" spans="2:32" ht="15" customHeight="1" x14ac:dyDescent="0.25">
      <c r="B30" s="121">
        <v>46071</v>
      </c>
      <c r="C30" s="122" t="s">
        <v>64</v>
      </c>
      <c r="D30" s="123">
        <v>238</v>
      </c>
      <c r="E30" s="124">
        <v>8</v>
      </c>
      <c r="F30" s="124">
        <v>476</v>
      </c>
      <c r="G30" s="124">
        <v>0</v>
      </c>
      <c r="H30" s="124">
        <v>0</v>
      </c>
      <c r="I30" s="125" t="e">
        <f t="shared" si="3"/>
        <v>#DIV/0!</v>
      </c>
      <c r="J30" s="132">
        <f t="shared" si="4"/>
        <v>0</v>
      </c>
      <c r="K30" s="127">
        <f t="shared" si="5"/>
        <v>0</v>
      </c>
      <c r="L30" s="127">
        <f t="shared" si="6"/>
        <v>0</v>
      </c>
      <c r="M30" s="128">
        <v>0</v>
      </c>
      <c r="N30" s="129">
        <f t="shared" si="7"/>
        <v>0</v>
      </c>
      <c r="O30" s="130"/>
      <c r="P30" s="46">
        <v>0</v>
      </c>
      <c r="Q30" s="125" t="e">
        <f t="shared" si="8"/>
        <v>#DIV/0!</v>
      </c>
      <c r="R30" s="131">
        <v>0</v>
      </c>
      <c r="S30" s="132" t="e">
        <f t="shared" si="9"/>
        <v>#DIV/0!</v>
      </c>
      <c r="T30" s="133">
        <f t="shared" si="10"/>
        <v>0</v>
      </c>
      <c r="U30" s="133">
        <f t="shared" si="11"/>
        <v>0</v>
      </c>
      <c r="V30" s="131">
        <v>0</v>
      </c>
      <c r="W30" s="126" t="e">
        <f t="shared" si="12"/>
        <v>#DIV/0!</v>
      </c>
      <c r="X30" s="46">
        <v>0</v>
      </c>
      <c r="Y30" s="126" t="e">
        <f t="shared" si="13"/>
        <v>#DIV/0!</v>
      </c>
      <c r="Z30" s="134"/>
      <c r="AA30" s="125">
        <f t="shared" si="14"/>
        <v>0</v>
      </c>
      <c r="AB30" s="125">
        <f t="shared" si="15"/>
        <v>0</v>
      </c>
      <c r="AC30" s="135">
        <f t="shared" si="16"/>
        <v>0</v>
      </c>
      <c r="AD30" s="136">
        <f t="shared" si="17"/>
        <v>0</v>
      </c>
      <c r="AE30" s="125">
        <f t="shared" si="18"/>
        <v>0</v>
      </c>
      <c r="AF30" s="46">
        <f t="shared" si="19"/>
        <v>0</v>
      </c>
    </row>
    <row r="31" spans="2:32" ht="15" customHeight="1" x14ac:dyDescent="0.25">
      <c r="B31" s="121">
        <v>46072</v>
      </c>
      <c r="C31" s="122" t="s">
        <v>57</v>
      </c>
      <c r="D31" s="123">
        <v>238</v>
      </c>
      <c r="E31" s="124">
        <v>9</v>
      </c>
      <c r="F31" s="124">
        <v>533</v>
      </c>
      <c r="G31" s="124">
        <v>8</v>
      </c>
      <c r="H31" s="124">
        <v>266</v>
      </c>
      <c r="I31" s="125">
        <f t="shared" si="3"/>
        <v>33.25</v>
      </c>
      <c r="J31" s="126">
        <f t="shared" si="4"/>
        <v>1.50093808630394E-2</v>
      </c>
      <c r="K31" s="127">
        <f t="shared" si="5"/>
        <v>34.695652173913047</v>
      </c>
      <c r="L31" s="127">
        <f t="shared" si="6"/>
        <v>231.30434782608694</v>
      </c>
      <c r="M31" s="128">
        <v>23.13</v>
      </c>
      <c r="N31" s="129">
        <f t="shared" si="7"/>
        <v>208.17434782608694</v>
      </c>
      <c r="O31" s="130"/>
      <c r="P31" s="46">
        <v>180</v>
      </c>
      <c r="Q31" s="125">
        <f t="shared" si="8"/>
        <v>22.5</v>
      </c>
      <c r="R31" s="131">
        <v>8</v>
      </c>
      <c r="S31" s="132">
        <f t="shared" si="9"/>
        <v>1</v>
      </c>
      <c r="T31" s="133">
        <f t="shared" si="10"/>
        <v>23.478260869565219</v>
      </c>
      <c r="U31" s="133">
        <f t="shared" si="11"/>
        <v>156.52173913043478</v>
      </c>
      <c r="V31" s="131">
        <v>9</v>
      </c>
      <c r="W31" s="126">
        <f t="shared" si="12"/>
        <v>1.125</v>
      </c>
      <c r="X31" s="46">
        <v>30.22</v>
      </c>
      <c r="Y31" s="126">
        <f t="shared" si="13"/>
        <v>0.16788888888888889</v>
      </c>
      <c r="Z31" s="134"/>
      <c r="AA31" s="125">
        <f t="shared" si="14"/>
        <v>266</v>
      </c>
      <c r="AB31" s="125">
        <f t="shared" si="15"/>
        <v>208.17434782608694</v>
      </c>
      <c r="AC31" s="135">
        <f t="shared" si="16"/>
        <v>180</v>
      </c>
      <c r="AD31" s="136">
        <f t="shared" si="17"/>
        <v>156.52173913043478</v>
      </c>
      <c r="AE31" s="125">
        <f t="shared" si="18"/>
        <v>446</v>
      </c>
      <c r="AF31" s="46">
        <f t="shared" si="19"/>
        <v>364.69608695652175</v>
      </c>
    </row>
    <row r="32" spans="2:32" ht="15" customHeight="1" x14ac:dyDescent="0.25">
      <c r="B32" s="121">
        <v>46073</v>
      </c>
      <c r="C32" s="122" t="s">
        <v>59</v>
      </c>
      <c r="D32" s="123">
        <v>238</v>
      </c>
      <c r="E32" s="124">
        <v>9</v>
      </c>
      <c r="F32" s="124">
        <v>533</v>
      </c>
      <c r="G32" s="124">
        <v>3</v>
      </c>
      <c r="H32" s="124">
        <v>96</v>
      </c>
      <c r="I32" s="125">
        <f t="shared" si="3"/>
        <v>32</v>
      </c>
      <c r="J32" s="126">
        <f t="shared" si="4"/>
        <v>5.6285178236397749E-3</v>
      </c>
      <c r="K32" s="127">
        <f t="shared" si="5"/>
        <v>12.521739130434783</v>
      </c>
      <c r="L32" s="127">
        <f t="shared" si="6"/>
        <v>83.478260869565219</v>
      </c>
      <c r="M32" s="128">
        <v>8.35</v>
      </c>
      <c r="N32" s="129">
        <f t="shared" si="7"/>
        <v>75.128260869565224</v>
      </c>
      <c r="O32" s="130"/>
      <c r="P32" s="46">
        <v>180</v>
      </c>
      <c r="Q32" s="125">
        <f t="shared" si="8"/>
        <v>60</v>
      </c>
      <c r="R32" s="131">
        <v>7</v>
      </c>
      <c r="S32" s="132">
        <f t="shared" si="9"/>
        <v>2.3333333333333335</v>
      </c>
      <c r="T32" s="133">
        <f t="shared" si="10"/>
        <v>23.478260869565219</v>
      </c>
      <c r="U32" s="133">
        <f t="shared" si="11"/>
        <v>156.52173913043478</v>
      </c>
      <c r="V32" s="131">
        <v>11</v>
      </c>
      <c r="W32" s="126">
        <f t="shared" si="12"/>
        <v>3.6666666666666665</v>
      </c>
      <c r="X32" s="46">
        <v>35.08</v>
      </c>
      <c r="Y32" s="126">
        <f t="shared" si="13"/>
        <v>0.19488888888888889</v>
      </c>
      <c r="Z32" s="134"/>
      <c r="AA32" s="125">
        <f t="shared" si="14"/>
        <v>96</v>
      </c>
      <c r="AB32" s="125">
        <f t="shared" si="15"/>
        <v>75.128260869565224</v>
      </c>
      <c r="AC32" s="135">
        <f t="shared" si="16"/>
        <v>180</v>
      </c>
      <c r="AD32" s="136">
        <f t="shared" si="17"/>
        <v>156.52173913043478</v>
      </c>
      <c r="AE32" s="125">
        <f t="shared" si="18"/>
        <v>276</v>
      </c>
      <c r="AF32" s="46">
        <f t="shared" si="19"/>
        <v>231.65</v>
      </c>
    </row>
    <row r="33" spans="2:32" ht="15" customHeight="1" x14ac:dyDescent="0.25">
      <c r="B33" s="121">
        <v>46074</v>
      </c>
      <c r="C33" s="122" t="s">
        <v>60</v>
      </c>
      <c r="D33" s="123">
        <v>238</v>
      </c>
      <c r="E33" s="124">
        <v>9</v>
      </c>
      <c r="F33" s="124">
        <v>533</v>
      </c>
      <c r="G33" s="124">
        <v>9</v>
      </c>
      <c r="H33" s="124">
        <v>288</v>
      </c>
      <c r="I33" s="125">
        <f t="shared" si="3"/>
        <v>32</v>
      </c>
      <c r="J33" s="126">
        <f t="shared" si="4"/>
        <v>1.6885553470919325E-2</v>
      </c>
      <c r="K33" s="127">
        <f t="shared" si="5"/>
        <v>37.565217391304351</v>
      </c>
      <c r="L33" s="127">
        <f t="shared" si="6"/>
        <v>250.43478260869566</v>
      </c>
      <c r="M33" s="128">
        <v>25.05</v>
      </c>
      <c r="N33" s="129">
        <f t="shared" si="7"/>
        <v>225.38478260869564</v>
      </c>
      <c r="O33" s="130"/>
      <c r="P33" s="46">
        <v>133</v>
      </c>
      <c r="Q33" s="125">
        <f t="shared" si="8"/>
        <v>14.777777777777779</v>
      </c>
      <c r="R33" s="131">
        <v>5</v>
      </c>
      <c r="S33" s="132">
        <f t="shared" si="9"/>
        <v>0.55555555555555558</v>
      </c>
      <c r="T33" s="133">
        <f t="shared" si="10"/>
        <v>17.347826086956523</v>
      </c>
      <c r="U33" s="133">
        <f t="shared" si="11"/>
        <v>115.65217391304347</v>
      </c>
      <c r="V33" s="131">
        <v>9</v>
      </c>
      <c r="W33" s="126">
        <f t="shared" si="12"/>
        <v>1</v>
      </c>
      <c r="X33" s="46">
        <v>18.77</v>
      </c>
      <c r="Y33" s="126">
        <f t="shared" si="13"/>
        <v>0.14112781954887219</v>
      </c>
      <c r="Z33" s="134"/>
      <c r="AA33" s="125">
        <f t="shared" si="14"/>
        <v>288</v>
      </c>
      <c r="AB33" s="125">
        <f t="shared" si="15"/>
        <v>225.38478260869564</v>
      </c>
      <c r="AC33" s="135">
        <f t="shared" si="16"/>
        <v>133</v>
      </c>
      <c r="AD33" s="136">
        <f t="shared" si="17"/>
        <v>115.65217391304347</v>
      </c>
      <c r="AE33" s="125">
        <f t="shared" si="18"/>
        <v>421</v>
      </c>
      <c r="AF33" s="46">
        <f t="shared" si="19"/>
        <v>341.03695652173911</v>
      </c>
    </row>
    <row r="34" spans="2:32" ht="15" customHeight="1" x14ac:dyDescent="0.25">
      <c r="B34" s="121">
        <v>46075</v>
      </c>
      <c r="C34" s="122" t="s">
        <v>61</v>
      </c>
      <c r="D34" s="123">
        <v>238</v>
      </c>
      <c r="E34" s="124">
        <v>9</v>
      </c>
      <c r="F34" s="124">
        <v>533</v>
      </c>
      <c r="G34" s="124">
        <v>0</v>
      </c>
      <c r="H34" s="124">
        <v>0</v>
      </c>
      <c r="I34" s="125" t="e">
        <f t="shared" si="3"/>
        <v>#DIV/0!</v>
      </c>
      <c r="J34" s="126">
        <f t="shared" si="4"/>
        <v>0</v>
      </c>
      <c r="K34" s="127">
        <f t="shared" si="5"/>
        <v>0</v>
      </c>
      <c r="L34" s="127">
        <f t="shared" si="6"/>
        <v>0</v>
      </c>
      <c r="M34" s="128">
        <v>0</v>
      </c>
      <c r="N34" s="129">
        <f t="shared" si="7"/>
        <v>0</v>
      </c>
      <c r="O34" s="130"/>
      <c r="P34" s="46">
        <v>156</v>
      </c>
      <c r="Q34" s="125" t="e">
        <f t="shared" si="8"/>
        <v>#DIV/0!</v>
      </c>
      <c r="R34" s="131">
        <v>4</v>
      </c>
      <c r="S34" s="132" t="e">
        <f t="shared" si="9"/>
        <v>#DIV/0!</v>
      </c>
      <c r="T34" s="133">
        <f t="shared" si="10"/>
        <v>20.347826086956523</v>
      </c>
      <c r="U34" s="133">
        <f t="shared" si="11"/>
        <v>135.65217391304347</v>
      </c>
      <c r="V34" s="131">
        <v>6</v>
      </c>
      <c r="W34" s="126" t="e">
        <f t="shared" si="12"/>
        <v>#DIV/0!</v>
      </c>
      <c r="X34" s="46">
        <v>20.54</v>
      </c>
      <c r="Y34" s="126">
        <f t="shared" si="13"/>
        <v>0.13166666666666665</v>
      </c>
      <c r="Z34" s="134"/>
      <c r="AA34" s="125">
        <f t="shared" si="14"/>
        <v>0</v>
      </c>
      <c r="AB34" s="125">
        <f t="shared" si="15"/>
        <v>0</v>
      </c>
      <c r="AC34" s="135">
        <f t="shared" si="16"/>
        <v>156</v>
      </c>
      <c r="AD34" s="136">
        <f t="shared" si="17"/>
        <v>135.65217391304347</v>
      </c>
      <c r="AE34" s="125">
        <f t="shared" si="18"/>
        <v>156</v>
      </c>
      <c r="AF34" s="46">
        <f t="shared" si="19"/>
        <v>135.65217391304347</v>
      </c>
    </row>
    <row r="35" spans="2:32" ht="15" customHeight="1" x14ac:dyDescent="0.25">
      <c r="B35" s="121">
        <v>46076</v>
      </c>
      <c r="C35" s="122" t="s">
        <v>62</v>
      </c>
      <c r="D35" s="123">
        <v>238</v>
      </c>
      <c r="E35" s="124">
        <v>9</v>
      </c>
      <c r="F35" s="124">
        <v>533</v>
      </c>
      <c r="G35" s="124">
        <v>0</v>
      </c>
      <c r="H35" s="124">
        <v>0</v>
      </c>
      <c r="I35" s="125" t="e">
        <f t="shared" si="3"/>
        <v>#DIV/0!</v>
      </c>
      <c r="J35" s="126">
        <f t="shared" si="4"/>
        <v>0</v>
      </c>
      <c r="K35" s="127">
        <f t="shared" si="5"/>
        <v>0</v>
      </c>
      <c r="L35" s="127">
        <f t="shared" si="6"/>
        <v>0</v>
      </c>
      <c r="M35" s="128">
        <v>0</v>
      </c>
      <c r="N35" s="129">
        <f t="shared" si="7"/>
        <v>0</v>
      </c>
      <c r="O35" s="130"/>
      <c r="P35" s="46">
        <v>64</v>
      </c>
      <c r="Q35" s="125" t="e">
        <f t="shared" si="8"/>
        <v>#DIV/0!</v>
      </c>
      <c r="R35" s="131">
        <v>2</v>
      </c>
      <c r="S35" s="132" t="e">
        <f t="shared" si="9"/>
        <v>#DIV/0!</v>
      </c>
      <c r="T35" s="133">
        <f t="shared" si="10"/>
        <v>8.3478260869565215</v>
      </c>
      <c r="U35" s="133">
        <f t="shared" si="11"/>
        <v>55.652173913043477</v>
      </c>
      <c r="V35" s="131">
        <v>3</v>
      </c>
      <c r="W35" s="126" t="e">
        <f t="shared" si="12"/>
        <v>#DIV/0!</v>
      </c>
      <c r="X35" s="46">
        <v>11.74</v>
      </c>
      <c r="Y35" s="126">
        <f t="shared" si="13"/>
        <v>0.1834375</v>
      </c>
      <c r="Z35" s="134"/>
      <c r="AA35" s="125">
        <f t="shared" si="14"/>
        <v>0</v>
      </c>
      <c r="AB35" s="125">
        <f t="shared" si="15"/>
        <v>0</v>
      </c>
      <c r="AC35" s="135">
        <f t="shared" si="16"/>
        <v>64</v>
      </c>
      <c r="AD35" s="136">
        <f t="shared" si="17"/>
        <v>55.652173913043477</v>
      </c>
      <c r="AE35" s="125">
        <f t="shared" si="18"/>
        <v>64</v>
      </c>
      <c r="AF35" s="46">
        <f t="shared" si="19"/>
        <v>55.652173913043477</v>
      </c>
    </row>
    <row r="36" spans="2:32" ht="15" customHeight="1" x14ac:dyDescent="0.25">
      <c r="B36" s="121">
        <v>46077</v>
      </c>
      <c r="C36" s="122" t="s">
        <v>63</v>
      </c>
      <c r="D36" s="123">
        <v>238</v>
      </c>
      <c r="E36" s="124">
        <v>9</v>
      </c>
      <c r="F36" s="124">
        <v>533</v>
      </c>
      <c r="G36" s="124">
        <v>3</v>
      </c>
      <c r="H36" s="124">
        <v>96</v>
      </c>
      <c r="I36" s="125">
        <f t="shared" si="3"/>
        <v>32</v>
      </c>
      <c r="J36" s="126">
        <f t="shared" si="4"/>
        <v>5.6285178236397749E-3</v>
      </c>
      <c r="K36" s="127">
        <f t="shared" si="5"/>
        <v>12.521739130434783</v>
      </c>
      <c r="L36" s="127">
        <f t="shared" si="6"/>
        <v>83.478260869565219</v>
      </c>
      <c r="M36" s="128">
        <v>8.35</v>
      </c>
      <c r="N36" s="129">
        <f t="shared" si="7"/>
        <v>75.128260869565224</v>
      </c>
      <c r="O36" s="130"/>
      <c r="P36" s="46">
        <v>121</v>
      </c>
      <c r="Q36" s="125">
        <f t="shared" si="8"/>
        <v>40.333333333333336</v>
      </c>
      <c r="R36" s="131">
        <v>4</v>
      </c>
      <c r="S36" s="132">
        <f t="shared" si="9"/>
        <v>1.3333333333333333</v>
      </c>
      <c r="T36" s="133">
        <f t="shared" si="10"/>
        <v>15.782608695652174</v>
      </c>
      <c r="U36" s="133">
        <f t="shared" si="11"/>
        <v>105.21739130434783</v>
      </c>
      <c r="V36" s="131">
        <v>11</v>
      </c>
      <c r="W36" s="126">
        <f t="shared" si="12"/>
        <v>3.6666666666666665</v>
      </c>
      <c r="X36" s="46">
        <v>22.96</v>
      </c>
      <c r="Y36" s="126">
        <f t="shared" si="13"/>
        <v>0.1897520661157025</v>
      </c>
      <c r="Z36" s="134"/>
      <c r="AA36" s="125">
        <f t="shared" si="14"/>
        <v>96</v>
      </c>
      <c r="AB36" s="125">
        <f t="shared" si="15"/>
        <v>75.128260869565224</v>
      </c>
      <c r="AC36" s="135">
        <f t="shared" si="16"/>
        <v>121</v>
      </c>
      <c r="AD36" s="136">
        <f t="shared" si="17"/>
        <v>105.21739130434783</v>
      </c>
      <c r="AE36" s="125">
        <f t="shared" si="18"/>
        <v>217</v>
      </c>
      <c r="AF36" s="46">
        <f t="shared" si="19"/>
        <v>180.34565217391304</v>
      </c>
    </row>
    <row r="37" spans="2:32" ht="15" customHeight="1" x14ac:dyDescent="0.25">
      <c r="B37" s="121">
        <v>46078</v>
      </c>
      <c r="C37" s="122" t="s">
        <v>64</v>
      </c>
      <c r="D37" s="123">
        <v>238</v>
      </c>
      <c r="E37" s="124">
        <v>9</v>
      </c>
      <c r="F37" s="124">
        <v>533</v>
      </c>
      <c r="G37" s="124">
        <v>6</v>
      </c>
      <c r="H37" s="124">
        <v>192</v>
      </c>
      <c r="I37" s="125">
        <f t="shared" si="3"/>
        <v>32</v>
      </c>
      <c r="J37" s="126">
        <f t="shared" si="4"/>
        <v>1.125703564727955E-2</v>
      </c>
      <c r="K37" s="127">
        <f t="shared" si="5"/>
        <v>25.043478260869566</v>
      </c>
      <c r="L37" s="127">
        <f t="shared" si="6"/>
        <v>166.95652173913044</v>
      </c>
      <c r="M37" s="128">
        <v>16.7</v>
      </c>
      <c r="N37" s="129">
        <f t="shared" si="7"/>
        <v>150.25652173913045</v>
      </c>
      <c r="O37" s="130"/>
      <c r="P37" s="46">
        <v>268</v>
      </c>
      <c r="Q37" s="125">
        <f t="shared" si="8"/>
        <v>44.666666666666664</v>
      </c>
      <c r="R37" s="131">
        <v>11</v>
      </c>
      <c r="S37" s="132">
        <f t="shared" si="9"/>
        <v>1.8333333333333333</v>
      </c>
      <c r="T37" s="133">
        <f t="shared" si="10"/>
        <v>34.956521739130437</v>
      </c>
      <c r="U37" s="133">
        <f t="shared" si="11"/>
        <v>233.04347826086956</v>
      </c>
      <c r="V37" s="131">
        <v>12</v>
      </c>
      <c r="W37" s="126">
        <f t="shared" si="12"/>
        <v>2</v>
      </c>
      <c r="X37" s="46">
        <v>41.19</v>
      </c>
      <c r="Y37" s="126">
        <f t="shared" si="13"/>
        <v>0.15369402985074626</v>
      </c>
      <c r="Z37" s="134"/>
      <c r="AA37" s="125">
        <f t="shared" si="14"/>
        <v>192</v>
      </c>
      <c r="AB37" s="125">
        <f t="shared" si="15"/>
        <v>150.25652173913045</v>
      </c>
      <c r="AC37" s="135">
        <f t="shared" si="16"/>
        <v>268</v>
      </c>
      <c r="AD37" s="136">
        <f t="shared" si="17"/>
        <v>233.04347826086956</v>
      </c>
      <c r="AE37" s="125">
        <f t="shared" si="18"/>
        <v>460</v>
      </c>
      <c r="AF37" s="46">
        <f t="shared" si="19"/>
        <v>383.3</v>
      </c>
    </row>
    <row r="38" spans="2:32" ht="15" customHeight="1" x14ac:dyDescent="0.25">
      <c r="B38" s="121">
        <v>46079</v>
      </c>
      <c r="C38" s="122" t="s">
        <v>57</v>
      </c>
      <c r="D38" s="123">
        <v>238</v>
      </c>
      <c r="E38" s="124">
        <v>8</v>
      </c>
      <c r="F38" s="124">
        <v>476</v>
      </c>
      <c r="G38" s="124">
        <v>3</v>
      </c>
      <c r="H38" s="124">
        <v>126</v>
      </c>
      <c r="I38" s="125">
        <f t="shared" si="3"/>
        <v>42</v>
      </c>
      <c r="J38" s="126">
        <f t="shared" si="4"/>
        <v>6.3025210084033615E-3</v>
      </c>
      <c r="K38" s="127">
        <f t="shared" si="5"/>
        <v>16.434782608695652</v>
      </c>
      <c r="L38" s="127">
        <f t="shared" si="6"/>
        <v>109.56521739130434</v>
      </c>
      <c r="M38" s="128">
        <v>10.96</v>
      </c>
      <c r="N38" s="129">
        <f t="shared" si="7"/>
        <v>98.605217391304336</v>
      </c>
      <c r="O38" s="130"/>
      <c r="P38" s="46">
        <v>355</v>
      </c>
      <c r="Q38" s="125">
        <f t="shared" si="8"/>
        <v>118.33333333333333</v>
      </c>
      <c r="R38" s="131">
        <v>11</v>
      </c>
      <c r="S38" s="132">
        <f t="shared" si="9"/>
        <v>3.6666666666666665</v>
      </c>
      <c r="T38" s="133">
        <f t="shared" si="10"/>
        <v>46.304347826086953</v>
      </c>
      <c r="U38" s="133">
        <f t="shared" si="11"/>
        <v>308.69565217391306</v>
      </c>
      <c r="V38" s="131">
        <v>21</v>
      </c>
      <c r="W38" s="126">
        <f t="shared" si="12"/>
        <v>7</v>
      </c>
      <c r="X38" s="46">
        <v>80.27</v>
      </c>
      <c r="Y38" s="126">
        <f t="shared" si="13"/>
        <v>0.22611267605633803</v>
      </c>
      <c r="Z38" s="134"/>
      <c r="AA38" s="125">
        <f t="shared" si="14"/>
        <v>126</v>
      </c>
      <c r="AB38" s="125">
        <f t="shared" si="15"/>
        <v>98.605217391304336</v>
      </c>
      <c r="AC38" s="135">
        <f t="shared" si="16"/>
        <v>355</v>
      </c>
      <c r="AD38" s="136">
        <f t="shared" si="17"/>
        <v>308.69565217391306</v>
      </c>
      <c r="AE38" s="125">
        <f t="shared" si="18"/>
        <v>481</v>
      </c>
      <c r="AF38" s="46">
        <f t="shared" si="19"/>
        <v>407.3008695652174</v>
      </c>
    </row>
    <row r="39" spans="2:32" ht="15" customHeight="1" x14ac:dyDescent="0.25">
      <c r="B39" s="121">
        <v>46080</v>
      </c>
      <c r="C39" s="122" t="s">
        <v>59</v>
      </c>
      <c r="D39" s="123">
        <v>238</v>
      </c>
      <c r="E39" s="124">
        <v>8</v>
      </c>
      <c r="F39" s="124">
        <v>476</v>
      </c>
      <c r="G39" s="124">
        <v>6</v>
      </c>
      <c r="H39" s="124">
        <v>192</v>
      </c>
      <c r="I39" s="125">
        <f t="shared" si="3"/>
        <v>32</v>
      </c>
      <c r="J39" s="126">
        <f t="shared" si="4"/>
        <v>1.2605042016806723E-2</v>
      </c>
      <c r="K39" s="127">
        <f t="shared" si="5"/>
        <v>25.043478260869566</v>
      </c>
      <c r="L39" s="127">
        <f t="shared" si="6"/>
        <v>166.95652173913044</v>
      </c>
      <c r="M39" s="128">
        <v>16.7</v>
      </c>
      <c r="N39" s="129">
        <f t="shared" si="7"/>
        <v>150.25652173913045</v>
      </c>
      <c r="O39" s="130"/>
      <c r="P39" s="46">
        <v>809</v>
      </c>
      <c r="Q39" s="125">
        <f t="shared" si="8"/>
        <v>134.83333333333334</v>
      </c>
      <c r="R39" s="131">
        <v>27</v>
      </c>
      <c r="S39" s="132">
        <f t="shared" si="9"/>
        <v>4.5</v>
      </c>
      <c r="T39" s="133">
        <f t="shared" si="10"/>
        <v>105.52173913043478</v>
      </c>
      <c r="U39" s="133">
        <f t="shared" si="11"/>
        <v>703.47826086956525</v>
      </c>
      <c r="V39" s="131">
        <v>44</v>
      </c>
      <c r="W39" s="126">
        <f t="shared" si="12"/>
        <v>7.333333333333333</v>
      </c>
      <c r="X39" s="46">
        <v>139.62</v>
      </c>
      <c r="Y39" s="126">
        <f t="shared" si="13"/>
        <v>0.17258343634116194</v>
      </c>
      <c r="Z39" s="134"/>
      <c r="AA39" s="125">
        <f t="shared" si="14"/>
        <v>192</v>
      </c>
      <c r="AB39" s="125">
        <f t="shared" si="15"/>
        <v>150.25652173913045</v>
      </c>
      <c r="AC39" s="135">
        <f t="shared" si="16"/>
        <v>809</v>
      </c>
      <c r="AD39" s="136">
        <f t="shared" si="17"/>
        <v>703.47826086956525</v>
      </c>
      <c r="AE39" s="125">
        <f t="shared" si="18"/>
        <v>1001</v>
      </c>
      <c r="AF39" s="46">
        <f t="shared" si="19"/>
        <v>853.7347826086957</v>
      </c>
    </row>
    <row r="40" spans="2:32" ht="15" customHeight="1" x14ac:dyDescent="0.25">
      <c r="B40" s="121">
        <v>46081</v>
      </c>
      <c r="C40" s="122" t="s">
        <v>60</v>
      </c>
      <c r="D40" s="123">
        <v>238</v>
      </c>
      <c r="E40" s="124">
        <v>8</v>
      </c>
      <c r="F40" s="124">
        <v>476</v>
      </c>
      <c r="G40" s="124">
        <v>0</v>
      </c>
      <c r="H40" s="124">
        <v>0</v>
      </c>
      <c r="I40" s="125" t="e">
        <f t="shared" si="3"/>
        <v>#DIV/0!</v>
      </c>
      <c r="J40" s="126">
        <f t="shared" si="4"/>
        <v>0</v>
      </c>
      <c r="K40" s="127">
        <f t="shared" si="5"/>
        <v>0</v>
      </c>
      <c r="L40" s="127">
        <f t="shared" si="6"/>
        <v>0</v>
      </c>
      <c r="M40" s="128">
        <v>0</v>
      </c>
      <c r="N40" s="129">
        <f t="shared" si="7"/>
        <v>0</v>
      </c>
      <c r="P40" s="46">
        <v>164</v>
      </c>
      <c r="Q40" s="125" t="e">
        <f t="shared" si="8"/>
        <v>#DIV/0!</v>
      </c>
      <c r="R40" s="131">
        <v>5</v>
      </c>
      <c r="S40" s="132" t="e">
        <f t="shared" si="9"/>
        <v>#DIV/0!</v>
      </c>
      <c r="T40" s="133">
        <f t="shared" si="10"/>
        <v>21.391304347826086</v>
      </c>
      <c r="U40" s="133">
        <f t="shared" si="11"/>
        <v>142.60869565217391</v>
      </c>
      <c r="V40" s="131">
        <v>10</v>
      </c>
      <c r="W40" s="126" t="e">
        <f t="shared" si="12"/>
        <v>#DIV/0!</v>
      </c>
      <c r="X40" s="46">
        <v>34.520000000000003</v>
      </c>
      <c r="Y40" s="126">
        <f t="shared" si="13"/>
        <v>0.2104878048780488</v>
      </c>
      <c r="Z40" s="134"/>
      <c r="AA40" s="125">
        <f t="shared" si="14"/>
        <v>0</v>
      </c>
      <c r="AB40" s="125">
        <f t="shared" si="15"/>
        <v>0</v>
      </c>
      <c r="AC40" s="135">
        <f t="shared" si="16"/>
        <v>164</v>
      </c>
      <c r="AD40" s="136">
        <f t="shared" si="17"/>
        <v>142.60869565217391</v>
      </c>
      <c r="AE40" s="125">
        <f t="shared" si="18"/>
        <v>164</v>
      </c>
      <c r="AF40" s="46">
        <f t="shared" si="19"/>
        <v>142.60869565217391</v>
      </c>
    </row>
    <row r="41" spans="2:32" ht="15" customHeight="1" x14ac:dyDescent="0.25">
      <c r="B41" s="184" t="s">
        <v>27</v>
      </c>
      <c r="C41" s="184"/>
      <c r="D41" s="137">
        <f>AVERAGE(D13:D40)</f>
        <v>238</v>
      </c>
      <c r="E41" s="137">
        <f>SUM(E13:E40)</f>
        <v>367</v>
      </c>
      <c r="F41" s="137">
        <f>SUM(F13:F40)</f>
        <v>21819</v>
      </c>
      <c r="G41" s="137">
        <f>SUM(G13:G40)</f>
        <v>462</v>
      </c>
      <c r="H41" s="138">
        <f>SUM(H13:H40)</f>
        <v>12602</v>
      </c>
      <c r="I41" s="139">
        <f t="shared" si="3"/>
        <v>27.277056277056278</v>
      </c>
      <c r="J41" s="140">
        <f>(G41/F41)</f>
        <v>2.1174205967276226E-2</v>
      </c>
      <c r="K41" s="141">
        <f>SUM(K13:K40)</f>
        <v>1643.7391304347825</v>
      </c>
      <c r="L41" s="141">
        <f>SUM(L13:L40)</f>
        <v>10958.260869565218</v>
      </c>
      <c r="M41" s="142">
        <f>SUM(M13:M40)</f>
        <v>1095.9100000000001</v>
      </c>
      <c r="N41" s="138">
        <f>SUM(N13:N40)</f>
        <v>9862.3508695652181</v>
      </c>
      <c r="O41" s="8"/>
      <c r="P41" s="139">
        <f>SUM(P13:P40)</f>
        <v>12145.779999999999</v>
      </c>
      <c r="Q41" s="139">
        <f t="shared" si="8"/>
        <v>26.289567099567098</v>
      </c>
      <c r="R41" s="137">
        <f>SUM(R13:R40)</f>
        <v>372</v>
      </c>
      <c r="S41" s="132">
        <f t="shared" si="9"/>
        <v>0.80519480519480524</v>
      </c>
      <c r="T41" s="141">
        <f>SUM(T13:T40)</f>
        <v>1584.2321739130434</v>
      </c>
      <c r="U41" s="142">
        <f>SUM(U13:U40)</f>
        <v>10561.54782608696</v>
      </c>
      <c r="V41" s="143">
        <f>SUM(V13:V40)</f>
        <v>711</v>
      </c>
      <c r="W41" s="141">
        <f t="shared" si="12"/>
        <v>1.5389610389610389</v>
      </c>
      <c r="X41" s="139">
        <f>SUM(X13:X40)</f>
        <v>2326.2699999999995</v>
      </c>
      <c r="Y41" s="140">
        <f t="shared" si="13"/>
        <v>0.1915290742957636</v>
      </c>
      <c r="Z41" s="144"/>
      <c r="AA41" s="139">
        <f t="shared" ref="AA41:AF41" si="20">SUM(AA13:AA40)</f>
        <v>12602</v>
      </c>
      <c r="AB41" s="139">
        <f t="shared" si="20"/>
        <v>9862.3508695652181</v>
      </c>
      <c r="AC41" s="139">
        <f t="shared" si="20"/>
        <v>12145.779999999999</v>
      </c>
      <c r="AD41" s="145">
        <f t="shared" si="20"/>
        <v>10561.54782608696</v>
      </c>
      <c r="AE41" s="139">
        <f t="shared" si="20"/>
        <v>24747.78</v>
      </c>
      <c r="AF41" s="139">
        <f t="shared" si="20"/>
        <v>20423.898695652177</v>
      </c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1:C41"/>
    <mergeCell ref="G10:N10"/>
    <mergeCell ref="P10:Y10"/>
    <mergeCell ref="AA10:AB10"/>
  </mergeCells>
  <conditionalFormatting sqref="F9">
    <cfRule type="expression" dxfId="2" priority="2">
      <formula>NOT(ISERROR(SEARCH("Fiday,sutarday,sunday",F9)))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F84"/>
  <sheetViews>
    <sheetView topLeftCell="P1" zoomScale="85" zoomScaleNormal="85" workbookViewId="0">
      <selection activeCell="AE44" sqref="AE44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8" width="10" style="58" customWidth="1"/>
    <col min="9" max="9" width="9.7109375" style="58" customWidth="1"/>
    <col min="10" max="10" width="9.7109375" style="59" customWidth="1"/>
    <col min="11" max="11" width="10.28515625" style="60" customWidth="1"/>
    <col min="12" max="12" width="11.2851562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3" width="9.7109375" style="58" customWidth="1"/>
    <col min="24" max="24" width="11.5703125" style="58" customWidth="1"/>
    <col min="25" max="25" width="9.7109375" style="58" customWidth="1"/>
    <col min="26" max="26" width="1.7109375" style="58" customWidth="1"/>
    <col min="27" max="27" width="10.28515625" style="58" customWidth="1"/>
    <col min="28" max="30" width="9.7109375" style="58" customWidth="1"/>
    <col min="31" max="32" width="10.28515625" style="58" customWidth="1"/>
    <col min="33" max="16384" width="13.5703125" style="58"/>
  </cols>
  <sheetData>
    <row r="2" spans="2:32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2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2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2" s="64" customFormat="1" ht="14.25" customHeight="1" x14ac:dyDescent="0.25">
      <c r="B5" s="193" t="s">
        <v>2</v>
      </c>
      <c r="C5" s="193"/>
      <c r="D5" s="196" t="s">
        <v>3</v>
      </c>
      <c r="E5" s="196"/>
      <c r="F5" s="196"/>
      <c r="G5" s="193" t="s">
        <v>12</v>
      </c>
      <c r="H5" s="193"/>
      <c r="I5" s="194">
        <v>46082</v>
      </c>
      <c r="J5" s="194"/>
      <c r="K5" s="3"/>
      <c r="L5" s="3"/>
      <c r="M5" s="3"/>
      <c r="S5" s="101"/>
    </row>
    <row r="6" spans="2:32" s="64" customFormat="1" ht="14.25" customHeight="1" x14ac:dyDescent="0.25">
      <c r="B6" s="193" t="s">
        <v>6</v>
      </c>
      <c r="C6" s="193"/>
      <c r="D6" s="195" t="s">
        <v>32</v>
      </c>
      <c r="E6" s="195"/>
      <c r="F6" s="195"/>
      <c r="G6" s="193" t="s">
        <v>33</v>
      </c>
      <c r="H6" s="193"/>
      <c r="I6" s="193">
        <v>2026</v>
      </c>
      <c r="J6" s="193"/>
      <c r="K6" s="3"/>
      <c r="L6" s="3"/>
      <c r="M6" s="3"/>
      <c r="S6" s="101"/>
    </row>
    <row r="7" spans="2:32" s="64" customFormat="1" ht="14.25" customHeight="1" x14ac:dyDescent="0.25">
      <c r="B7" s="193" t="s">
        <v>9</v>
      </c>
      <c r="C7" s="193"/>
      <c r="D7" s="195">
        <v>4</v>
      </c>
      <c r="E7" s="195"/>
      <c r="F7" s="195"/>
      <c r="G7" s="193" t="s">
        <v>8</v>
      </c>
      <c r="H7" s="193"/>
      <c r="I7" s="191">
        <v>0.15</v>
      </c>
      <c r="J7" s="191"/>
      <c r="K7" s="3"/>
      <c r="L7" s="3"/>
      <c r="M7" s="3"/>
      <c r="S7" s="101"/>
    </row>
    <row r="8" spans="2:32" s="64" customFormat="1" ht="15.75" customHeight="1" x14ac:dyDescent="0.25">
      <c r="B8" s="193" t="s">
        <v>11</v>
      </c>
      <c r="C8" s="193"/>
      <c r="D8" s="195">
        <v>238</v>
      </c>
      <c r="E8" s="195"/>
      <c r="F8" s="195"/>
      <c r="G8" s="193" t="s">
        <v>10</v>
      </c>
      <c r="H8" s="193"/>
      <c r="I8" s="191">
        <v>0.1</v>
      </c>
      <c r="J8" s="191"/>
      <c r="K8" s="3"/>
      <c r="L8" s="3"/>
      <c r="M8" s="3"/>
      <c r="S8" s="101"/>
    </row>
    <row r="9" spans="2:32" ht="15.75" customHeight="1" x14ac:dyDescent="0.25">
      <c r="B9" s="197"/>
      <c r="C9" s="197"/>
      <c r="D9" s="197"/>
      <c r="E9" s="197"/>
      <c r="F9" s="67"/>
    </row>
    <row r="10" spans="2:32" ht="49.5" customHeight="1" x14ac:dyDescent="0.25">
      <c r="B10" s="102"/>
      <c r="C10" s="103"/>
      <c r="D10" s="104"/>
      <c r="E10" s="104"/>
      <c r="F10" s="105"/>
      <c r="G10" s="187" t="s">
        <v>34</v>
      </c>
      <c r="H10" s="187"/>
      <c r="I10" s="187"/>
      <c r="J10" s="187"/>
      <c r="K10" s="187"/>
      <c r="L10" s="187"/>
      <c r="M10" s="187"/>
      <c r="N10" s="187"/>
      <c r="O10" s="147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06" customFormat="1" ht="57.75" customHeight="1" x14ac:dyDescent="0.25">
      <c r="B11" s="146" t="s">
        <v>29</v>
      </c>
      <c r="C11" s="146" t="s">
        <v>39</v>
      </c>
      <c r="D11" s="146" t="s">
        <v>11</v>
      </c>
      <c r="E11" s="146" t="s">
        <v>40</v>
      </c>
      <c r="F11" s="146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2" s="106" customFormat="1" ht="14.25" customHeight="1" x14ac:dyDescent="0.25">
      <c r="B12" s="183" t="s">
        <v>56</v>
      </c>
      <c r="C12" s="183"/>
      <c r="D12" s="1">
        <f t="shared" ref="D12:N12" si="0">D44</f>
        <v>238</v>
      </c>
      <c r="E12" s="114">
        <f t="shared" si="0"/>
        <v>411</v>
      </c>
      <c r="F12" s="114">
        <f t="shared" si="0"/>
        <v>24506</v>
      </c>
      <c r="G12" s="114">
        <f t="shared" si="0"/>
        <v>3809</v>
      </c>
      <c r="H12" s="115">
        <f t="shared" si="0"/>
        <v>128578</v>
      </c>
      <c r="I12" s="115">
        <f t="shared" si="0"/>
        <v>33.756366500393803</v>
      </c>
      <c r="J12" s="116">
        <f t="shared" si="0"/>
        <v>0.1554313229413205</v>
      </c>
      <c r="K12" s="115">
        <f t="shared" si="0"/>
        <v>16771.043478260868</v>
      </c>
      <c r="L12" s="115">
        <f t="shared" si="0"/>
        <v>111806.95652173912</v>
      </c>
      <c r="M12" s="115">
        <f t="shared" si="0"/>
        <v>4464.7800000000007</v>
      </c>
      <c r="N12" s="115">
        <f t="shared" si="0"/>
        <v>107342.17652173912</v>
      </c>
      <c r="O12" s="110"/>
      <c r="P12" s="117">
        <f t="shared" ref="P12:Y12" si="1">P44</f>
        <v>68528</v>
      </c>
      <c r="Q12" s="117">
        <f t="shared" si="1"/>
        <v>17.991073772643738</v>
      </c>
      <c r="R12" s="118">
        <f t="shared" si="1"/>
        <v>1544</v>
      </c>
      <c r="S12" s="119">
        <f t="shared" si="1"/>
        <v>0.40535573641375688</v>
      </c>
      <c r="T12" s="117">
        <f t="shared" si="1"/>
        <v>8938.4347826086978</v>
      </c>
      <c r="U12" s="117">
        <f t="shared" si="1"/>
        <v>59589.565217391304</v>
      </c>
      <c r="V12" s="118">
        <f t="shared" si="1"/>
        <v>3553</v>
      </c>
      <c r="W12" s="116">
        <f t="shared" si="1"/>
        <v>0.93279075872932526</v>
      </c>
      <c r="X12" s="117">
        <f t="shared" si="1"/>
        <v>12381.8</v>
      </c>
      <c r="Y12" s="116">
        <f t="shared" si="1"/>
        <v>0.18068234882091991</v>
      </c>
      <c r="Z12" s="110"/>
      <c r="AA12" s="117">
        <f t="shared" ref="AA12:AF12" si="2">AA44</f>
        <v>128578</v>
      </c>
      <c r="AB12" s="117">
        <f t="shared" si="2"/>
        <v>107342.17652173912</v>
      </c>
      <c r="AC12" s="117">
        <f t="shared" si="2"/>
        <v>68528</v>
      </c>
      <c r="AD12" s="120">
        <f t="shared" si="2"/>
        <v>59589.565217391304</v>
      </c>
      <c r="AE12" s="117">
        <f t="shared" si="2"/>
        <v>197106</v>
      </c>
      <c r="AF12" s="117">
        <f t="shared" si="2"/>
        <v>166931.74173913043</v>
      </c>
    </row>
    <row r="13" spans="2:32" ht="15" customHeight="1" x14ac:dyDescent="0.25">
      <c r="B13" s="90">
        <v>46082</v>
      </c>
      <c r="C13" s="124" t="s">
        <v>61</v>
      </c>
      <c r="D13" s="123">
        <v>238</v>
      </c>
      <c r="E13" s="124">
        <v>8</v>
      </c>
      <c r="F13" s="124">
        <v>476</v>
      </c>
      <c r="G13" s="124">
        <v>6</v>
      </c>
      <c r="H13" s="124">
        <v>192</v>
      </c>
      <c r="I13" s="125">
        <f t="shared" ref="I13:I44" si="3">H13/G13</f>
        <v>32</v>
      </c>
      <c r="J13" s="126">
        <f t="shared" ref="J13:J43" si="4">G13/F13</f>
        <v>1.2605042016806723E-2</v>
      </c>
      <c r="K13" s="127">
        <f t="shared" ref="K13:K43" si="5">H13*15/115</f>
        <v>25.043478260869566</v>
      </c>
      <c r="L13" s="127">
        <f t="shared" ref="L13:L43" si="6">H13-K13</f>
        <v>166.95652173913044</v>
      </c>
      <c r="M13" s="128">
        <v>16.7</v>
      </c>
      <c r="N13" s="129">
        <f t="shared" ref="N13:N43" si="7">L13-M13</f>
        <v>150.25652173913045</v>
      </c>
      <c r="O13" s="130"/>
      <c r="P13" s="46">
        <v>466</v>
      </c>
      <c r="Q13" s="125">
        <f t="shared" ref="Q13:Q44" si="8">P13/G13</f>
        <v>77.666666666666671</v>
      </c>
      <c r="R13" s="131">
        <v>17</v>
      </c>
      <c r="S13" s="132">
        <f t="shared" ref="S13:S44" si="9">(R13/G13)</f>
        <v>2.8333333333333335</v>
      </c>
      <c r="T13" s="133">
        <f t="shared" ref="T13:T43" si="10">P13*15/115</f>
        <v>60.782608695652172</v>
      </c>
      <c r="U13" s="133">
        <f t="shared" ref="U13:U43" si="11">P13-T13</f>
        <v>405.21739130434781</v>
      </c>
      <c r="V13" s="131">
        <v>33</v>
      </c>
      <c r="W13" s="126">
        <f t="shared" ref="W13:W44" si="12">V13/G13</f>
        <v>5.5</v>
      </c>
      <c r="X13" s="46">
        <v>71.3</v>
      </c>
      <c r="Y13" s="126">
        <f t="shared" ref="Y13:Y44" si="13">(X13/P13)</f>
        <v>0.15300429184549355</v>
      </c>
      <c r="Z13" s="134"/>
      <c r="AA13" s="125">
        <f t="shared" ref="AA13:AA43" si="14">H13</f>
        <v>192</v>
      </c>
      <c r="AB13" s="125">
        <f t="shared" ref="AB13:AB43" si="15">N13</f>
        <v>150.25652173913045</v>
      </c>
      <c r="AC13" s="135">
        <f t="shared" ref="AC13:AC43" si="16">P13</f>
        <v>466</v>
      </c>
      <c r="AD13" s="136">
        <f t="shared" ref="AD13:AD43" si="17">U13</f>
        <v>405.21739130434781</v>
      </c>
      <c r="AE13" s="125">
        <f t="shared" ref="AE13:AE43" si="18">AA13+AC13</f>
        <v>658</v>
      </c>
      <c r="AF13" s="46">
        <f t="shared" ref="AF13:AF43" si="19">AB13+AD13</f>
        <v>555.47391304347821</v>
      </c>
    </row>
    <row r="14" spans="2:32" ht="15" customHeight="1" x14ac:dyDescent="0.25">
      <c r="B14" s="90">
        <v>46083</v>
      </c>
      <c r="C14" s="124" t="s">
        <v>62</v>
      </c>
      <c r="D14" s="123">
        <v>238</v>
      </c>
      <c r="E14" s="124">
        <v>8</v>
      </c>
      <c r="F14" s="124">
        <v>476</v>
      </c>
      <c r="G14" s="124">
        <v>2</v>
      </c>
      <c r="H14" s="124">
        <v>64</v>
      </c>
      <c r="I14" s="125">
        <f t="shared" si="3"/>
        <v>32</v>
      </c>
      <c r="J14" s="126">
        <f t="shared" si="4"/>
        <v>4.2016806722689074E-3</v>
      </c>
      <c r="K14" s="127">
        <f t="shared" si="5"/>
        <v>8.3478260869565215</v>
      </c>
      <c r="L14" s="127">
        <f t="shared" si="6"/>
        <v>55.652173913043477</v>
      </c>
      <c r="M14" s="128">
        <v>5.57</v>
      </c>
      <c r="N14" s="129">
        <f t="shared" si="7"/>
        <v>50.082173913043476</v>
      </c>
      <c r="O14" s="130"/>
      <c r="P14" s="46">
        <v>260</v>
      </c>
      <c r="Q14" s="125">
        <f t="shared" si="8"/>
        <v>130</v>
      </c>
      <c r="R14" s="131">
        <v>11</v>
      </c>
      <c r="S14" s="132">
        <f t="shared" si="9"/>
        <v>5.5</v>
      </c>
      <c r="T14" s="133">
        <f t="shared" si="10"/>
        <v>33.913043478260867</v>
      </c>
      <c r="U14" s="133">
        <f t="shared" si="11"/>
        <v>226.08695652173913</v>
      </c>
      <c r="V14" s="131">
        <v>16</v>
      </c>
      <c r="W14" s="126">
        <f t="shared" si="12"/>
        <v>8</v>
      </c>
      <c r="X14" s="46">
        <v>47.43</v>
      </c>
      <c r="Y14" s="126">
        <f t="shared" si="13"/>
        <v>0.18242307692307691</v>
      </c>
      <c r="Z14" s="134"/>
      <c r="AA14" s="125">
        <f t="shared" si="14"/>
        <v>64</v>
      </c>
      <c r="AB14" s="125">
        <f t="shared" si="15"/>
        <v>50.082173913043476</v>
      </c>
      <c r="AC14" s="135">
        <f t="shared" si="16"/>
        <v>260</v>
      </c>
      <c r="AD14" s="136">
        <f t="shared" si="17"/>
        <v>226.08695652173913</v>
      </c>
      <c r="AE14" s="125">
        <f t="shared" si="18"/>
        <v>324</v>
      </c>
      <c r="AF14" s="46">
        <f t="shared" si="19"/>
        <v>276.16913043478257</v>
      </c>
    </row>
    <row r="15" spans="2:32" ht="15" customHeight="1" x14ac:dyDescent="0.25">
      <c r="B15" s="90">
        <v>46084</v>
      </c>
      <c r="C15" s="124" t="s">
        <v>60</v>
      </c>
      <c r="D15" s="123">
        <v>238</v>
      </c>
      <c r="E15" s="124">
        <v>8</v>
      </c>
      <c r="F15" s="124">
        <v>476</v>
      </c>
      <c r="G15" s="124">
        <v>1</v>
      </c>
      <c r="H15" s="124">
        <v>32</v>
      </c>
      <c r="I15" s="125">
        <f t="shared" si="3"/>
        <v>32</v>
      </c>
      <c r="J15" s="126">
        <f t="shared" si="4"/>
        <v>2.1008403361344537E-3</v>
      </c>
      <c r="K15" s="127">
        <f t="shared" si="5"/>
        <v>4.1739130434782608</v>
      </c>
      <c r="L15" s="127">
        <f t="shared" si="6"/>
        <v>27.826086956521738</v>
      </c>
      <c r="M15" s="128">
        <v>2.78</v>
      </c>
      <c r="N15" s="129">
        <f t="shared" si="7"/>
        <v>25.046086956521737</v>
      </c>
      <c r="O15" s="130"/>
      <c r="P15" s="46">
        <v>443</v>
      </c>
      <c r="Q15" s="125">
        <f t="shared" si="8"/>
        <v>443</v>
      </c>
      <c r="R15" s="131">
        <v>18</v>
      </c>
      <c r="S15" s="132">
        <f t="shared" si="9"/>
        <v>18</v>
      </c>
      <c r="T15" s="133">
        <f t="shared" si="10"/>
        <v>57.782608695652172</v>
      </c>
      <c r="U15" s="133">
        <f t="shared" si="11"/>
        <v>385.21739130434781</v>
      </c>
      <c r="V15" s="131">
        <v>34</v>
      </c>
      <c r="W15" s="126">
        <f t="shared" si="12"/>
        <v>34</v>
      </c>
      <c r="X15" s="46">
        <v>74.209999999999994</v>
      </c>
      <c r="Y15" s="126">
        <f t="shared" si="13"/>
        <v>0.16751693002257334</v>
      </c>
      <c r="Z15" s="134"/>
      <c r="AA15" s="125">
        <f t="shared" si="14"/>
        <v>32</v>
      </c>
      <c r="AB15" s="125">
        <f t="shared" si="15"/>
        <v>25.046086956521737</v>
      </c>
      <c r="AC15" s="135">
        <f t="shared" si="16"/>
        <v>443</v>
      </c>
      <c r="AD15" s="136">
        <f t="shared" si="17"/>
        <v>385.21739130434781</v>
      </c>
      <c r="AE15" s="125">
        <f t="shared" si="18"/>
        <v>475</v>
      </c>
      <c r="AF15" s="46">
        <f t="shared" si="19"/>
        <v>410.26347826086953</v>
      </c>
    </row>
    <row r="16" spans="2:32" ht="15" customHeight="1" x14ac:dyDescent="0.25">
      <c r="B16" s="90">
        <v>46085</v>
      </c>
      <c r="C16" s="124" t="s">
        <v>64</v>
      </c>
      <c r="D16" s="123">
        <v>238</v>
      </c>
      <c r="E16" s="124">
        <v>8</v>
      </c>
      <c r="F16" s="124">
        <v>476</v>
      </c>
      <c r="G16" s="124">
        <v>0</v>
      </c>
      <c r="H16" s="124">
        <v>0</v>
      </c>
      <c r="I16" s="125" t="e">
        <f t="shared" si="3"/>
        <v>#DIV/0!</v>
      </c>
      <c r="J16" s="126">
        <f t="shared" si="4"/>
        <v>0</v>
      </c>
      <c r="K16" s="127">
        <f t="shared" si="5"/>
        <v>0</v>
      </c>
      <c r="L16" s="127">
        <f t="shared" si="6"/>
        <v>0</v>
      </c>
      <c r="M16" s="124">
        <v>0</v>
      </c>
      <c r="N16" s="129">
        <f t="shared" si="7"/>
        <v>0</v>
      </c>
      <c r="O16" s="130"/>
      <c r="P16" s="124">
        <v>750</v>
      </c>
      <c r="Q16" s="125" t="e">
        <f t="shared" si="8"/>
        <v>#DIV/0!</v>
      </c>
      <c r="R16" s="124">
        <v>21</v>
      </c>
      <c r="S16" s="132" t="e">
        <f t="shared" si="9"/>
        <v>#DIV/0!</v>
      </c>
      <c r="T16" s="133">
        <f t="shared" si="10"/>
        <v>97.826086956521735</v>
      </c>
      <c r="U16" s="133">
        <f t="shared" si="11"/>
        <v>652.17391304347825</v>
      </c>
      <c r="V16" s="124">
        <v>45</v>
      </c>
      <c r="W16" s="126" t="e">
        <f t="shared" si="12"/>
        <v>#DIV/0!</v>
      </c>
      <c r="X16" s="124">
        <v>120.75</v>
      </c>
      <c r="Y16" s="126">
        <f t="shared" si="13"/>
        <v>0.161</v>
      </c>
      <c r="Z16" s="134"/>
      <c r="AA16" s="125">
        <f t="shared" si="14"/>
        <v>0</v>
      </c>
      <c r="AB16" s="125">
        <f t="shared" si="15"/>
        <v>0</v>
      </c>
      <c r="AC16" s="135">
        <f t="shared" si="16"/>
        <v>750</v>
      </c>
      <c r="AD16" s="136">
        <f t="shared" si="17"/>
        <v>652.17391304347825</v>
      </c>
      <c r="AE16" s="125">
        <f t="shared" si="18"/>
        <v>750</v>
      </c>
      <c r="AF16" s="46">
        <f t="shared" si="19"/>
        <v>652.17391304347825</v>
      </c>
    </row>
    <row r="17" spans="2:32" ht="15" customHeight="1" x14ac:dyDescent="0.25">
      <c r="B17" s="90">
        <v>46086</v>
      </c>
      <c r="C17" s="124" t="s">
        <v>57</v>
      </c>
      <c r="D17" s="123">
        <v>238</v>
      </c>
      <c r="E17" s="124">
        <v>8</v>
      </c>
      <c r="F17" s="124">
        <v>476</v>
      </c>
      <c r="G17" s="124">
        <v>14</v>
      </c>
      <c r="H17" s="124">
        <v>448</v>
      </c>
      <c r="I17" s="125">
        <f t="shared" si="3"/>
        <v>32</v>
      </c>
      <c r="J17" s="126">
        <f t="shared" si="4"/>
        <v>2.9411764705882353E-2</v>
      </c>
      <c r="K17" s="127">
        <f t="shared" si="5"/>
        <v>58.434782608695649</v>
      </c>
      <c r="L17" s="127">
        <f t="shared" si="6"/>
        <v>389.56521739130437</v>
      </c>
      <c r="M17" s="124">
        <v>38.96</v>
      </c>
      <c r="N17" s="129">
        <f t="shared" si="7"/>
        <v>350.60521739130439</v>
      </c>
      <c r="O17" s="130"/>
      <c r="P17" s="124">
        <v>875</v>
      </c>
      <c r="Q17" s="125">
        <f t="shared" si="8"/>
        <v>62.5</v>
      </c>
      <c r="R17" s="124">
        <v>27</v>
      </c>
      <c r="S17" s="132">
        <f t="shared" si="9"/>
        <v>1.9285714285714286</v>
      </c>
      <c r="T17" s="133">
        <f t="shared" si="10"/>
        <v>114.1304347826087</v>
      </c>
      <c r="U17" s="133">
        <f t="shared" si="11"/>
        <v>760.86956521739125</v>
      </c>
      <c r="V17" s="124">
        <v>45</v>
      </c>
      <c r="W17" s="126">
        <f t="shared" si="12"/>
        <v>3.2142857142857144</v>
      </c>
      <c r="X17" s="124">
        <v>128.88</v>
      </c>
      <c r="Y17" s="126">
        <f t="shared" si="13"/>
        <v>0.14729142857142857</v>
      </c>
      <c r="Z17" s="134"/>
      <c r="AA17" s="125">
        <f t="shared" si="14"/>
        <v>448</v>
      </c>
      <c r="AB17" s="125">
        <f t="shared" si="15"/>
        <v>350.60521739130439</v>
      </c>
      <c r="AC17" s="135">
        <f t="shared" si="16"/>
        <v>875</v>
      </c>
      <c r="AD17" s="136">
        <f t="shared" si="17"/>
        <v>760.86956521739125</v>
      </c>
      <c r="AE17" s="125">
        <f t="shared" si="18"/>
        <v>1323</v>
      </c>
      <c r="AF17" s="46">
        <f t="shared" si="19"/>
        <v>1111.4747826086957</v>
      </c>
    </row>
    <row r="18" spans="2:32" ht="15" customHeight="1" x14ac:dyDescent="0.25">
      <c r="B18" s="90">
        <v>46087</v>
      </c>
      <c r="C18" s="124" t="s">
        <v>59</v>
      </c>
      <c r="D18" s="123">
        <v>238</v>
      </c>
      <c r="E18" s="124">
        <v>8</v>
      </c>
      <c r="F18" s="124">
        <v>476</v>
      </c>
      <c r="G18" s="124">
        <v>16</v>
      </c>
      <c r="H18" s="124">
        <v>532</v>
      </c>
      <c r="I18" s="125">
        <f t="shared" si="3"/>
        <v>33.25</v>
      </c>
      <c r="J18" s="126">
        <f t="shared" si="4"/>
        <v>3.3613445378151259E-2</v>
      </c>
      <c r="K18" s="127">
        <f t="shared" si="5"/>
        <v>69.391304347826093</v>
      </c>
      <c r="L18" s="127">
        <f t="shared" si="6"/>
        <v>462.60869565217388</v>
      </c>
      <c r="M18" s="124">
        <v>46.27</v>
      </c>
      <c r="N18" s="129">
        <f t="shared" si="7"/>
        <v>416.3386956521739</v>
      </c>
      <c r="O18" s="130"/>
      <c r="P18" s="124">
        <v>733</v>
      </c>
      <c r="Q18" s="125">
        <f t="shared" si="8"/>
        <v>45.8125</v>
      </c>
      <c r="R18" s="124">
        <v>26</v>
      </c>
      <c r="S18" s="132">
        <f t="shared" si="9"/>
        <v>1.625</v>
      </c>
      <c r="T18" s="133">
        <f t="shared" si="10"/>
        <v>95.608695652173907</v>
      </c>
      <c r="U18" s="133">
        <f t="shared" si="11"/>
        <v>637.39130434782612</v>
      </c>
      <c r="V18" s="124">
        <v>41</v>
      </c>
      <c r="W18" s="126">
        <f t="shared" si="12"/>
        <v>2.5625</v>
      </c>
      <c r="X18" s="124">
        <v>126.65</v>
      </c>
      <c r="Y18" s="126">
        <f t="shared" si="13"/>
        <v>0.17278308321964531</v>
      </c>
      <c r="Z18" s="134"/>
      <c r="AA18" s="125">
        <f t="shared" si="14"/>
        <v>532</v>
      </c>
      <c r="AB18" s="125">
        <f t="shared" si="15"/>
        <v>416.3386956521739</v>
      </c>
      <c r="AC18" s="135">
        <f t="shared" si="16"/>
        <v>733</v>
      </c>
      <c r="AD18" s="136">
        <f t="shared" si="17"/>
        <v>637.39130434782612</v>
      </c>
      <c r="AE18" s="125">
        <f t="shared" si="18"/>
        <v>1265</v>
      </c>
      <c r="AF18" s="46">
        <f t="shared" si="19"/>
        <v>1053.73</v>
      </c>
    </row>
    <row r="19" spans="2:32" ht="15" customHeight="1" x14ac:dyDescent="0.25">
      <c r="B19" s="90">
        <v>46088</v>
      </c>
      <c r="C19" s="124" t="s">
        <v>60</v>
      </c>
      <c r="D19" s="123">
        <v>238</v>
      </c>
      <c r="E19" s="124">
        <v>8</v>
      </c>
      <c r="F19" s="124">
        <v>476</v>
      </c>
      <c r="G19" s="124">
        <v>3</v>
      </c>
      <c r="H19" s="124">
        <v>126</v>
      </c>
      <c r="I19" s="125">
        <f t="shared" si="3"/>
        <v>42</v>
      </c>
      <c r="J19" s="126">
        <f t="shared" si="4"/>
        <v>6.3025210084033615E-3</v>
      </c>
      <c r="K19" s="127">
        <f t="shared" si="5"/>
        <v>16.434782608695652</v>
      </c>
      <c r="L19" s="127">
        <f t="shared" si="6"/>
        <v>109.56521739130434</v>
      </c>
      <c r="M19" s="124">
        <v>10.96</v>
      </c>
      <c r="N19" s="129">
        <f t="shared" si="7"/>
        <v>98.605217391304336</v>
      </c>
      <c r="O19" s="130"/>
      <c r="P19" s="124">
        <v>813</v>
      </c>
      <c r="Q19" s="125">
        <f t="shared" si="8"/>
        <v>271</v>
      </c>
      <c r="R19" s="124">
        <v>30</v>
      </c>
      <c r="S19" s="132">
        <f t="shared" si="9"/>
        <v>10</v>
      </c>
      <c r="T19" s="133">
        <f t="shared" si="10"/>
        <v>106.04347826086956</v>
      </c>
      <c r="U19" s="133">
        <f t="shared" si="11"/>
        <v>706.95652173913049</v>
      </c>
      <c r="V19" s="124">
        <v>43</v>
      </c>
      <c r="W19" s="126">
        <f t="shared" si="12"/>
        <v>14.333333333333334</v>
      </c>
      <c r="X19" s="124">
        <v>147.94</v>
      </c>
      <c r="Y19" s="126">
        <f t="shared" si="13"/>
        <v>0.1819680196801968</v>
      </c>
      <c r="Z19" s="134"/>
      <c r="AA19" s="125">
        <f t="shared" si="14"/>
        <v>126</v>
      </c>
      <c r="AB19" s="125">
        <f t="shared" si="15"/>
        <v>98.605217391304336</v>
      </c>
      <c r="AC19" s="135">
        <f t="shared" si="16"/>
        <v>813</v>
      </c>
      <c r="AD19" s="136">
        <f t="shared" si="17"/>
        <v>706.95652173913049</v>
      </c>
      <c r="AE19" s="125">
        <f t="shared" si="18"/>
        <v>939</v>
      </c>
      <c r="AF19" s="46">
        <f t="shared" si="19"/>
        <v>805.56173913043483</v>
      </c>
    </row>
    <row r="20" spans="2:32" ht="15" customHeight="1" x14ac:dyDescent="0.25">
      <c r="B20" s="90">
        <v>46089</v>
      </c>
      <c r="C20" s="124" t="s">
        <v>61</v>
      </c>
      <c r="D20" s="123">
        <v>238</v>
      </c>
      <c r="E20" s="124">
        <v>8</v>
      </c>
      <c r="F20" s="124">
        <v>476</v>
      </c>
      <c r="G20" s="124">
        <v>1</v>
      </c>
      <c r="H20" s="124">
        <v>32</v>
      </c>
      <c r="I20" s="125">
        <f t="shared" si="3"/>
        <v>32</v>
      </c>
      <c r="J20" s="126">
        <f t="shared" si="4"/>
        <v>2.1008403361344537E-3</v>
      </c>
      <c r="K20" s="127">
        <f t="shared" si="5"/>
        <v>4.1739130434782608</v>
      </c>
      <c r="L20" s="127">
        <f t="shared" si="6"/>
        <v>27.826086956521738</v>
      </c>
      <c r="M20" s="124">
        <v>2.78</v>
      </c>
      <c r="N20" s="129">
        <f t="shared" si="7"/>
        <v>25.046086956521737</v>
      </c>
      <c r="O20" s="130"/>
      <c r="P20" s="124">
        <v>787</v>
      </c>
      <c r="Q20" s="125">
        <f t="shared" si="8"/>
        <v>787</v>
      </c>
      <c r="R20" s="124">
        <v>22</v>
      </c>
      <c r="S20" s="132">
        <f t="shared" si="9"/>
        <v>22</v>
      </c>
      <c r="T20" s="133">
        <f t="shared" si="10"/>
        <v>102.65217391304348</v>
      </c>
      <c r="U20" s="133">
        <f t="shared" si="11"/>
        <v>684.3478260869565</v>
      </c>
      <c r="V20" s="124">
        <v>46</v>
      </c>
      <c r="W20" s="126">
        <f t="shared" si="12"/>
        <v>46</v>
      </c>
      <c r="X20" s="124">
        <v>144.88</v>
      </c>
      <c r="Y20" s="126">
        <f t="shared" si="13"/>
        <v>0.18409148665819566</v>
      </c>
      <c r="Z20" s="134"/>
      <c r="AA20" s="125">
        <f t="shared" si="14"/>
        <v>32</v>
      </c>
      <c r="AB20" s="125">
        <f t="shared" si="15"/>
        <v>25.046086956521737</v>
      </c>
      <c r="AC20" s="135">
        <f t="shared" si="16"/>
        <v>787</v>
      </c>
      <c r="AD20" s="136">
        <f t="shared" si="17"/>
        <v>684.3478260869565</v>
      </c>
      <c r="AE20" s="125">
        <f t="shared" si="18"/>
        <v>819</v>
      </c>
      <c r="AF20" s="46">
        <f t="shared" si="19"/>
        <v>709.39391304347828</v>
      </c>
    </row>
    <row r="21" spans="2:32" ht="15" customHeight="1" x14ac:dyDescent="0.25">
      <c r="B21" s="90">
        <v>46090</v>
      </c>
      <c r="C21" s="124" t="s">
        <v>62</v>
      </c>
      <c r="D21" s="123">
        <v>238</v>
      </c>
      <c r="E21" s="124">
        <v>8</v>
      </c>
      <c r="F21" s="124">
        <v>476</v>
      </c>
      <c r="G21" s="124">
        <v>1</v>
      </c>
      <c r="H21" s="124">
        <v>32</v>
      </c>
      <c r="I21" s="125">
        <f t="shared" si="3"/>
        <v>32</v>
      </c>
      <c r="J21" s="126">
        <f t="shared" si="4"/>
        <v>2.1008403361344537E-3</v>
      </c>
      <c r="K21" s="127">
        <f t="shared" si="5"/>
        <v>4.1739130434782608</v>
      </c>
      <c r="L21" s="127">
        <f t="shared" si="6"/>
        <v>27.826086956521738</v>
      </c>
      <c r="M21" s="124">
        <v>2.78</v>
      </c>
      <c r="N21" s="129">
        <f t="shared" si="7"/>
        <v>25.046086956521737</v>
      </c>
      <c r="O21" s="130"/>
      <c r="P21" s="124">
        <v>544</v>
      </c>
      <c r="Q21" s="125">
        <f t="shared" si="8"/>
        <v>544</v>
      </c>
      <c r="R21" s="124">
        <v>20</v>
      </c>
      <c r="S21" s="132">
        <f t="shared" si="9"/>
        <v>20</v>
      </c>
      <c r="T21" s="133">
        <f t="shared" si="10"/>
        <v>70.956521739130437</v>
      </c>
      <c r="U21" s="133">
        <f t="shared" si="11"/>
        <v>473.04347826086956</v>
      </c>
      <c r="V21" s="124">
        <v>29</v>
      </c>
      <c r="W21" s="126">
        <f t="shared" si="12"/>
        <v>29</v>
      </c>
      <c r="X21" s="124">
        <v>86.5</v>
      </c>
      <c r="Y21" s="126">
        <f t="shared" si="13"/>
        <v>0.15900735294117646</v>
      </c>
      <c r="Z21" s="134"/>
      <c r="AA21" s="125">
        <f t="shared" si="14"/>
        <v>32</v>
      </c>
      <c r="AB21" s="125">
        <f t="shared" si="15"/>
        <v>25.046086956521737</v>
      </c>
      <c r="AC21" s="135">
        <f t="shared" si="16"/>
        <v>544</v>
      </c>
      <c r="AD21" s="136">
        <f t="shared" si="17"/>
        <v>473.04347826086956</v>
      </c>
      <c r="AE21" s="125">
        <f t="shared" si="18"/>
        <v>576</v>
      </c>
      <c r="AF21" s="46">
        <f t="shared" si="19"/>
        <v>498.08956521739128</v>
      </c>
    </row>
    <row r="22" spans="2:32" ht="15" customHeight="1" x14ac:dyDescent="0.25">
      <c r="B22" s="90">
        <v>46091</v>
      </c>
      <c r="C22" s="124" t="s">
        <v>63</v>
      </c>
      <c r="D22" s="123">
        <v>238</v>
      </c>
      <c r="E22" s="124">
        <v>8</v>
      </c>
      <c r="F22" s="124">
        <v>476</v>
      </c>
      <c r="G22" s="124">
        <v>2</v>
      </c>
      <c r="H22" s="124">
        <v>84</v>
      </c>
      <c r="I22" s="125">
        <f t="shared" si="3"/>
        <v>42</v>
      </c>
      <c r="J22" s="126">
        <f t="shared" si="4"/>
        <v>4.2016806722689074E-3</v>
      </c>
      <c r="K22" s="127">
        <f t="shared" si="5"/>
        <v>10.956521739130435</v>
      </c>
      <c r="L22" s="127">
        <f t="shared" si="6"/>
        <v>73.043478260869563</v>
      </c>
      <c r="M22" s="124">
        <v>7.3</v>
      </c>
      <c r="N22" s="129">
        <f t="shared" si="7"/>
        <v>65.743478260869566</v>
      </c>
      <c r="O22" s="130"/>
      <c r="P22" s="124">
        <v>576</v>
      </c>
      <c r="Q22" s="125">
        <f t="shared" si="8"/>
        <v>288</v>
      </c>
      <c r="R22" s="124">
        <v>25</v>
      </c>
      <c r="S22" s="132">
        <f t="shared" si="9"/>
        <v>12.5</v>
      </c>
      <c r="T22" s="133">
        <f t="shared" si="10"/>
        <v>75.130434782608702</v>
      </c>
      <c r="U22" s="133">
        <f t="shared" si="11"/>
        <v>500.86956521739131</v>
      </c>
      <c r="V22" s="124">
        <v>31</v>
      </c>
      <c r="W22" s="126">
        <f t="shared" si="12"/>
        <v>15.5</v>
      </c>
      <c r="X22" s="124">
        <v>99.71</v>
      </c>
      <c r="Y22" s="126">
        <f t="shared" si="13"/>
        <v>0.17310763888888889</v>
      </c>
      <c r="Z22" s="134"/>
      <c r="AA22" s="125">
        <f t="shared" si="14"/>
        <v>84</v>
      </c>
      <c r="AB22" s="125">
        <f t="shared" si="15"/>
        <v>65.743478260869566</v>
      </c>
      <c r="AC22" s="135">
        <f t="shared" si="16"/>
        <v>576</v>
      </c>
      <c r="AD22" s="136">
        <f t="shared" si="17"/>
        <v>500.86956521739131</v>
      </c>
      <c r="AE22" s="125">
        <f t="shared" si="18"/>
        <v>660</v>
      </c>
      <c r="AF22" s="46">
        <f t="shared" si="19"/>
        <v>566.61304347826092</v>
      </c>
    </row>
    <row r="23" spans="2:32" ht="15" customHeight="1" x14ac:dyDescent="0.25">
      <c r="B23" s="90">
        <v>46092</v>
      </c>
      <c r="C23" s="124" t="s">
        <v>64</v>
      </c>
      <c r="D23" s="123">
        <v>238</v>
      </c>
      <c r="E23" s="124">
        <v>8</v>
      </c>
      <c r="F23" s="124">
        <v>476</v>
      </c>
      <c r="G23" s="124">
        <v>1</v>
      </c>
      <c r="H23" s="124">
        <v>32</v>
      </c>
      <c r="I23" s="125">
        <f t="shared" si="3"/>
        <v>32</v>
      </c>
      <c r="J23" s="126">
        <f t="shared" si="4"/>
        <v>2.1008403361344537E-3</v>
      </c>
      <c r="K23" s="127">
        <f t="shared" si="5"/>
        <v>4.1739130434782608</v>
      </c>
      <c r="L23" s="127">
        <f t="shared" si="6"/>
        <v>27.826086956521738</v>
      </c>
      <c r="M23" s="124">
        <v>2.78</v>
      </c>
      <c r="N23" s="129">
        <f t="shared" si="7"/>
        <v>25.046086956521737</v>
      </c>
      <c r="O23" s="130"/>
      <c r="P23" s="124">
        <v>362</v>
      </c>
      <c r="Q23" s="125">
        <f t="shared" si="8"/>
        <v>362</v>
      </c>
      <c r="R23" s="124">
        <v>14</v>
      </c>
      <c r="S23" s="132">
        <f t="shared" si="9"/>
        <v>14</v>
      </c>
      <c r="T23" s="133">
        <f t="shared" si="10"/>
        <v>47.217391304347828</v>
      </c>
      <c r="U23" s="133">
        <f t="shared" si="11"/>
        <v>314.78260869565219</v>
      </c>
      <c r="V23" s="124">
        <v>23</v>
      </c>
      <c r="W23" s="126">
        <f t="shared" si="12"/>
        <v>23</v>
      </c>
      <c r="X23" s="124">
        <v>58.84</v>
      </c>
      <c r="Y23" s="126">
        <f t="shared" si="13"/>
        <v>0.16254143646408842</v>
      </c>
      <c r="Z23" s="134"/>
      <c r="AA23" s="125">
        <f t="shared" si="14"/>
        <v>32</v>
      </c>
      <c r="AB23" s="125">
        <f t="shared" si="15"/>
        <v>25.046086956521737</v>
      </c>
      <c r="AC23" s="135">
        <f t="shared" si="16"/>
        <v>362</v>
      </c>
      <c r="AD23" s="136">
        <f t="shared" si="17"/>
        <v>314.78260869565219</v>
      </c>
      <c r="AE23" s="125">
        <f t="shared" si="18"/>
        <v>394</v>
      </c>
      <c r="AF23" s="46">
        <f t="shared" si="19"/>
        <v>339.82869565217391</v>
      </c>
    </row>
    <row r="24" spans="2:32" ht="15" customHeight="1" x14ac:dyDescent="0.25">
      <c r="B24" s="90">
        <v>46093</v>
      </c>
      <c r="C24" s="124" t="s">
        <v>57</v>
      </c>
      <c r="D24" s="123">
        <v>238</v>
      </c>
      <c r="E24" s="124">
        <v>8</v>
      </c>
      <c r="F24" s="124">
        <v>476</v>
      </c>
      <c r="G24" s="124">
        <v>0</v>
      </c>
      <c r="H24" s="124">
        <v>0</v>
      </c>
      <c r="I24" s="125" t="e">
        <f t="shared" si="3"/>
        <v>#DIV/0!</v>
      </c>
      <c r="J24" s="126">
        <f t="shared" si="4"/>
        <v>0</v>
      </c>
      <c r="K24" s="127">
        <f t="shared" si="5"/>
        <v>0</v>
      </c>
      <c r="L24" s="127">
        <f t="shared" si="6"/>
        <v>0</v>
      </c>
      <c r="M24" s="124">
        <v>0</v>
      </c>
      <c r="N24" s="129">
        <f t="shared" si="7"/>
        <v>0</v>
      </c>
      <c r="O24" s="130"/>
      <c r="P24" s="124">
        <v>448</v>
      </c>
      <c r="Q24" s="125" t="e">
        <f t="shared" si="8"/>
        <v>#DIV/0!</v>
      </c>
      <c r="R24" s="124">
        <v>18</v>
      </c>
      <c r="S24" s="132" t="e">
        <f t="shared" si="9"/>
        <v>#DIV/0!</v>
      </c>
      <c r="T24" s="133">
        <f t="shared" si="10"/>
        <v>58.434782608695649</v>
      </c>
      <c r="U24" s="133">
        <f t="shared" si="11"/>
        <v>389.56521739130437</v>
      </c>
      <c r="V24" s="124">
        <v>31</v>
      </c>
      <c r="W24" s="126" t="e">
        <f t="shared" si="12"/>
        <v>#DIV/0!</v>
      </c>
      <c r="X24" s="124">
        <v>65.900000000000006</v>
      </c>
      <c r="Y24" s="126">
        <f t="shared" si="13"/>
        <v>0.14709821428571429</v>
      </c>
      <c r="Z24" s="134"/>
      <c r="AA24" s="125">
        <f t="shared" si="14"/>
        <v>0</v>
      </c>
      <c r="AB24" s="125">
        <f t="shared" si="15"/>
        <v>0</v>
      </c>
      <c r="AC24" s="135">
        <f t="shared" si="16"/>
        <v>448</v>
      </c>
      <c r="AD24" s="136">
        <f t="shared" si="17"/>
        <v>389.56521739130437</v>
      </c>
      <c r="AE24" s="125">
        <f t="shared" si="18"/>
        <v>448</v>
      </c>
      <c r="AF24" s="46">
        <f t="shared" si="19"/>
        <v>389.56521739130437</v>
      </c>
    </row>
    <row r="25" spans="2:32" ht="15" customHeight="1" x14ac:dyDescent="0.25">
      <c r="B25" s="90">
        <v>46094</v>
      </c>
      <c r="C25" s="124" t="s">
        <v>59</v>
      </c>
      <c r="D25" s="123">
        <v>238</v>
      </c>
      <c r="E25" s="124">
        <v>8</v>
      </c>
      <c r="F25" s="124">
        <v>476</v>
      </c>
      <c r="G25" s="124">
        <v>12</v>
      </c>
      <c r="H25" s="124">
        <v>404</v>
      </c>
      <c r="I25" s="125">
        <f t="shared" si="3"/>
        <v>33.666666666666664</v>
      </c>
      <c r="J25" s="126">
        <f t="shared" si="4"/>
        <v>2.5210084033613446E-2</v>
      </c>
      <c r="K25" s="127">
        <f t="shared" si="5"/>
        <v>52.695652173913047</v>
      </c>
      <c r="L25" s="127">
        <f t="shared" si="6"/>
        <v>351.30434782608694</v>
      </c>
      <c r="M25" s="124">
        <v>35.130000000000003</v>
      </c>
      <c r="N25" s="129">
        <f t="shared" si="7"/>
        <v>316.17434782608694</v>
      </c>
      <c r="O25" s="130"/>
      <c r="P25" s="124">
        <v>555</v>
      </c>
      <c r="Q25" s="125">
        <f t="shared" si="8"/>
        <v>46.25</v>
      </c>
      <c r="R25" s="124">
        <v>18</v>
      </c>
      <c r="S25" s="132">
        <f t="shared" si="9"/>
        <v>1.5</v>
      </c>
      <c r="T25" s="133">
        <f t="shared" si="10"/>
        <v>72.391304347826093</v>
      </c>
      <c r="U25" s="133">
        <f t="shared" si="11"/>
        <v>482.60869565217388</v>
      </c>
      <c r="V25" s="124">
        <v>27</v>
      </c>
      <c r="W25" s="126">
        <f t="shared" si="12"/>
        <v>2.25</v>
      </c>
      <c r="X25" s="124">
        <v>87.08</v>
      </c>
      <c r="Y25" s="126">
        <f t="shared" si="13"/>
        <v>0.15690090090090089</v>
      </c>
      <c r="Z25" s="134"/>
      <c r="AA25" s="125">
        <f t="shared" si="14"/>
        <v>404</v>
      </c>
      <c r="AB25" s="125">
        <f t="shared" si="15"/>
        <v>316.17434782608694</v>
      </c>
      <c r="AC25" s="135">
        <f t="shared" si="16"/>
        <v>555</v>
      </c>
      <c r="AD25" s="136">
        <f t="shared" si="17"/>
        <v>482.60869565217388</v>
      </c>
      <c r="AE25" s="125">
        <f t="shared" si="18"/>
        <v>959</v>
      </c>
      <c r="AF25" s="46">
        <f t="shared" si="19"/>
        <v>798.78304347826088</v>
      </c>
    </row>
    <row r="26" spans="2:32" ht="15" customHeight="1" x14ac:dyDescent="0.25">
      <c r="B26" s="90">
        <v>46095</v>
      </c>
      <c r="C26" s="124" t="s">
        <v>60</v>
      </c>
      <c r="D26" s="123">
        <v>238</v>
      </c>
      <c r="E26" s="124">
        <v>8</v>
      </c>
      <c r="F26" s="124">
        <v>476</v>
      </c>
      <c r="G26" s="124">
        <v>2</v>
      </c>
      <c r="H26" s="124">
        <v>64</v>
      </c>
      <c r="I26" s="125">
        <f t="shared" si="3"/>
        <v>32</v>
      </c>
      <c r="J26" s="126">
        <f t="shared" si="4"/>
        <v>4.2016806722689074E-3</v>
      </c>
      <c r="K26" s="127">
        <f t="shared" si="5"/>
        <v>8.3478260869565215</v>
      </c>
      <c r="L26" s="127">
        <f t="shared" si="6"/>
        <v>55.652173913043477</v>
      </c>
      <c r="M26" s="124">
        <v>5.57</v>
      </c>
      <c r="N26" s="129">
        <f t="shared" si="7"/>
        <v>50.082173913043476</v>
      </c>
      <c r="O26" s="130"/>
      <c r="P26" s="124">
        <v>418</v>
      </c>
      <c r="Q26" s="125">
        <f t="shared" si="8"/>
        <v>209</v>
      </c>
      <c r="R26" s="124">
        <v>14</v>
      </c>
      <c r="S26" s="132">
        <f t="shared" si="9"/>
        <v>7</v>
      </c>
      <c r="T26" s="133">
        <f t="shared" si="10"/>
        <v>54.521739130434781</v>
      </c>
      <c r="U26" s="133">
        <f t="shared" si="11"/>
        <v>363.47826086956525</v>
      </c>
      <c r="V26" s="124">
        <v>20</v>
      </c>
      <c r="W26" s="126">
        <f t="shared" si="12"/>
        <v>10</v>
      </c>
      <c r="X26" s="124">
        <v>67.48</v>
      </c>
      <c r="Y26" s="126">
        <f t="shared" si="13"/>
        <v>0.1614354066985646</v>
      </c>
      <c r="Z26" s="134"/>
      <c r="AA26" s="125">
        <f t="shared" si="14"/>
        <v>64</v>
      </c>
      <c r="AB26" s="125">
        <f t="shared" si="15"/>
        <v>50.082173913043476</v>
      </c>
      <c r="AC26" s="135">
        <f t="shared" si="16"/>
        <v>418</v>
      </c>
      <c r="AD26" s="136">
        <f t="shared" si="17"/>
        <v>363.47826086956525</v>
      </c>
      <c r="AE26" s="125">
        <f t="shared" si="18"/>
        <v>482</v>
      </c>
      <c r="AF26" s="46">
        <f t="shared" si="19"/>
        <v>413.5604347826087</v>
      </c>
    </row>
    <row r="27" spans="2:32" ht="15" customHeight="1" x14ac:dyDescent="0.25">
      <c r="B27" s="90">
        <v>46096</v>
      </c>
      <c r="C27" s="124" t="s">
        <v>61</v>
      </c>
      <c r="D27" s="123">
        <v>238</v>
      </c>
      <c r="E27" s="124">
        <v>8</v>
      </c>
      <c r="F27" s="124">
        <v>476</v>
      </c>
      <c r="G27" s="124">
        <v>3</v>
      </c>
      <c r="H27" s="124">
        <v>96</v>
      </c>
      <c r="I27" s="125">
        <f t="shared" si="3"/>
        <v>32</v>
      </c>
      <c r="J27" s="126">
        <f t="shared" si="4"/>
        <v>6.3025210084033615E-3</v>
      </c>
      <c r="K27" s="127">
        <f t="shared" si="5"/>
        <v>12.521739130434783</v>
      </c>
      <c r="L27" s="127">
        <f t="shared" si="6"/>
        <v>83.478260869565219</v>
      </c>
      <c r="M27" s="148">
        <v>8.35</v>
      </c>
      <c r="N27" s="129">
        <f t="shared" si="7"/>
        <v>75.128260869565224</v>
      </c>
      <c r="O27" s="130"/>
      <c r="P27" s="124">
        <v>776</v>
      </c>
      <c r="Q27" s="125">
        <f t="shared" si="8"/>
        <v>258.66666666666669</v>
      </c>
      <c r="R27" s="124">
        <v>22</v>
      </c>
      <c r="S27" s="132">
        <f t="shared" si="9"/>
        <v>7.333333333333333</v>
      </c>
      <c r="T27" s="133">
        <f t="shared" si="10"/>
        <v>101.21739130434783</v>
      </c>
      <c r="U27" s="133">
        <f t="shared" si="11"/>
        <v>674.78260869565213</v>
      </c>
      <c r="V27" s="124">
        <v>54</v>
      </c>
      <c r="W27" s="126">
        <f t="shared" si="12"/>
        <v>18</v>
      </c>
      <c r="X27" s="124">
        <v>135.85</v>
      </c>
      <c r="Y27" s="126">
        <f t="shared" si="13"/>
        <v>0.17506443298969071</v>
      </c>
      <c r="Z27" s="134"/>
      <c r="AA27" s="125">
        <f t="shared" si="14"/>
        <v>96</v>
      </c>
      <c r="AB27" s="125">
        <f t="shared" si="15"/>
        <v>75.128260869565224</v>
      </c>
      <c r="AC27" s="135">
        <f t="shared" si="16"/>
        <v>776</v>
      </c>
      <c r="AD27" s="136">
        <f t="shared" si="17"/>
        <v>674.78260869565213</v>
      </c>
      <c r="AE27" s="125">
        <f t="shared" si="18"/>
        <v>872</v>
      </c>
      <c r="AF27" s="46">
        <f t="shared" si="19"/>
        <v>749.91086956521735</v>
      </c>
    </row>
    <row r="28" spans="2:32" ht="15" customHeight="1" x14ac:dyDescent="0.25">
      <c r="B28" s="90">
        <v>46097</v>
      </c>
      <c r="C28" s="124" t="s">
        <v>62</v>
      </c>
      <c r="D28" s="123">
        <v>238</v>
      </c>
      <c r="E28" s="124">
        <v>8</v>
      </c>
      <c r="F28" s="124">
        <v>476</v>
      </c>
      <c r="G28" s="124">
        <v>4</v>
      </c>
      <c r="H28" s="124">
        <v>168</v>
      </c>
      <c r="I28" s="125">
        <f t="shared" si="3"/>
        <v>42</v>
      </c>
      <c r="J28" s="126">
        <f t="shared" si="4"/>
        <v>8.4033613445378148E-3</v>
      </c>
      <c r="K28" s="127">
        <f t="shared" si="5"/>
        <v>21.913043478260871</v>
      </c>
      <c r="L28" s="149">
        <f t="shared" si="6"/>
        <v>146.08695652173913</v>
      </c>
      <c r="M28" s="124">
        <v>14.61</v>
      </c>
      <c r="N28" s="150">
        <f t="shared" si="7"/>
        <v>131.47695652173911</v>
      </c>
      <c r="O28" s="130"/>
      <c r="P28" s="124">
        <v>725</v>
      </c>
      <c r="Q28" s="125">
        <f t="shared" si="8"/>
        <v>181.25</v>
      </c>
      <c r="R28" s="124">
        <v>23</v>
      </c>
      <c r="S28" s="132">
        <f t="shared" si="9"/>
        <v>5.75</v>
      </c>
      <c r="T28" s="133">
        <f t="shared" si="10"/>
        <v>94.565217391304344</v>
      </c>
      <c r="U28" s="133">
        <f t="shared" si="11"/>
        <v>630.43478260869563</v>
      </c>
      <c r="V28" s="124">
        <v>36</v>
      </c>
      <c r="W28" s="126">
        <f t="shared" si="12"/>
        <v>9</v>
      </c>
      <c r="X28" s="124">
        <v>131.30000000000001</v>
      </c>
      <c r="Y28" s="126">
        <f t="shared" si="13"/>
        <v>0.18110344827586208</v>
      </c>
      <c r="Z28" s="134"/>
      <c r="AA28" s="125">
        <f t="shared" si="14"/>
        <v>168</v>
      </c>
      <c r="AB28" s="125">
        <f t="shared" si="15"/>
        <v>131.47695652173911</v>
      </c>
      <c r="AC28" s="135">
        <f t="shared" si="16"/>
        <v>725</v>
      </c>
      <c r="AD28" s="136">
        <f t="shared" si="17"/>
        <v>630.43478260869563</v>
      </c>
      <c r="AE28" s="125">
        <f t="shared" si="18"/>
        <v>893</v>
      </c>
      <c r="AF28" s="46">
        <f t="shared" si="19"/>
        <v>761.91173913043474</v>
      </c>
    </row>
    <row r="29" spans="2:32" ht="15" customHeight="1" x14ac:dyDescent="0.25">
      <c r="B29" s="90">
        <v>46098</v>
      </c>
      <c r="C29" s="124" t="s">
        <v>63</v>
      </c>
      <c r="D29" s="123">
        <v>238</v>
      </c>
      <c r="E29" s="124">
        <v>8</v>
      </c>
      <c r="F29" s="124">
        <v>476</v>
      </c>
      <c r="G29" s="124">
        <v>6</v>
      </c>
      <c r="H29" s="124">
        <v>192</v>
      </c>
      <c r="I29" s="125">
        <f t="shared" si="3"/>
        <v>32</v>
      </c>
      <c r="J29" s="126">
        <f t="shared" si="4"/>
        <v>1.2605042016806723E-2</v>
      </c>
      <c r="K29" s="127">
        <f t="shared" si="5"/>
        <v>25.043478260869566</v>
      </c>
      <c r="L29" s="149">
        <f t="shared" si="6"/>
        <v>166.95652173913044</v>
      </c>
      <c r="M29" s="124">
        <v>16.7</v>
      </c>
      <c r="N29" s="150">
        <f t="shared" si="7"/>
        <v>150.25652173913045</v>
      </c>
      <c r="O29" s="130"/>
      <c r="P29" s="124">
        <v>573</v>
      </c>
      <c r="Q29" s="125">
        <f t="shared" si="8"/>
        <v>95.5</v>
      </c>
      <c r="R29" s="124">
        <v>24</v>
      </c>
      <c r="S29" s="132">
        <f t="shared" si="9"/>
        <v>4</v>
      </c>
      <c r="T29" s="133">
        <f t="shared" si="10"/>
        <v>74.739130434782609</v>
      </c>
      <c r="U29" s="133">
        <f t="shared" si="11"/>
        <v>498.26086956521738</v>
      </c>
      <c r="V29" s="124">
        <v>31</v>
      </c>
      <c r="W29" s="126">
        <f t="shared" si="12"/>
        <v>5.166666666666667</v>
      </c>
      <c r="X29" s="124">
        <v>96.91</v>
      </c>
      <c r="Y29" s="126">
        <f t="shared" si="13"/>
        <v>0.16912739965095985</v>
      </c>
      <c r="Z29" s="134"/>
      <c r="AA29" s="125">
        <f t="shared" si="14"/>
        <v>192</v>
      </c>
      <c r="AB29" s="125">
        <f t="shared" si="15"/>
        <v>150.25652173913045</v>
      </c>
      <c r="AC29" s="135">
        <f t="shared" si="16"/>
        <v>573</v>
      </c>
      <c r="AD29" s="136">
        <f t="shared" si="17"/>
        <v>498.26086956521738</v>
      </c>
      <c r="AE29" s="125">
        <f t="shared" si="18"/>
        <v>765</v>
      </c>
      <c r="AF29" s="46">
        <f t="shared" si="19"/>
        <v>648.51739130434783</v>
      </c>
    </row>
    <row r="30" spans="2:32" ht="15" customHeight="1" x14ac:dyDescent="0.25">
      <c r="B30" s="90">
        <v>46099</v>
      </c>
      <c r="C30" s="124" t="s">
        <v>64</v>
      </c>
      <c r="D30" s="123">
        <v>238</v>
      </c>
      <c r="E30" s="124">
        <v>8</v>
      </c>
      <c r="F30" s="124">
        <v>476</v>
      </c>
      <c r="G30" s="124">
        <v>3</v>
      </c>
      <c r="H30" s="124">
        <v>106</v>
      </c>
      <c r="I30" s="125">
        <f t="shared" si="3"/>
        <v>35.333333333333336</v>
      </c>
      <c r="J30" s="132">
        <f t="shared" si="4"/>
        <v>6.3025210084033615E-3</v>
      </c>
      <c r="K30" s="127">
        <f t="shared" si="5"/>
        <v>13.826086956521738</v>
      </c>
      <c r="L30" s="149">
        <f t="shared" si="6"/>
        <v>92.173913043478265</v>
      </c>
      <c r="M30" s="124">
        <v>5.57</v>
      </c>
      <c r="N30" s="150">
        <f t="shared" si="7"/>
        <v>86.603913043478258</v>
      </c>
      <c r="O30" s="130"/>
      <c r="P30" s="124">
        <v>606</v>
      </c>
      <c r="Q30" s="125">
        <f t="shared" si="8"/>
        <v>202</v>
      </c>
      <c r="R30" s="124">
        <v>21</v>
      </c>
      <c r="S30" s="132">
        <f t="shared" si="9"/>
        <v>7</v>
      </c>
      <c r="T30" s="133">
        <f t="shared" si="10"/>
        <v>79.043478260869563</v>
      </c>
      <c r="U30" s="133">
        <f t="shared" si="11"/>
        <v>526.95652173913049</v>
      </c>
      <c r="V30" s="124">
        <v>31</v>
      </c>
      <c r="W30" s="126">
        <f t="shared" si="12"/>
        <v>10.333333333333334</v>
      </c>
      <c r="X30" s="124">
        <v>96.87</v>
      </c>
      <c r="Y30" s="126">
        <f t="shared" si="13"/>
        <v>0.15985148514851485</v>
      </c>
      <c r="Z30" s="134"/>
      <c r="AA30" s="125">
        <f t="shared" si="14"/>
        <v>106</v>
      </c>
      <c r="AB30" s="125">
        <f t="shared" si="15"/>
        <v>86.603913043478258</v>
      </c>
      <c r="AC30" s="135">
        <f t="shared" si="16"/>
        <v>606</v>
      </c>
      <c r="AD30" s="136">
        <f t="shared" si="17"/>
        <v>526.95652173913049</v>
      </c>
      <c r="AE30" s="125">
        <f t="shared" si="18"/>
        <v>712</v>
      </c>
      <c r="AF30" s="46">
        <f t="shared" si="19"/>
        <v>613.56043478260881</v>
      </c>
    </row>
    <row r="31" spans="2:32" ht="15" customHeight="1" x14ac:dyDescent="0.25">
      <c r="B31" s="90">
        <v>46100</v>
      </c>
      <c r="C31" s="124" t="s">
        <v>57</v>
      </c>
      <c r="D31" s="123">
        <v>238</v>
      </c>
      <c r="E31" s="124">
        <v>19</v>
      </c>
      <c r="F31" s="124">
        <v>1126</v>
      </c>
      <c r="G31" s="124">
        <v>71</v>
      </c>
      <c r="H31" s="124">
        <v>2532</v>
      </c>
      <c r="I31" s="125">
        <f t="shared" si="3"/>
        <v>35.661971830985912</v>
      </c>
      <c r="J31" s="126">
        <f t="shared" si="4"/>
        <v>6.3055062166962703E-2</v>
      </c>
      <c r="K31" s="127">
        <f t="shared" si="5"/>
        <v>330.26086956521738</v>
      </c>
      <c r="L31" s="149">
        <f t="shared" si="6"/>
        <v>2201.7391304347825</v>
      </c>
      <c r="M31" s="124">
        <v>217.4</v>
      </c>
      <c r="N31" s="150">
        <f t="shared" si="7"/>
        <v>1984.3391304347824</v>
      </c>
      <c r="O31" s="130"/>
      <c r="P31" s="124">
        <v>682</v>
      </c>
      <c r="Q31" s="125">
        <f t="shared" si="8"/>
        <v>9.6056338028169019</v>
      </c>
      <c r="R31" s="124">
        <v>20</v>
      </c>
      <c r="S31" s="132">
        <f t="shared" si="9"/>
        <v>0.28169014084507044</v>
      </c>
      <c r="T31" s="133">
        <f t="shared" si="10"/>
        <v>88.956521739130437</v>
      </c>
      <c r="U31" s="133">
        <f t="shared" si="11"/>
        <v>593.04347826086951</v>
      </c>
      <c r="V31" s="124">
        <v>33</v>
      </c>
      <c r="W31" s="126">
        <f t="shared" si="12"/>
        <v>0.46478873239436619</v>
      </c>
      <c r="X31" s="124">
        <v>118.59</v>
      </c>
      <c r="Y31" s="126">
        <f t="shared" si="13"/>
        <v>0.17388563049853373</v>
      </c>
      <c r="Z31" s="134"/>
      <c r="AA31" s="125">
        <f t="shared" si="14"/>
        <v>2532</v>
      </c>
      <c r="AB31" s="125">
        <f t="shared" si="15"/>
        <v>1984.3391304347824</v>
      </c>
      <c r="AC31" s="135">
        <f t="shared" si="16"/>
        <v>682</v>
      </c>
      <c r="AD31" s="136">
        <f t="shared" si="17"/>
        <v>593.04347826086951</v>
      </c>
      <c r="AE31" s="125">
        <f t="shared" si="18"/>
        <v>3214</v>
      </c>
      <c r="AF31" s="46">
        <f t="shared" si="19"/>
        <v>2577.3826086956519</v>
      </c>
    </row>
    <row r="32" spans="2:32" ht="15" customHeight="1" x14ac:dyDescent="0.25">
      <c r="B32" s="90">
        <v>46101</v>
      </c>
      <c r="C32" s="124" t="s">
        <v>59</v>
      </c>
      <c r="D32" s="123">
        <v>238</v>
      </c>
      <c r="E32" s="124">
        <v>19</v>
      </c>
      <c r="F32" s="124">
        <v>1126</v>
      </c>
      <c r="G32" s="124">
        <v>359</v>
      </c>
      <c r="H32" s="124">
        <v>12318</v>
      </c>
      <c r="I32" s="125">
        <f t="shared" si="3"/>
        <v>34.31197771587744</v>
      </c>
      <c r="J32" s="126">
        <f t="shared" si="4"/>
        <v>0.31882770870337479</v>
      </c>
      <c r="K32" s="127">
        <f t="shared" si="5"/>
        <v>1606.695652173913</v>
      </c>
      <c r="L32" s="149">
        <f t="shared" si="6"/>
        <v>10711.304347826088</v>
      </c>
      <c r="M32" s="124">
        <v>862.17</v>
      </c>
      <c r="N32" s="150">
        <f t="shared" si="7"/>
        <v>9849.1343478260878</v>
      </c>
      <c r="O32" s="130"/>
      <c r="P32" s="124">
        <v>2557</v>
      </c>
      <c r="Q32" s="125">
        <f t="shared" si="8"/>
        <v>7.1225626740947074</v>
      </c>
      <c r="R32" s="124">
        <v>70</v>
      </c>
      <c r="S32" s="132">
        <f t="shared" si="9"/>
        <v>0.19498607242339833</v>
      </c>
      <c r="T32" s="133">
        <f t="shared" si="10"/>
        <v>333.52173913043481</v>
      </c>
      <c r="U32" s="133">
        <f t="shared" si="11"/>
        <v>2223.478260869565</v>
      </c>
      <c r="V32" s="124">
        <v>141</v>
      </c>
      <c r="W32" s="126">
        <f t="shared" si="12"/>
        <v>0.39275766016713093</v>
      </c>
      <c r="X32" s="124">
        <v>463.88</v>
      </c>
      <c r="Y32" s="126">
        <f t="shared" si="13"/>
        <v>0.18141572154868987</v>
      </c>
      <c r="Z32" s="134"/>
      <c r="AA32" s="125">
        <f t="shared" si="14"/>
        <v>12318</v>
      </c>
      <c r="AB32" s="125">
        <f t="shared" si="15"/>
        <v>9849.1343478260878</v>
      </c>
      <c r="AC32" s="135">
        <f t="shared" si="16"/>
        <v>2557</v>
      </c>
      <c r="AD32" s="136">
        <f t="shared" si="17"/>
        <v>2223.478260869565</v>
      </c>
      <c r="AE32" s="125">
        <f t="shared" si="18"/>
        <v>14875</v>
      </c>
      <c r="AF32" s="46">
        <f t="shared" si="19"/>
        <v>12072.612608695654</v>
      </c>
    </row>
    <row r="33" spans="2:32" ht="15" customHeight="1" x14ac:dyDescent="0.25">
      <c r="B33" s="90">
        <v>46102</v>
      </c>
      <c r="C33" s="124" t="s">
        <v>60</v>
      </c>
      <c r="D33" s="123">
        <v>238</v>
      </c>
      <c r="E33" s="124">
        <v>24</v>
      </c>
      <c r="F33" s="124">
        <v>1444</v>
      </c>
      <c r="G33" s="124">
        <v>586</v>
      </c>
      <c r="H33" s="124">
        <v>19862</v>
      </c>
      <c r="I33" s="125">
        <f t="shared" si="3"/>
        <v>33.894197952218427</v>
      </c>
      <c r="J33" s="126">
        <f t="shared" si="4"/>
        <v>0.40581717451523547</v>
      </c>
      <c r="K33" s="127">
        <f t="shared" si="5"/>
        <v>2590.695652173913</v>
      </c>
      <c r="L33" s="149">
        <f t="shared" si="6"/>
        <v>17271.304347826088</v>
      </c>
      <c r="M33" s="124">
        <v>1116.97</v>
      </c>
      <c r="N33" s="150">
        <f t="shared" si="7"/>
        <v>16154.334347826089</v>
      </c>
      <c r="O33" s="130"/>
      <c r="P33" s="124">
        <v>6436</v>
      </c>
      <c r="Q33" s="125">
        <f t="shared" si="8"/>
        <v>10.982935153583618</v>
      </c>
      <c r="R33" s="124">
        <v>143</v>
      </c>
      <c r="S33" s="132">
        <f t="shared" si="9"/>
        <v>0.24402730375426621</v>
      </c>
      <c r="T33" s="133">
        <f t="shared" si="10"/>
        <v>839.47826086956525</v>
      </c>
      <c r="U33" s="133">
        <f t="shared" si="11"/>
        <v>5596.521739130435</v>
      </c>
      <c r="V33" s="124">
        <v>331</v>
      </c>
      <c r="W33" s="126">
        <f t="shared" si="12"/>
        <v>0.56484641638225253</v>
      </c>
      <c r="X33" s="124">
        <v>1137</v>
      </c>
      <c r="Y33" s="126">
        <f t="shared" si="13"/>
        <v>0.1766625233064015</v>
      </c>
      <c r="Z33" s="134"/>
      <c r="AA33" s="125">
        <f t="shared" si="14"/>
        <v>19862</v>
      </c>
      <c r="AB33" s="125">
        <f t="shared" si="15"/>
        <v>16154.334347826089</v>
      </c>
      <c r="AC33" s="135">
        <f t="shared" si="16"/>
        <v>6436</v>
      </c>
      <c r="AD33" s="136">
        <f t="shared" si="17"/>
        <v>5596.521739130435</v>
      </c>
      <c r="AE33" s="125">
        <f t="shared" si="18"/>
        <v>26298</v>
      </c>
      <c r="AF33" s="46">
        <f t="shared" si="19"/>
        <v>21750.856086956523</v>
      </c>
    </row>
    <row r="34" spans="2:32" ht="15" customHeight="1" x14ac:dyDescent="0.25">
      <c r="B34" s="90">
        <v>46103</v>
      </c>
      <c r="C34" s="124" t="s">
        <v>61</v>
      </c>
      <c r="D34" s="123">
        <v>238</v>
      </c>
      <c r="E34" s="124">
        <v>24</v>
      </c>
      <c r="F34" s="124">
        <v>1444</v>
      </c>
      <c r="G34" s="124">
        <v>494</v>
      </c>
      <c r="H34" s="124">
        <v>16548</v>
      </c>
      <c r="I34" s="125">
        <f t="shared" si="3"/>
        <v>33.497975708502025</v>
      </c>
      <c r="J34" s="126">
        <f t="shared" si="4"/>
        <v>0.34210526315789475</v>
      </c>
      <c r="K34" s="127">
        <f t="shared" si="5"/>
        <v>2158.4347826086955</v>
      </c>
      <c r="L34" s="149">
        <f t="shared" si="6"/>
        <v>14389.565217391304</v>
      </c>
      <c r="M34" s="151">
        <v>563.89</v>
      </c>
      <c r="N34" s="150">
        <f t="shared" si="7"/>
        <v>13825.675217391305</v>
      </c>
      <c r="O34" s="130"/>
      <c r="P34" s="124">
        <v>6368</v>
      </c>
      <c r="Q34" s="125">
        <f t="shared" si="8"/>
        <v>12.890688259109313</v>
      </c>
      <c r="R34" s="124">
        <v>138</v>
      </c>
      <c r="S34" s="132">
        <f t="shared" si="9"/>
        <v>0.2793522267206478</v>
      </c>
      <c r="T34" s="133">
        <f t="shared" si="10"/>
        <v>830.60869565217388</v>
      </c>
      <c r="U34" s="133">
        <f t="shared" si="11"/>
        <v>5537.391304347826</v>
      </c>
      <c r="V34" s="124">
        <v>367</v>
      </c>
      <c r="W34" s="126">
        <f t="shared" si="12"/>
        <v>0.74291497975708498</v>
      </c>
      <c r="X34" s="124">
        <v>1173.98</v>
      </c>
      <c r="Y34" s="126">
        <f t="shared" si="13"/>
        <v>0.18435615577889447</v>
      </c>
      <c r="Z34" s="134"/>
      <c r="AA34" s="125">
        <f t="shared" si="14"/>
        <v>16548</v>
      </c>
      <c r="AB34" s="125">
        <f t="shared" si="15"/>
        <v>13825.675217391305</v>
      </c>
      <c r="AC34" s="135">
        <f t="shared" si="16"/>
        <v>6368</v>
      </c>
      <c r="AD34" s="136">
        <f t="shared" si="17"/>
        <v>5537.391304347826</v>
      </c>
      <c r="AE34" s="125">
        <f t="shared" si="18"/>
        <v>22916</v>
      </c>
      <c r="AF34" s="46">
        <f t="shared" si="19"/>
        <v>19363.066521739129</v>
      </c>
    </row>
    <row r="35" spans="2:32" ht="15" customHeight="1" x14ac:dyDescent="0.25">
      <c r="B35" s="90">
        <v>46104</v>
      </c>
      <c r="C35" s="124" t="s">
        <v>62</v>
      </c>
      <c r="D35" s="123">
        <v>238</v>
      </c>
      <c r="E35" s="124">
        <v>24</v>
      </c>
      <c r="F35" s="124">
        <v>1444</v>
      </c>
      <c r="G35" s="124">
        <v>395</v>
      </c>
      <c r="H35" s="124">
        <v>13370</v>
      </c>
      <c r="I35" s="125">
        <f t="shared" si="3"/>
        <v>33.848101265822784</v>
      </c>
      <c r="J35" s="126">
        <f t="shared" si="4"/>
        <v>0.27354570637119113</v>
      </c>
      <c r="K35" s="127">
        <f t="shared" si="5"/>
        <v>1743.9130434782608</v>
      </c>
      <c r="L35" s="149">
        <f t="shared" si="6"/>
        <v>11626.08695652174</v>
      </c>
      <c r="M35" s="151">
        <v>313.60000000000002</v>
      </c>
      <c r="N35" s="150">
        <f t="shared" si="7"/>
        <v>11312.48695652174</v>
      </c>
      <c r="O35" s="130"/>
      <c r="P35" s="124">
        <v>6749</v>
      </c>
      <c r="Q35" s="125">
        <f t="shared" si="8"/>
        <v>17.086075949367089</v>
      </c>
      <c r="R35" s="124">
        <v>134</v>
      </c>
      <c r="S35" s="132">
        <f t="shared" si="9"/>
        <v>0.3392405063291139</v>
      </c>
      <c r="T35" s="133">
        <f t="shared" si="10"/>
        <v>880.304347826087</v>
      </c>
      <c r="U35" s="133">
        <f t="shared" si="11"/>
        <v>5868.695652173913</v>
      </c>
      <c r="V35" s="124">
        <v>347</v>
      </c>
      <c r="W35" s="126">
        <f t="shared" si="12"/>
        <v>0.87848101265822787</v>
      </c>
      <c r="X35" s="124">
        <v>1187.31</v>
      </c>
      <c r="Y35" s="126">
        <f t="shared" si="13"/>
        <v>0.17592384056897317</v>
      </c>
      <c r="Z35" s="134"/>
      <c r="AA35" s="125">
        <f t="shared" si="14"/>
        <v>13370</v>
      </c>
      <c r="AB35" s="125">
        <f t="shared" si="15"/>
        <v>11312.48695652174</v>
      </c>
      <c r="AC35" s="135">
        <f t="shared" si="16"/>
        <v>6749</v>
      </c>
      <c r="AD35" s="136">
        <f t="shared" si="17"/>
        <v>5868.695652173913</v>
      </c>
      <c r="AE35" s="125">
        <f t="shared" si="18"/>
        <v>20119</v>
      </c>
      <c r="AF35" s="46">
        <f t="shared" si="19"/>
        <v>17181.182608695653</v>
      </c>
    </row>
    <row r="36" spans="2:32" ht="15" customHeight="1" x14ac:dyDescent="0.25">
      <c r="B36" s="90">
        <v>46105</v>
      </c>
      <c r="C36" s="124" t="s">
        <v>63</v>
      </c>
      <c r="D36" s="123">
        <v>238</v>
      </c>
      <c r="E36" s="124">
        <v>23</v>
      </c>
      <c r="F36" s="124">
        <v>1387</v>
      </c>
      <c r="G36" s="124">
        <v>364</v>
      </c>
      <c r="H36" s="124">
        <v>12198</v>
      </c>
      <c r="I36" s="125">
        <f t="shared" si="3"/>
        <v>33.510989010989015</v>
      </c>
      <c r="J36" s="126">
        <f t="shared" si="4"/>
        <v>0.2624369142033165</v>
      </c>
      <c r="K36" s="127">
        <f t="shared" si="5"/>
        <v>1591.0434782608695</v>
      </c>
      <c r="L36" s="149">
        <f t="shared" si="6"/>
        <v>10606.95652173913</v>
      </c>
      <c r="M36" s="151">
        <v>157.22999999999999</v>
      </c>
      <c r="N36" s="150">
        <f t="shared" si="7"/>
        <v>10449.72652173913</v>
      </c>
      <c r="O36" s="130"/>
      <c r="P36" s="124">
        <v>7158</v>
      </c>
      <c r="Q36" s="125">
        <f t="shared" si="8"/>
        <v>19.664835164835164</v>
      </c>
      <c r="R36" s="124">
        <v>139</v>
      </c>
      <c r="S36" s="132">
        <f t="shared" si="9"/>
        <v>0.38186813186813184</v>
      </c>
      <c r="T36" s="133">
        <f t="shared" si="10"/>
        <v>933.6521739130435</v>
      </c>
      <c r="U36" s="133">
        <f t="shared" si="11"/>
        <v>6224.347826086956</v>
      </c>
      <c r="V36" s="124">
        <v>354</v>
      </c>
      <c r="W36" s="126">
        <f t="shared" si="12"/>
        <v>0.97252747252747251</v>
      </c>
      <c r="X36" s="124">
        <v>1218.24</v>
      </c>
      <c r="Y36" s="126">
        <f t="shared" si="13"/>
        <v>0.17019279128248113</v>
      </c>
      <c r="Z36" s="134"/>
      <c r="AA36" s="125">
        <f t="shared" si="14"/>
        <v>12198</v>
      </c>
      <c r="AB36" s="125">
        <f t="shared" si="15"/>
        <v>10449.72652173913</v>
      </c>
      <c r="AC36" s="135">
        <f t="shared" si="16"/>
        <v>7158</v>
      </c>
      <c r="AD36" s="136">
        <f t="shared" si="17"/>
        <v>6224.347826086956</v>
      </c>
      <c r="AE36" s="125">
        <f t="shared" si="18"/>
        <v>19356</v>
      </c>
      <c r="AF36" s="46">
        <f t="shared" si="19"/>
        <v>16674.074347826085</v>
      </c>
    </row>
    <row r="37" spans="2:32" ht="15" customHeight="1" x14ac:dyDescent="0.25">
      <c r="B37" s="90">
        <v>46106</v>
      </c>
      <c r="C37" s="124" t="s">
        <v>64</v>
      </c>
      <c r="D37" s="123">
        <v>238</v>
      </c>
      <c r="E37" s="124">
        <v>24</v>
      </c>
      <c r="F37" s="124">
        <v>1444</v>
      </c>
      <c r="G37" s="124">
        <v>380</v>
      </c>
      <c r="H37" s="124">
        <v>12860</v>
      </c>
      <c r="I37" s="125">
        <f t="shared" si="3"/>
        <v>33.842105263157897</v>
      </c>
      <c r="J37" s="126">
        <f t="shared" si="4"/>
        <v>0.26315789473684209</v>
      </c>
      <c r="K37" s="127">
        <f t="shared" si="5"/>
        <v>1677.391304347826</v>
      </c>
      <c r="L37" s="127">
        <f t="shared" si="6"/>
        <v>11182.608695652174</v>
      </c>
      <c r="M37" s="152">
        <v>108.01</v>
      </c>
      <c r="N37" s="129">
        <f t="shared" si="7"/>
        <v>11074.598695652174</v>
      </c>
      <c r="O37" s="130"/>
      <c r="P37" s="124">
        <v>7729</v>
      </c>
      <c r="Q37" s="125">
        <f t="shared" si="8"/>
        <v>20.339473684210525</v>
      </c>
      <c r="R37" s="124">
        <v>148</v>
      </c>
      <c r="S37" s="132">
        <f t="shared" si="9"/>
        <v>0.38947368421052631</v>
      </c>
      <c r="T37" s="133">
        <f t="shared" si="10"/>
        <v>1008.1304347826087</v>
      </c>
      <c r="U37" s="133">
        <f t="shared" si="11"/>
        <v>6720.869565217391</v>
      </c>
      <c r="V37" s="124">
        <v>372</v>
      </c>
      <c r="W37" s="126">
        <f t="shared" si="12"/>
        <v>0.97894736842105268</v>
      </c>
      <c r="X37" s="124">
        <v>1317.77</v>
      </c>
      <c r="Y37" s="126">
        <f t="shared" si="13"/>
        <v>0.17049683012032604</v>
      </c>
      <c r="Z37" s="134"/>
      <c r="AA37" s="125">
        <f t="shared" si="14"/>
        <v>12860</v>
      </c>
      <c r="AB37" s="125">
        <f t="shared" si="15"/>
        <v>11074.598695652174</v>
      </c>
      <c r="AC37" s="135">
        <f t="shared" si="16"/>
        <v>7729</v>
      </c>
      <c r="AD37" s="136">
        <f t="shared" si="17"/>
        <v>6720.869565217391</v>
      </c>
      <c r="AE37" s="125">
        <f t="shared" si="18"/>
        <v>20589</v>
      </c>
      <c r="AF37" s="46">
        <f t="shared" si="19"/>
        <v>17795.468260869566</v>
      </c>
    </row>
    <row r="38" spans="2:32" ht="15" customHeight="1" x14ac:dyDescent="0.25">
      <c r="B38" s="90">
        <v>46107</v>
      </c>
      <c r="C38" s="124" t="s">
        <v>57</v>
      </c>
      <c r="D38" s="123">
        <v>238</v>
      </c>
      <c r="E38" s="124">
        <v>20</v>
      </c>
      <c r="F38" s="124">
        <v>1186</v>
      </c>
      <c r="G38" s="124">
        <v>300</v>
      </c>
      <c r="H38" s="153">
        <v>10180</v>
      </c>
      <c r="I38" s="125">
        <f t="shared" si="3"/>
        <v>33.93333333333333</v>
      </c>
      <c r="J38" s="126">
        <f t="shared" si="4"/>
        <v>0.25295109612141653</v>
      </c>
      <c r="K38" s="127">
        <f t="shared" si="5"/>
        <v>1327.8260869565217</v>
      </c>
      <c r="L38" s="127">
        <f t="shared" si="6"/>
        <v>8852.173913043478</v>
      </c>
      <c r="M38" s="5">
        <v>191.66</v>
      </c>
      <c r="N38" s="129">
        <f t="shared" si="7"/>
        <v>8660.5139130434782</v>
      </c>
      <c r="O38" s="130"/>
      <c r="P38" s="124">
        <v>5268</v>
      </c>
      <c r="Q38" s="125">
        <f t="shared" si="8"/>
        <v>17.559999999999999</v>
      </c>
      <c r="R38" s="124">
        <v>100</v>
      </c>
      <c r="S38" s="132">
        <f t="shared" si="9"/>
        <v>0.33333333333333331</v>
      </c>
      <c r="T38" s="133">
        <f t="shared" si="10"/>
        <v>687.13043478260875</v>
      </c>
      <c r="U38" s="133">
        <f t="shared" si="11"/>
        <v>4580.869565217391</v>
      </c>
      <c r="V38" s="124">
        <v>250</v>
      </c>
      <c r="W38" s="126">
        <f t="shared" si="12"/>
        <v>0.83333333333333337</v>
      </c>
      <c r="X38" s="124">
        <v>974.8</v>
      </c>
      <c r="Y38" s="126">
        <f t="shared" si="13"/>
        <v>0.18504176157934699</v>
      </c>
      <c r="Z38" s="134"/>
      <c r="AA38" s="125">
        <f t="shared" si="14"/>
        <v>10180</v>
      </c>
      <c r="AB38" s="125">
        <f t="shared" si="15"/>
        <v>8660.5139130434782</v>
      </c>
      <c r="AC38" s="135">
        <f t="shared" si="16"/>
        <v>5268</v>
      </c>
      <c r="AD38" s="136">
        <f t="shared" si="17"/>
        <v>4580.869565217391</v>
      </c>
      <c r="AE38" s="125">
        <f t="shared" si="18"/>
        <v>15448</v>
      </c>
      <c r="AF38" s="46">
        <f t="shared" si="19"/>
        <v>13241.383478260868</v>
      </c>
    </row>
    <row r="39" spans="2:32" ht="15" customHeight="1" x14ac:dyDescent="0.25">
      <c r="B39" s="90">
        <v>46108</v>
      </c>
      <c r="C39" s="124" t="s">
        <v>59</v>
      </c>
      <c r="D39" s="123">
        <v>238</v>
      </c>
      <c r="E39" s="124">
        <v>20</v>
      </c>
      <c r="F39" s="124">
        <v>1186</v>
      </c>
      <c r="G39" s="124">
        <v>388</v>
      </c>
      <c r="H39" s="124">
        <v>13126</v>
      </c>
      <c r="I39" s="125">
        <f t="shared" si="3"/>
        <v>33.829896907216494</v>
      </c>
      <c r="J39" s="126">
        <f t="shared" si="4"/>
        <v>0.32715008431703202</v>
      </c>
      <c r="K39" s="127">
        <f t="shared" si="5"/>
        <v>1712.0869565217392</v>
      </c>
      <c r="L39" s="127">
        <f t="shared" si="6"/>
        <v>11413.91304347826</v>
      </c>
      <c r="M39" s="5">
        <v>301.60000000000002</v>
      </c>
      <c r="N39" s="129">
        <f t="shared" si="7"/>
        <v>11112.31304347826</v>
      </c>
      <c r="O39" s="130"/>
      <c r="P39" s="124">
        <v>8000</v>
      </c>
      <c r="Q39" s="125">
        <f t="shared" si="8"/>
        <v>20.618556701030929</v>
      </c>
      <c r="R39" s="124">
        <v>143</v>
      </c>
      <c r="S39" s="132">
        <f t="shared" si="9"/>
        <v>0.36855670103092786</v>
      </c>
      <c r="T39" s="133">
        <f t="shared" si="10"/>
        <v>1043.4782608695652</v>
      </c>
      <c r="U39" s="133">
        <f t="shared" si="11"/>
        <v>6956.521739130435</v>
      </c>
      <c r="V39" s="124">
        <v>379</v>
      </c>
      <c r="W39" s="126">
        <f t="shared" si="12"/>
        <v>0.97680412371134018</v>
      </c>
      <c r="X39" s="154">
        <v>1427.57</v>
      </c>
      <c r="Y39" s="126">
        <f t="shared" si="13"/>
        <v>0.17844625</v>
      </c>
      <c r="Z39" s="134"/>
      <c r="AA39" s="125">
        <f t="shared" si="14"/>
        <v>13126</v>
      </c>
      <c r="AB39" s="125">
        <f t="shared" si="15"/>
        <v>11112.31304347826</v>
      </c>
      <c r="AC39" s="135">
        <f t="shared" si="16"/>
        <v>8000</v>
      </c>
      <c r="AD39" s="136">
        <f t="shared" si="17"/>
        <v>6956.521739130435</v>
      </c>
      <c r="AE39" s="125">
        <f t="shared" si="18"/>
        <v>21126</v>
      </c>
      <c r="AF39" s="46">
        <f t="shared" si="19"/>
        <v>18068.834782608694</v>
      </c>
    </row>
    <row r="40" spans="2:32" ht="15" customHeight="1" x14ac:dyDescent="0.25">
      <c r="B40" s="90">
        <v>46109</v>
      </c>
      <c r="C40" s="124" t="s">
        <v>60</v>
      </c>
      <c r="D40" s="123">
        <v>238</v>
      </c>
      <c r="E40" s="124">
        <v>20</v>
      </c>
      <c r="F40" s="124">
        <v>1186</v>
      </c>
      <c r="G40" s="124">
        <v>182</v>
      </c>
      <c r="H40" s="124">
        <v>6134</v>
      </c>
      <c r="I40" s="125">
        <f t="shared" si="3"/>
        <v>33.703296703296701</v>
      </c>
      <c r="J40" s="126">
        <f t="shared" si="4"/>
        <v>0.15345699831365936</v>
      </c>
      <c r="K40" s="127">
        <f t="shared" si="5"/>
        <v>800.08695652173913</v>
      </c>
      <c r="L40" s="127">
        <f t="shared" si="6"/>
        <v>5333.913043478261</v>
      </c>
      <c r="M40" s="124">
        <v>81.22</v>
      </c>
      <c r="N40" s="129">
        <f t="shared" si="7"/>
        <v>5252.6930434782607</v>
      </c>
      <c r="O40" s="5"/>
      <c r="P40" s="124">
        <v>3157</v>
      </c>
      <c r="Q40" s="125">
        <f t="shared" si="8"/>
        <v>17.346153846153847</v>
      </c>
      <c r="R40" s="124">
        <v>69</v>
      </c>
      <c r="S40" s="132">
        <f t="shared" si="9"/>
        <v>0.37912087912087911</v>
      </c>
      <c r="T40" s="133">
        <f t="shared" si="10"/>
        <v>411.78260869565219</v>
      </c>
      <c r="U40" s="133">
        <f t="shared" si="11"/>
        <v>2745.217391304348</v>
      </c>
      <c r="V40" s="124">
        <v>141</v>
      </c>
      <c r="W40" s="126">
        <f t="shared" si="12"/>
        <v>0.77472527472527475</v>
      </c>
      <c r="X40" s="124">
        <v>643.01</v>
      </c>
      <c r="Y40" s="126">
        <f t="shared" si="13"/>
        <v>0.20367754197022489</v>
      </c>
      <c r="Z40" s="134"/>
      <c r="AA40" s="125">
        <f t="shared" si="14"/>
        <v>6134</v>
      </c>
      <c r="AB40" s="125">
        <f t="shared" si="15"/>
        <v>5252.6930434782607</v>
      </c>
      <c r="AC40" s="135">
        <f t="shared" si="16"/>
        <v>3157</v>
      </c>
      <c r="AD40" s="136">
        <f t="shared" si="17"/>
        <v>2745.217391304348</v>
      </c>
      <c r="AE40" s="125">
        <f t="shared" si="18"/>
        <v>9291</v>
      </c>
      <c r="AF40" s="46">
        <f t="shared" si="19"/>
        <v>7997.9104347826087</v>
      </c>
    </row>
    <row r="41" spans="2:32" ht="15" customHeight="1" x14ac:dyDescent="0.25">
      <c r="B41" s="90">
        <v>46110</v>
      </c>
      <c r="C41" s="124" t="s">
        <v>61</v>
      </c>
      <c r="D41" s="123">
        <v>238</v>
      </c>
      <c r="E41" s="124">
        <v>16</v>
      </c>
      <c r="F41" s="124">
        <v>948</v>
      </c>
      <c r="G41" s="124">
        <v>41</v>
      </c>
      <c r="H41" s="124">
        <v>1312</v>
      </c>
      <c r="I41" s="125">
        <f t="shared" si="3"/>
        <v>32</v>
      </c>
      <c r="J41" s="126">
        <f t="shared" si="4"/>
        <v>4.3248945147679324E-2</v>
      </c>
      <c r="K41" s="127">
        <f t="shared" si="5"/>
        <v>171.13043478260869</v>
      </c>
      <c r="L41" s="127">
        <f t="shared" si="6"/>
        <v>1140.8695652173913</v>
      </c>
      <c r="M41" s="124">
        <v>16.7</v>
      </c>
      <c r="N41" s="129">
        <f t="shared" si="7"/>
        <v>1124.1695652173912</v>
      </c>
      <c r="O41" s="130"/>
      <c r="P41" s="124">
        <v>850</v>
      </c>
      <c r="Q41" s="125">
        <f t="shared" si="8"/>
        <v>20.73170731707317</v>
      </c>
      <c r="R41" s="124">
        <v>21</v>
      </c>
      <c r="S41" s="132">
        <f t="shared" si="9"/>
        <v>0.51219512195121952</v>
      </c>
      <c r="T41" s="133">
        <f t="shared" si="10"/>
        <v>110.8695652173913</v>
      </c>
      <c r="U41" s="133">
        <f t="shared" si="11"/>
        <v>739.13043478260875</v>
      </c>
      <c r="V41" s="124">
        <v>46</v>
      </c>
      <c r="W41" s="126">
        <f t="shared" si="12"/>
        <v>1.1219512195121952</v>
      </c>
      <c r="X41" s="124">
        <v>171.4</v>
      </c>
      <c r="Y41" s="126">
        <f t="shared" si="13"/>
        <v>0.20164705882352943</v>
      </c>
      <c r="Z41" s="134"/>
      <c r="AA41" s="125">
        <f t="shared" si="14"/>
        <v>1312</v>
      </c>
      <c r="AB41" s="125">
        <f t="shared" si="15"/>
        <v>1124.1695652173912</v>
      </c>
      <c r="AC41" s="135">
        <f t="shared" si="16"/>
        <v>850</v>
      </c>
      <c r="AD41" s="136">
        <f t="shared" si="17"/>
        <v>739.13043478260875</v>
      </c>
      <c r="AE41" s="125">
        <f t="shared" si="18"/>
        <v>2162</v>
      </c>
      <c r="AF41" s="46">
        <f t="shared" si="19"/>
        <v>1863.3</v>
      </c>
    </row>
    <row r="42" spans="2:32" ht="15" customHeight="1" x14ac:dyDescent="0.25">
      <c r="B42" s="90">
        <v>46111</v>
      </c>
      <c r="C42" s="124" t="s">
        <v>62</v>
      </c>
      <c r="D42" s="123">
        <v>238</v>
      </c>
      <c r="E42" s="124">
        <v>18</v>
      </c>
      <c r="F42" s="124">
        <v>1069</v>
      </c>
      <c r="G42" s="124">
        <v>127</v>
      </c>
      <c r="H42" s="124">
        <v>4094</v>
      </c>
      <c r="I42" s="125">
        <f t="shared" si="3"/>
        <v>32.236220472440948</v>
      </c>
      <c r="J42" s="126">
        <f t="shared" si="4"/>
        <v>0.11880261927034612</v>
      </c>
      <c r="K42" s="127">
        <f t="shared" si="5"/>
        <v>534</v>
      </c>
      <c r="L42" s="127">
        <f t="shared" si="6"/>
        <v>3560</v>
      </c>
      <c r="M42" s="124">
        <v>264.20999999999998</v>
      </c>
      <c r="N42" s="129">
        <f t="shared" si="7"/>
        <v>3295.79</v>
      </c>
      <c r="O42" s="130"/>
      <c r="P42" s="124">
        <v>2243</v>
      </c>
      <c r="Q42" s="125">
        <f t="shared" si="8"/>
        <v>17.661417322834644</v>
      </c>
      <c r="R42" s="124">
        <v>32</v>
      </c>
      <c r="S42" s="132">
        <f t="shared" si="9"/>
        <v>0.25196850393700787</v>
      </c>
      <c r="T42" s="133">
        <f t="shared" si="10"/>
        <v>292.56521739130437</v>
      </c>
      <c r="U42" s="133">
        <f t="shared" si="11"/>
        <v>1950.4347826086955</v>
      </c>
      <c r="V42" s="124">
        <v>140</v>
      </c>
      <c r="W42" s="126">
        <f t="shared" si="12"/>
        <v>1.1023622047244095</v>
      </c>
      <c r="X42" s="124">
        <v>663.79</v>
      </c>
      <c r="Y42" s="126">
        <f t="shared" si="13"/>
        <v>0.29593847525635308</v>
      </c>
      <c r="Z42" s="134"/>
      <c r="AA42" s="125">
        <f t="shared" si="14"/>
        <v>4094</v>
      </c>
      <c r="AB42" s="125">
        <f t="shared" si="15"/>
        <v>3295.79</v>
      </c>
      <c r="AC42" s="135">
        <f t="shared" si="16"/>
        <v>2243</v>
      </c>
      <c r="AD42" s="136">
        <f t="shared" si="17"/>
        <v>1950.4347826086955</v>
      </c>
      <c r="AE42" s="125">
        <f t="shared" si="18"/>
        <v>6337</v>
      </c>
      <c r="AF42" s="46">
        <f t="shared" si="19"/>
        <v>5246.224782608695</v>
      </c>
    </row>
    <row r="43" spans="2:32" ht="15" customHeight="1" x14ac:dyDescent="0.25">
      <c r="B43" s="90">
        <v>46112</v>
      </c>
      <c r="C43" s="124" t="s">
        <v>63</v>
      </c>
      <c r="D43" s="123">
        <v>238</v>
      </c>
      <c r="E43" s="124">
        <v>16</v>
      </c>
      <c r="F43" s="124">
        <v>948</v>
      </c>
      <c r="G43" s="124">
        <v>45</v>
      </c>
      <c r="H43" s="124">
        <v>1440</v>
      </c>
      <c r="I43" s="125">
        <f t="shared" si="3"/>
        <v>32</v>
      </c>
      <c r="J43" s="126">
        <f t="shared" si="4"/>
        <v>4.746835443037975E-2</v>
      </c>
      <c r="K43" s="127">
        <f t="shared" si="5"/>
        <v>187.82608695652175</v>
      </c>
      <c r="L43" s="127">
        <f t="shared" si="6"/>
        <v>1252.1739130434783</v>
      </c>
      <c r="M43" s="124">
        <v>47.31</v>
      </c>
      <c r="N43" s="129">
        <f t="shared" si="7"/>
        <v>1204.8639130434783</v>
      </c>
      <c r="O43" s="130"/>
      <c r="P43" s="124">
        <v>621</v>
      </c>
      <c r="Q43" s="125">
        <f t="shared" si="8"/>
        <v>13.8</v>
      </c>
      <c r="R43" s="124">
        <v>16</v>
      </c>
      <c r="S43" s="132">
        <f t="shared" si="9"/>
        <v>0.35555555555555557</v>
      </c>
      <c r="T43" s="133">
        <f t="shared" si="10"/>
        <v>81</v>
      </c>
      <c r="U43" s="133">
        <f t="shared" si="11"/>
        <v>540</v>
      </c>
      <c r="V43" s="124">
        <v>36</v>
      </c>
      <c r="W43" s="126">
        <f t="shared" si="12"/>
        <v>0.8</v>
      </c>
      <c r="X43" s="124">
        <v>95.98</v>
      </c>
      <c r="Y43" s="126">
        <f t="shared" si="13"/>
        <v>0.15455716586151369</v>
      </c>
      <c r="Z43" s="134"/>
      <c r="AA43" s="125">
        <f t="shared" si="14"/>
        <v>1440</v>
      </c>
      <c r="AB43" s="125">
        <f t="shared" si="15"/>
        <v>1204.8639130434783</v>
      </c>
      <c r="AC43" s="135">
        <f t="shared" si="16"/>
        <v>621</v>
      </c>
      <c r="AD43" s="136">
        <f t="shared" si="17"/>
        <v>540</v>
      </c>
      <c r="AE43" s="125">
        <f t="shared" si="18"/>
        <v>2061</v>
      </c>
      <c r="AF43" s="46">
        <f t="shared" si="19"/>
        <v>1744.8639130434783</v>
      </c>
    </row>
    <row r="44" spans="2:32" ht="15" customHeight="1" x14ac:dyDescent="0.25">
      <c r="B44" s="184" t="s">
        <v>27</v>
      </c>
      <c r="C44" s="184"/>
      <c r="D44" s="137">
        <f>AVERAGE(D13:D43)</f>
        <v>238</v>
      </c>
      <c r="E44" s="137">
        <f>SUM(E13:E43)</f>
        <v>411</v>
      </c>
      <c r="F44" s="137">
        <f>SUM(F13:F43)</f>
        <v>24506</v>
      </c>
      <c r="G44" s="137">
        <f>SUM(G13:G43)</f>
        <v>3809</v>
      </c>
      <c r="H44" s="138">
        <f>SUM(H13:H43)</f>
        <v>128578</v>
      </c>
      <c r="I44" s="139">
        <f t="shared" si="3"/>
        <v>33.756366500393803</v>
      </c>
      <c r="J44" s="140">
        <f>(G44/F44)</f>
        <v>0.1554313229413205</v>
      </c>
      <c r="K44" s="141">
        <f>SUM(K13:K43)</f>
        <v>16771.043478260868</v>
      </c>
      <c r="L44" s="141">
        <f>SUM(L13:L43)</f>
        <v>111806.95652173912</v>
      </c>
      <c r="M44" s="142">
        <f>SUM(M13:M43)</f>
        <v>4464.7800000000007</v>
      </c>
      <c r="N44" s="138">
        <f>SUM(N13:N43)</f>
        <v>107342.17652173912</v>
      </c>
      <c r="O44" s="8"/>
      <c r="P44" s="139">
        <f>SUM(P13:P43)</f>
        <v>68528</v>
      </c>
      <c r="Q44" s="139">
        <f t="shared" si="8"/>
        <v>17.991073772643738</v>
      </c>
      <c r="R44" s="137">
        <f>SUM(R13:R43)</f>
        <v>1544</v>
      </c>
      <c r="S44" s="132">
        <f t="shared" si="9"/>
        <v>0.40535573641375688</v>
      </c>
      <c r="T44" s="141">
        <f>SUM(T13:T43)</f>
        <v>8938.4347826086978</v>
      </c>
      <c r="U44" s="142">
        <f>SUM(U13:U43)</f>
        <v>59589.565217391304</v>
      </c>
      <c r="V44" s="143">
        <f>SUM(V13:V43)</f>
        <v>3553</v>
      </c>
      <c r="W44" s="141">
        <f t="shared" si="12"/>
        <v>0.93279075872932526</v>
      </c>
      <c r="X44" s="139">
        <f>SUM(X13:X43)</f>
        <v>12381.8</v>
      </c>
      <c r="Y44" s="140">
        <f t="shared" si="13"/>
        <v>0.18068234882091991</v>
      </c>
      <c r="Z44" s="144"/>
      <c r="AA44" s="139">
        <f t="shared" ref="AA44:AF44" si="20">SUM(AA13:AA43)</f>
        <v>128578</v>
      </c>
      <c r="AB44" s="139">
        <f t="shared" si="20"/>
        <v>107342.17652173912</v>
      </c>
      <c r="AC44" s="139">
        <f t="shared" si="20"/>
        <v>68528</v>
      </c>
      <c r="AD44" s="145">
        <f t="shared" si="20"/>
        <v>59589.565217391304</v>
      </c>
      <c r="AE44" s="139">
        <f t="shared" si="20"/>
        <v>197106</v>
      </c>
      <c r="AF44" s="139">
        <f t="shared" si="20"/>
        <v>166931.74173913043</v>
      </c>
    </row>
    <row r="58" spans="21:22" ht="15" customHeight="1" x14ac:dyDescent="0.25">
      <c r="U58" s="5"/>
      <c r="V58" s="5"/>
    </row>
    <row r="59" spans="21:22" ht="15" customHeight="1" x14ac:dyDescent="0.25">
      <c r="U59" s="5"/>
      <c r="V59" s="5"/>
    </row>
    <row r="60" spans="21:22" ht="15" customHeight="1" x14ac:dyDescent="0.25">
      <c r="U60" s="5"/>
      <c r="V60" s="5"/>
    </row>
    <row r="61" spans="21:22" ht="15" customHeight="1" x14ac:dyDescent="0.25">
      <c r="U61" s="5"/>
      <c r="V61" s="5"/>
    </row>
    <row r="62" spans="21:22" ht="15" customHeight="1" x14ac:dyDescent="0.25">
      <c r="U62" s="5"/>
      <c r="V62" s="5"/>
    </row>
    <row r="63" spans="21:22" ht="15" customHeight="1" x14ac:dyDescent="0.25">
      <c r="U63" s="5"/>
      <c r="V63" s="5"/>
    </row>
    <row r="64" spans="21:22" ht="15" customHeight="1" x14ac:dyDescent="0.25">
      <c r="U64" s="5"/>
      <c r="V64" s="5"/>
    </row>
    <row r="65" spans="21:22" ht="15" customHeight="1" x14ac:dyDescent="0.25">
      <c r="U65" s="5"/>
      <c r="V65" s="5"/>
    </row>
    <row r="66" spans="21:22" ht="15" customHeight="1" x14ac:dyDescent="0.25">
      <c r="U66" s="5"/>
      <c r="V66" s="5"/>
    </row>
    <row r="67" spans="21:22" ht="15" customHeight="1" x14ac:dyDescent="0.25">
      <c r="U67" s="5"/>
      <c r="V67" s="5"/>
    </row>
    <row r="68" spans="21:22" ht="15" customHeight="1" x14ac:dyDescent="0.25">
      <c r="U68" s="5"/>
      <c r="V68" s="5"/>
    </row>
    <row r="69" spans="21:22" ht="15" customHeight="1" x14ac:dyDescent="0.25">
      <c r="U69" s="5"/>
      <c r="V69" s="5"/>
    </row>
    <row r="70" spans="21:22" ht="15" customHeight="1" x14ac:dyDescent="0.25">
      <c r="U70" s="5"/>
      <c r="V70" s="5"/>
    </row>
    <row r="71" spans="21:22" ht="15" customHeight="1" x14ac:dyDescent="0.25">
      <c r="U71" s="5"/>
      <c r="V71" s="5"/>
    </row>
    <row r="72" spans="21:22" ht="15" customHeight="1" x14ac:dyDescent="0.25">
      <c r="U72" s="5"/>
      <c r="V72" s="5"/>
    </row>
    <row r="73" spans="21:22" ht="15" customHeight="1" x14ac:dyDescent="0.25">
      <c r="U73" s="5"/>
      <c r="V73" s="5"/>
    </row>
    <row r="74" spans="21:22" ht="15" customHeight="1" x14ac:dyDescent="0.25">
      <c r="U74" s="5"/>
      <c r="V74" s="5"/>
    </row>
    <row r="75" spans="21:22" ht="15" customHeight="1" x14ac:dyDescent="0.25">
      <c r="U75" s="5"/>
      <c r="V75" s="5"/>
    </row>
    <row r="76" spans="21:22" ht="15" customHeight="1" x14ac:dyDescent="0.25">
      <c r="U76" s="5"/>
      <c r="V76" s="5"/>
    </row>
    <row r="77" spans="21:22" ht="15" customHeight="1" x14ac:dyDescent="0.25">
      <c r="U77" s="5"/>
      <c r="V77" s="5"/>
    </row>
    <row r="78" spans="21:22" ht="15" customHeight="1" x14ac:dyDescent="0.25">
      <c r="U78" s="5"/>
      <c r="V78" s="5"/>
    </row>
    <row r="79" spans="21:22" ht="15" customHeight="1" x14ac:dyDescent="0.25">
      <c r="U79" s="5"/>
      <c r="V79" s="5"/>
    </row>
    <row r="80" spans="21:22" ht="15" customHeight="1" x14ac:dyDescent="0.25">
      <c r="U80" s="5"/>
      <c r="V80" s="5"/>
    </row>
    <row r="81" spans="21:22" ht="15" customHeight="1" x14ac:dyDescent="0.25">
      <c r="U81" s="5"/>
      <c r="V81" s="5"/>
    </row>
    <row r="82" spans="21:22" ht="15" customHeight="1" x14ac:dyDescent="0.25">
      <c r="U82" s="5"/>
      <c r="V82" s="5"/>
    </row>
    <row r="83" spans="21:22" ht="15" customHeight="1" x14ac:dyDescent="0.25">
      <c r="U83" s="5"/>
      <c r="V83" s="5"/>
    </row>
    <row r="84" spans="21:22" ht="15" customHeight="1" x14ac:dyDescent="0.25">
      <c r="U84" s="5"/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4:C44"/>
    <mergeCell ref="G10:N10"/>
    <mergeCell ref="P10:Y10"/>
    <mergeCell ref="AA10:AB10"/>
  </mergeCells>
  <conditionalFormatting sqref="F9">
    <cfRule type="expression" dxfId="1" priority="2">
      <formula>NOT(ISERROR(SEARCH("Fiday,sutarday,sunday",F9)))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F84"/>
  <sheetViews>
    <sheetView topLeftCell="G10" zoomScale="85" zoomScaleNormal="85" workbookViewId="0">
      <selection activeCell="G1" sqref="G1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8" width="10" style="58" customWidth="1"/>
    <col min="9" max="9" width="9.7109375" style="58" customWidth="1"/>
    <col min="10" max="10" width="9.7109375" style="59" customWidth="1"/>
    <col min="11" max="11" width="10.28515625" style="60" customWidth="1"/>
    <col min="12" max="12" width="11.2851562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3" width="9.7109375" style="58" customWidth="1"/>
    <col min="24" max="24" width="11.5703125" style="58" customWidth="1"/>
    <col min="25" max="25" width="9.7109375" style="58" customWidth="1"/>
    <col min="26" max="26" width="1.7109375" style="58" customWidth="1"/>
    <col min="27" max="27" width="10.28515625" style="58" customWidth="1"/>
    <col min="28" max="30" width="9.7109375" style="58" customWidth="1"/>
    <col min="31" max="32" width="10.28515625" style="58" customWidth="1"/>
    <col min="33" max="16384" width="13.5703125" style="58"/>
  </cols>
  <sheetData>
    <row r="2" spans="2:32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2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2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2" s="64" customFormat="1" ht="14.25" customHeight="1" x14ac:dyDescent="0.25">
      <c r="B5" s="193" t="s">
        <v>2</v>
      </c>
      <c r="C5" s="193"/>
      <c r="D5" s="196" t="s">
        <v>3</v>
      </c>
      <c r="E5" s="196"/>
      <c r="F5" s="196"/>
      <c r="G5" s="193" t="s">
        <v>12</v>
      </c>
      <c r="H5" s="193"/>
      <c r="I5" s="194">
        <v>46113</v>
      </c>
      <c r="J5" s="194"/>
      <c r="K5" s="3"/>
      <c r="L5" s="3"/>
      <c r="M5" s="3"/>
      <c r="S5" s="101"/>
    </row>
    <row r="6" spans="2:32" s="64" customFormat="1" ht="14.25" customHeight="1" x14ac:dyDescent="0.25">
      <c r="B6" s="193" t="s">
        <v>6</v>
      </c>
      <c r="C6" s="193"/>
      <c r="D6" s="195" t="s">
        <v>32</v>
      </c>
      <c r="E6" s="195"/>
      <c r="F6" s="195"/>
      <c r="G6" s="193" t="s">
        <v>33</v>
      </c>
      <c r="H6" s="193"/>
      <c r="I6" s="193">
        <v>2026</v>
      </c>
      <c r="J6" s="193"/>
      <c r="K6" s="3"/>
      <c r="L6" s="3"/>
      <c r="M6" s="3"/>
      <c r="S6" s="101"/>
    </row>
    <row r="7" spans="2:32" s="64" customFormat="1" ht="14.25" customHeight="1" x14ac:dyDescent="0.25">
      <c r="B7" s="193" t="s">
        <v>9</v>
      </c>
      <c r="C7" s="193"/>
      <c r="D7" s="195">
        <v>4</v>
      </c>
      <c r="E7" s="195"/>
      <c r="F7" s="195"/>
      <c r="G7" s="193" t="s">
        <v>8</v>
      </c>
      <c r="H7" s="193"/>
      <c r="I7" s="191">
        <v>0.15</v>
      </c>
      <c r="J7" s="191"/>
      <c r="K7" s="3"/>
      <c r="L7" s="3"/>
      <c r="M7" s="3"/>
      <c r="S7" s="101"/>
    </row>
    <row r="8" spans="2:32" s="64" customFormat="1" ht="15.75" customHeight="1" x14ac:dyDescent="0.25">
      <c r="B8" s="193" t="s">
        <v>11</v>
      </c>
      <c r="C8" s="193"/>
      <c r="D8" s="195">
        <v>238</v>
      </c>
      <c r="E8" s="195"/>
      <c r="F8" s="195"/>
      <c r="G8" s="193" t="s">
        <v>10</v>
      </c>
      <c r="H8" s="193"/>
      <c r="I8" s="191">
        <v>0.1</v>
      </c>
      <c r="J8" s="191"/>
      <c r="K8" s="3"/>
      <c r="L8" s="3"/>
      <c r="M8" s="3"/>
      <c r="S8" s="101"/>
    </row>
    <row r="9" spans="2:32" ht="15.75" customHeight="1" x14ac:dyDescent="0.25">
      <c r="B9" s="197"/>
      <c r="C9" s="197"/>
      <c r="D9" s="197"/>
      <c r="E9" s="197"/>
      <c r="F9" s="67"/>
    </row>
    <row r="10" spans="2:32" ht="49.5" customHeight="1" x14ac:dyDescent="0.25">
      <c r="B10" s="102"/>
      <c r="C10" s="103"/>
      <c r="D10" s="104"/>
      <c r="E10" s="104"/>
      <c r="F10" s="105"/>
      <c r="G10" s="187" t="s">
        <v>34</v>
      </c>
      <c r="H10" s="187"/>
      <c r="I10" s="187"/>
      <c r="J10" s="187"/>
      <c r="K10" s="187"/>
      <c r="L10" s="187"/>
      <c r="M10" s="187"/>
      <c r="N10" s="187"/>
      <c r="O10" s="147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06" customFormat="1" ht="57.75" customHeight="1" x14ac:dyDescent="0.25">
      <c r="B11" s="146" t="s">
        <v>29</v>
      </c>
      <c r="C11" s="146" t="s">
        <v>39</v>
      </c>
      <c r="D11" s="146" t="s">
        <v>11</v>
      </c>
      <c r="E11" s="146" t="s">
        <v>40</v>
      </c>
      <c r="F11" s="146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2" s="106" customFormat="1" ht="14.25" customHeight="1" x14ac:dyDescent="0.25">
      <c r="B12" s="183" t="s">
        <v>56</v>
      </c>
      <c r="C12" s="183"/>
      <c r="D12" s="1">
        <f t="shared" ref="D12:N12" si="0">D44</f>
        <v>238</v>
      </c>
      <c r="E12" s="114">
        <f t="shared" si="0"/>
        <v>582</v>
      </c>
      <c r="F12" s="114">
        <f t="shared" si="0"/>
        <v>34619</v>
      </c>
      <c r="G12" s="114">
        <f t="shared" si="0"/>
        <v>3689</v>
      </c>
      <c r="H12" s="115">
        <f t="shared" si="0"/>
        <v>123506.8</v>
      </c>
      <c r="I12" s="115">
        <f t="shared" si="0"/>
        <v>33.479750609921389</v>
      </c>
      <c r="J12" s="116">
        <f t="shared" si="0"/>
        <v>0.10655998151304197</v>
      </c>
      <c r="K12" s="115">
        <f t="shared" si="0"/>
        <v>16109.582608695651</v>
      </c>
      <c r="L12" s="115">
        <f t="shared" si="0"/>
        <v>107397.21739130435</v>
      </c>
      <c r="M12" s="115">
        <f t="shared" si="0"/>
        <v>7022.25</v>
      </c>
      <c r="N12" s="115">
        <f t="shared" si="0"/>
        <v>100374.96739130434</v>
      </c>
      <c r="O12" s="110"/>
      <c r="P12" s="117">
        <f t="shared" ref="P12:Y12" si="1">P44</f>
        <v>50049.53</v>
      </c>
      <c r="Q12" s="117">
        <f t="shared" si="1"/>
        <v>13.567235023041475</v>
      </c>
      <c r="R12" s="118">
        <f t="shared" si="1"/>
        <v>1187</v>
      </c>
      <c r="S12" s="119">
        <f t="shared" si="1"/>
        <v>0.32176741664407699</v>
      </c>
      <c r="T12" s="117">
        <f t="shared" si="1"/>
        <v>6528.199565217391</v>
      </c>
      <c r="U12" s="117">
        <f t="shared" si="1"/>
        <v>43521.330434782598</v>
      </c>
      <c r="V12" s="118">
        <f t="shared" si="1"/>
        <v>2611</v>
      </c>
      <c r="W12" s="116">
        <f t="shared" si="1"/>
        <v>0.70777988614800758</v>
      </c>
      <c r="X12" s="117">
        <f t="shared" si="1"/>
        <v>8610.2300000000014</v>
      </c>
      <c r="Y12" s="116">
        <f t="shared" si="1"/>
        <v>0.17203418293838127</v>
      </c>
      <c r="Z12" s="110"/>
      <c r="AA12" s="117">
        <f t="shared" ref="AA12:AF12" si="2">AA44</f>
        <v>123506.8</v>
      </c>
      <c r="AB12" s="117">
        <f t="shared" si="2"/>
        <v>100374.96739130434</v>
      </c>
      <c r="AC12" s="117">
        <f t="shared" si="2"/>
        <v>50049.53</v>
      </c>
      <c r="AD12" s="120">
        <f t="shared" si="2"/>
        <v>43521.330434782598</v>
      </c>
      <c r="AE12" s="117">
        <f t="shared" si="2"/>
        <v>173556.33</v>
      </c>
      <c r="AF12" s="117">
        <f t="shared" si="2"/>
        <v>143896.29782608693</v>
      </c>
    </row>
    <row r="13" spans="2:32" ht="15" customHeight="1" x14ac:dyDescent="0.25">
      <c r="B13" s="90">
        <v>46113</v>
      </c>
      <c r="C13" s="124" t="s">
        <v>64</v>
      </c>
      <c r="D13" s="123">
        <v>238</v>
      </c>
      <c r="E13" s="124">
        <v>17</v>
      </c>
      <c r="F13" s="124">
        <v>1012</v>
      </c>
      <c r="G13" s="124">
        <v>120</v>
      </c>
      <c r="H13" s="124">
        <v>4060</v>
      </c>
      <c r="I13" s="125">
        <f t="shared" ref="I13:I44" si="3">H13/G13</f>
        <v>33.833333333333336</v>
      </c>
      <c r="J13" s="126">
        <f t="shared" ref="J13:J43" si="4">G13/F13</f>
        <v>0.11857707509881422</v>
      </c>
      <c r="K13" s="127">
        <f t="shared" ref="K13:K43" si="5">H13*15/115</f>
        <v>529.56521739130437</v>
      </c>
      <c r="L13" s="127">
        <f t="shared" ref="L13:L43" si="6">H13-K13</f>
        <v>3530.4347826086955</v>
      </c>
      <c r="M13" s="124">
        <v>116.88</v>
      </c>
      <c r="N13" s="129">
        <f t="shared" ref="N13:N43" si="7">L13-M13</f>
        <v>3413.5547826086954</v>
      </c>
      <c r="O13" s="130"/>
      <c r="P13" s="124">
        <v>2137</v>
      </c>
      <c r="Q13" s="125">
        <f t="shared" ref="Q13:Q44" si="8">P13/G13</f>
        <v>17.808333333333334</v>
      </c>
      <c r="R13" s="124">
        <v>40</v>
      </c>
      <c r="S13" s="132">
        <f t="shared" ref="S13:S44" si="9">(R13/G13)</f>
        <v>0.33333333333333331</v>
      </c>
      <c r="T13" s="133">
        <f t="shared" ref="T13:T43" si="10">P13*15/115</f>
        <v>278.73913043478262</v>
      </c>
      <c r="U13" s="133">
        <f t="shared" ref="U13:U43" si="11">P13-T13</f>
        <v>1858.2608695652175</v>
      </c>
      <c r="V13" s="124">
        <v>119</v>
      </c>
      <c r="W13" s="126">
        <f t="shared" ref="W13:W44" si="12">V13/G13</f>
        <v>0.9916666666666667</v>
      </c>
      <c r="X13" s="124">
        <v>381.06</v>
      </c>
      <c r="Y13" s="126">
        <f t="shared" ref="Y13:Y44" si="13">(X13/P13)</f>
        <v>0.17831539541413197</v>
      </c>
      <c r="Z13" s="134"/>
      <c r="AA13" s="125">
        <f t="shared" ref="AA13:AA43" si="14">H13</f>
        <v>4060</v>
      </c>
      <c r="AB13" s="125">
        <f t="shared" ref="AB13:AB43" si="15">N13</f>
        <v>3413.5547826086954</v>
      </c>
      <c r="AC13" s="135">
        <f t="shared" ref="AC13:AC43" si="16">P13</f>
        <v>2137</v>
      </c>
      <c r="AD13" s="136">
        <f t="shared" ref="AD13:AD43" si="17">U13</f>
        <v>1858.2608695652175</v>
      </c>
      <c r="AE13" s="125">
        <f t="shared" ref="AE13:AE43" si="18">AA13+AC13</f>
        <v>6197</v>
      </c>
      <c r="AF13" s="46">
        <f t="shared" ref="AF13:AF43" si="19">AB13+AD13</f>
        <v>5271.8156521739129</v>
      </c>
    </row>
    <row r="14" spans="2:32" ht="15" customHeight="1" x14ac:dyDescent="0.25">
      <c r="B14" s="90">
        <v>46114</v>
      </c>
      <c r="C14" s="124" t="s">
        <v>57</v>
      </c>
      <c r="D14" s="123">
        <v>238</v>
      </c>
      <c r="E14" s="124">
        <v>21</v>
      </c>
      <c r="F14" s="124">
        <v>1234</v>
      </c>
      <c r="G14" s="124">
        <v>294</v>
      </c>
      <c r="H14" s="124">
        <v>9748</v>
      </c>
      <c r="I14" s="125">
        <f t="shared" si="3"/>
        <v>33.156462585034014</v>
      </c>
      <c r="J14" s="126">
        <f t="shared" si="4"/>
        <v>0.23824959481361427</v>
      </c>
      <c r="K14" s="127">
        <f t="shared" si="5"/>
        <v>1271.4782608695652</v>
      </c>
      <c r="L14" s="127">
        <f t="shared" si="6"/>
        <v>8476.5217391304341</v>
      </c>
      <c r="M14" s="124">
        <v>351.34</v>
      </c>
      <c r="N14" s="129">
        <f t="shared" si="7"/>
        <v>8125.1817391304339</v>
      </c>
      <c r="O14" s="130"/>
      <c r="P14" s="124">
        <v>3480</v>
      </c>
      <c r="Q14" s="125">
        <f t="shared" si="8"/>
        <v>11.836734693877551</v>
      </c>
      <c r="R14" s="124">
        <v>76</v>
      </c>
      <c r="S14" s="132">
        <f t="shared" si="9"/>
        <v>0.25850340136054423</v>
      </c>
      <c r="T14" s="133">
        <f t="shared" si="10"/>
        <v>453.91304347826087</v>
      </c>
      <c r="U14" s="133">
        <f t="shared" si="11"/>
        <v>3026.086956521739</v>
      </c>
      <c r="V14" s="124">
        <v>176</v>
      </c>
      <c r="W14" s="126">
        <f t="shared" si="12"/>
        <v>0.59863945578231292</v>
      </c>
      <c r="X14" s="124">
        <v>547.89</v>
      </c>
      <c r="Y14" s="126">
        <f t="shared" si="13"/>
        <v>0.15743965517241379</v>
      </c>
      <c r="Z14" s="134"/>
      <c r="AA14" s="125">
        <f t="shared" si="14"/>
        <v>9748</v>
      </c>
      <c r="AB14" s="125">
        <f t="shared" si="15"/>
        <v>8125.1817391304339</v>
      </c>
      <c r="AC14" s="135">
        <f t="shared" si="16"/>
        <v>3480</v>
      </c>
      <c r="AD14" s="136">
        <f t="shared" si="17"/>
        <v>3026.086956521739</v>
      </c>
      <c r="AE14" s="125">
        <f t="shared" si="18"/>
        <v>13228</v>
      </c>
      <c r="AF14" s="46">
        <f t="shared" si="19"/>
        <v>11151.268695652172</v>
      </c>
    </row>
    <row r="15" spans="2:32" ht="15" customHeight="1" x14ac:dyDescent="0.25">
      <c r="B15" s="90">
        <v>46115</v>
      </c>
      <c r="C15" s="124" t="s">
        <v>59</v>
      </c>
      <c r="D15" s="123">
        <v>238</v>
      </c>
      <c r="E15" s="124">
        <v>22</v>
      </c>
      <c r="F15" s="124">
        <v>1298</v>
      </c>
      <c r="G15" s="124">
        <v>445</v>
      </c>
      <c r="H15" s="124">
        <v>14870</v>
      </c>
      <c r="I15" s="125">
        <f t="shared" si="3"/>
        <v>33.415730337078649</v>
      </c>
      <c r="J15" s="126">
        <f t="shared" si="4"/>
        <v>0.34283513097072421</v>
      </c>
      <c r="K15" s="127">
        <f t="shared" si="5"/>
        <v>1939.5652173913043</v>
      </c>
      <c r="L15" s="127">
        <f t="shared" si="6"/>
        <v>12930.434782608696</v>
      </c>
      <c r="M15" s="124">
        <v>670.51</v>
      </c>
      <c r="N15" s="129">
        <f t="shared" si="7"/>
        <v>12259.924782608696</v>
      </c>
      <c r="O15" s="130"/>
      <c r="P15" s="124">
        <v>6259</v>
      </c>
      <c r="Q15" s="125">
        <f t="shared" si="8"/>
        <v>14.065168539325843</v>
      </c>
      <c r="R15" s="124">
        <v>107</v>
      </c>
      <c r="S15" s="132">
        <f t="shared" si="9"/>
        <v>0.24044943820224718</v>
      </c>
      <c r="T15" s="133">
        <f t="shared" si="10"/>
        <v>816.39130434782612</v>
      </c>
      <c r="U15" s="133">
        <f t="shared" si="11"/>
        <v>5442.608695652174</v>
      </c>
      <c r="V15" s="124">
        <v>317</v>
      </c>
      <c r="W15" s="126">
        <f t="shared" si="12"/>
        <v>0.71235955056179778</v>
      </c>
      <c r="X15" s="124">
        <v>1018.33</v>
      </c>
      <c r="Y15" s="126">
        <f t="shared" si="13"/>
        <v>0.16269851413963893</v>
      </c>
      <c r="Z15" s="134"/>
      <c r="AA15" s="125">
        <f t="shared" si="14"/>
        <v>14870</v>
      </c>
      <c r="AB15" s="125">
        <f t="shared" si="15"/>
        <v>12259.924782608696</v>
      </c>
      <c r="AC15" s="135">
        <f t="shared" si="16"/>
        <v>6259</v>
      </c>
      <c r="AD15" s="136">
        <f t="shared" si="17"/>
        <v>5442.608695652174</v>
      </c>
      <c r="AE15" s="125">
        <f t="shared" si="18"/>
        <v>21129</v>
      </c>
      <c r="AF15" s="46">
        <f t="shared" si="19"/>
        <v>17702.53347826087</v>
      </c>
    </row>
    <row r="16" spans="2:32" ht="15" customHeight="1" x14ac:dyDescent="0.25">
      <c r="B16" s="90">
        <v>46116</v>
      </c>
      <c r="C16" s="124" t="s">
        <v>60</v>
      </c>
      <c r="D16" s="123">
        <v>238</v>
      </c>
      <c r="E16" s="124">
        <v>25</v>
      </c>
      <c r="F16" s="155">
        <v>1472</v>
      </c>
      <c r="G16" s="124">
        <v>253</v>
      </c>
      <c r="H16" s="124">
        <v>8516</v>
      </c>
      <c r="I16" s="125">
        <f t="shared" si="3"/>
        <v>33.660079051383399</v>
      </c>
      <c r="J16" s="126">
        <f t="shared" si="4"/>
        <v>0.171875</v>
      </c>
      <c r="K16" s="127">
        <f t="shared" si="5"/>
        <v>1110.7826086956522</v>
      </c>
      <c r="L16" s="127">
        <f t="shared" si="6"/>
        <v>7405.217391304348</v>
      </c>
      <c r="M16" s="124">
        <v>501.7</v>
      </c>
      <c r="N16" s="129">
        <f t="shared" si="7"/>
        <v>6903.5173913043482</v>
      </c>
      <c r="O16" s="130"/>
      <c r="P16" s="124">
        <v>3268</v>
      </c>
      <c r="Q16" s="125">
        <f t="shared" si="8"/>
        <v>12.91699604743083</v>
      </c>
      <c r="R16" s="124">
        <v>77</v>
      </c>
      <c r="S16" s="132">
        <f t="shared" si="9"/>
        <v>0.30434782608695654</v>
      </c>
      <c r="T16" s="133">
        <f t="shared" si="10"/>
        <v>426.26086956521738</v>
      </c>
      <c r="U16" s="133">
        <f t="shared" si="11"/>
        <v>2841.7391304347825</v>
      </c>
      <c r="V16" s="124">
        <v>161</v>
      </c>
      <c r="W16" s="126">
        <f t="shared" si="12"/>
        <v>0.63636363636363635</v>
      </c>
      <c r="X16" s="124">
        <v>552.6</v>
      </c>
      <c r="Y16" s="126">
        <f t="shared" si="13"/>
        <v>0.16909424724602204</v>
      </c>
      <c r="Z16" s="134"/>
      <c r="AA16" s="125">
        <f t="shared" si="14"/>
        <v>8516</v>
      </c>
      <c r="AB16" s="125">
        <f t="shared" si="15"/>
        <v>6903.5173913043482</v>
      </c>
      <c r="AC16" s="135">
        <f t="shared" si="16"/>
        <v>3268</v>
      </c>
      <c r="AD16" s="136">
        <f t="shared" si="17"/>
        <v>2841.7391304347825</v>
      </c>
      <c r="AE16" s="125">
        <f t="shared" si="18"/>
        <v>11784</v>
      </c>
      <c r="AF16" s="46">
        <f t="shared" si="19"/>
        <v>9745.2565217391311</v>
      </c>
    </row>
    <row r="17" spans="2:32" ht="15" customHeight="1" x14ac:dyDescent="0.25">
      <c r="B17" s="90">
        <v>46117</v>
      </c>
      <c r="C17" s="124" t="s">
        <v>61</v>
      </c>
      <c r="D17" s="123">
        <v>238</v>
      </c>
      <c r="E17" s="124">
        <v>19</v>
      </c>
      <c r="F17" s="155">
        <v>1133</v>
      </c>
      <c r="G17" s="124">
        <v>171</v>
      </c>
      <c r="H17" s="124">
        <v>5702</v>
      </c>
      <c r="I17" s="125">
        <f t="shared" si="3"/>
        <v>33.345029239766085</v>
      </c>
      <c r="J17" s="126">
        <f t="shared" si="4"/>
        <v>0.15092674315975288</v>
      </c>
      <c r="K17" s="127">
        <f t="shared" si="5"/>
        <v>743.73913043478262</v>
      </c>
      <c r="L17" s="127">
        <f t="shared" si="6"/>
        <v>4958.260869565217</v>
      </c>
      <c r="M17" s="124">
        <v>426.31</v>
      </c>
      <c r="N17" s="129">
        <f t="shared" si="7"/>
        <v>4531.9508695652166</v>
      </c>
      <c r="O17" s="130"/>
      <c r="P17" s="124">
        <v>1368.93</v>
      </c>
      <c r="Q17" s="125">
        <f t="shared" si="8"/>
        <v>8.0054385964912278</v>
      </c>
      <c r="R17" s="124">
        <v>40</v>
      </c>
      <c r="S17" s="132">
        <f t="shared" si="9"/>
        <v>0.23391812865497075</v>
      </c>
      <c r="T17" s="133">
        <f t="shared" si="10"/>
        <v>178.55608695652174</v>
      </c>
      <c r="U17" s="133">
        <f t="shared" si="11"/>
        <v>1190.3739130434783</v>
      </c>
      <c r="V17" s="124">
        <v>78</v>
      </c>
      <c r="W17" s="126">
        <f t="shared" si="12"/>
        <v>0.45614035087719296</v>
      </c>
      <c r="X17" s="124">
        <v>279.73</v>
      </c>
      <c r="Y17" s="126">
        <f t="shared" si="13"/>
        <v>0.20434207738890958</v>
      </c>
      <c r="Z17" s="134"/>
      <c r="AA17" s="125">
        <f t="shared" si="14"/>
        <v>5702</v>
      </c>
      <c r="AB17" s="125">
        <f t="shared" si="15"/>
        <v>4531.9508695652166</v>
      </c>
      <c r="AC17" s="135">
        <f t="shared" si="16"/>
        <v>1368.93</v>
      </c>
      <c r="AD17" s="136">
        <f t="shared" si="17"/>
        <v>1190.3739130434783</v>
      </c>
      <c r="AE17" s="125">
        <f t="shared" si="18"/>
        <v>7070.93</v>
      </c>
      <c r="AF17" s="46">
        <f t="shared" si="19"/>
        <v>5722.3247826086954</v>
      </c>
    </row>
    <row r="18" spans="2:32" ht="15" customHeight="1" x14ac:dyDescent="0.25">
      <c r="B18" s="90">
        <v>46118</v>
      </c>
      <c r="C18" s="124" t="s">
        <v>62</v>
      </c>
      <c r="D18" s="123">
        <v>238</v>
      </c>
      <c r="E18" s="124">
        <v>20</v>
      </c>
      <c r="F18" s="155">
        <v>1197</v>
      </c>
      <c r="G18" s="124">
        <v>186</v>
      </c>
      <c r="H18" s="124">
        <v>6212</v>
      </c>
      <c r="I18" s="125">
        <f t="shared" si="3"/>
        <v>33.397849462365592</v>
      </c>
      <c r="J18" s="126">
        <f t="shared" si="4"/>
        <v>0.15538847117794485</v>
      </c>
      <c r="K18" s="127">
        <f t="shared" si="5"/>
        <v>810.26086956521738</v>
      </c>
      <c r="L18" s="127">
        <f t="shared" si="6"/>
        <v>5401.739130434783</v>
      </c>
      <c r="M18" s="124">
        <v>515.19000000000005</v>
      </c>
      <c r="N18" s="129">
        <f t="shared" si="7"/>
        <v>4886.5491304347834</v>
      </c>
      <c r="O18" s="130"/>
      <c r="P18" s="124">
        <v>1347</v>
      </c>
      <c r="Q18" s="125">
        <f t="shared" si="8"/>
        <v>7.241935483870968</v>
      </c>
      <c r="R18" s="124">
        <v>44</v>
      </c>
      <c r="S18" s="132">
        <f t="shared" si="9"/>
        <v>0.23655913978494625</v>
      </c>
      <c r="T18" s="133">
        <f t="shared" si="10"/>
        <v>175.69565217391303</v>
      </c>
      <c r="U18" s="133">
        <f t="shared" si="11"/>
        <v>1171.304347826087</v>
      </c>
      <c r="V18" s="124">
        <v>69</v>
      </c>
      <c r="W18" s="126">
        <f t="shared" si="12"/>
        <v>0.37096774193548387</v>
      </c>
      <c r="X18" s="124">
        <v>239.67</v>
      </c>
      <c r="Y18" s="126">
        <f t="shared" si="13"/>
        <v>0.17792873051224944</v>
      </c>
      <c r="Z18" s="134"/>
      <c r="AA18" s="125">
        <f t="shared" si="14"/>
        <v>6212</v>
      </c>
      <c r="AB18" s="125">
        <f t="shared" si="15"/>
        <v>4886.5491304347834</v>
      </c>
      <c r="AC18" s="135">
        <f t="shared" si="16"/>
        <v>1347</v>
      </c>
      <c r="AD18" s="136">
        <f t="shared" si="17"/>
        <v>1171.304347826087</v>
      </c>
      <c r="AE18" s="125">
        <f t="shared" si="18"/>
        <v>7559</v>
      </c>
      <c r="AF18" s="46">
        <f t="shared" si="19"/>
        <v>6057.8534782608704</v>
      </c>
    </row>
    <row r="19" spans="2:32" ht="15" customHeight="1" x14ac:dyDescent="0.25">
      <c r="B19" s="90">
        <v>46119</v>
      </c>
      <c r="C19" s="124" t="s">
        <v>63</v>
      </c>
      <c r="D19" s="123">
        <v>238</v>
      </c>
      <c r="E19" s="124">
        <v>19</v>
      </c>
      <c r="F19" s="155">
        <v>1133</v>
      </c>
      <c r="G19" s="124">
        <v>145</v>
      </c>
      <c r="H19" s="124">
        <v>4820</v>
      </c>
      <c r="I19" s="125">
        <f t="shared" si="3"/>
        <v>33.241379310344826</v>
      </c>
      <c r="J19" s="126">
        <f t="shared" si="4"/>
        <v>0.12797881729920565</v>
      </c>
      <c r="K19" s="127">
        <f t="shared" si="5"/>
        <v>628.695652173913</v>
      </c>
      <c r="L19" s="127">
        <f t="shared" si="6"/>
        <v>4191.304347826087</v>
      </c>
      <c r="M19" s="124">
        <v>330.12</v>
      </c>
      <c r="N19" s="129">
        <f t="shared" si="7"/>
        <v>3861.1843478260871</v>
      </c>
      <c r="O19" s="130"/>
      <c r="P19" s="124">
        <v>1764</v>
      </c>
      <c r="Q19" s="125">
        <f t="shared" si="8"/>
        <v>12.165517241379311</v>
      </c>
      <c r="R19" s="124">
        <v>44</v>
      </c>
      <c r="S19" s="132">
        <f t="shared" si="9"/>
        <v>0.30344827586206896</v>
      </c>
      <c r="T19" s="133">
        <f t="shared" si="10"/>
        <v>230.08695652173913</v>
      </c>
      <c r="U19" s="133">
        <f t="shared" si="11"/>
        <v>1533.913043478261</v>
      </c>
      <c r="V19" s="124">
        <v>86</v>
      </c>
      <c r="W19" s="126">
        <f t="shared" si="12"/>
        <v>0.59310344827586203</v>
      </c>
      <c r="X19" s="124">
        <v>269.27</v>
      </c>
      <c r="Y19" s="126">
        <f t="shared" si="13"/>
        <v>0.15264739229024943</v>
      </c>
      <c r="Z19" s="134"/>
      <c r="AA19" s="125">
        <f t="shared" si="14"/>
        <v>4820</v>
      </c>
      <c r="AB19" s="125">
        <f t="shared" si="15"/>
        <v>3861.1843478260871</v>
      </c>
      <c r="AC19" s="135">
        <f t="shared" si="16"/>
        <v>1764</v>
      </c>
      <c r="AD19" s="136">
        <f t="shared" si="17"/>
        <v>1533.913043478261</v>
      </c>
      <c r="AE19" s="125">
        <f t="shared" si="18"/>
        <v>6584</v>
      </c>
      <c r="AF19" s="46">
        <f t="shared" si="19"/>
        <v>5395.0973913043481</v>
      </c>
    </row>
    <row r="20" spans="2:32" ht="15" customHeight="1" x14ac:dyDescent="0.25">
      <c r="B20" s="90">
        <v>46120</v>
      </c>
      <c r="C20" s="124" t="s">
        <v>64</v>
      </c>
      <c r="D20" s="123">
        <v>238</v>
      </c>
      <c r="E20" s="124">
        <v>19</v>
      </c>
      <c r="F20" s="155">
        <v>1133</v>
      </c>
      <c r="G20" s="124">
        <v>130</v>
      </c>
      <c r="H20" s="124">
        <v>4360</v>
      </c>
      <c r="I20" s="125">
        <f t="shared" si="3"/>
        <v>33.53846153846154</v>
      </c>
      <c r="J20" s="126">
        <f t="shared" si="4"/>
        <v>0.1147396293027361</v>
      </c>
      <c r="K20" s="127">
        <f t="shared" si="5"/>
        <v>568.695652173913</v>
      </c>
      <c r="L20" s="127">
        <f t="shared" si="6"/>
        <v>3791.304347826087</v>
      </c>
      <c r="M20" s="124">
        <v>323.51</v>
      </c>
      <c r="N20" s="129">
        <f t="shared" si="7"/>
        <v>3467.7943478260868</v>
      </c>
      <c r="O20" s="130"/>
      <c r="P20" s="124">
        <v>1452</v>
      </c>
      <c r="Q20" s="125">
        <f t="shared" si="8"/>
        <v>11.169230769230769</v>
      </c>
      <c r="R20" s="124">
        <v>37</v>
      </c>
      <c r="S20" s="132">
        <f t="shared" si="9"/>
        <v>0.2846153846153846</v>
      </c>
      <c r="T20" s="133">
        <f t="shared" si="10"/>
        <v>189.39130434782609</v>
      </c>
      <c r="U20" s="133">
        <f t="shared" si="11"/>
        <v>1262.608695652174</v>
      </c>
      <c r="V20" s="124">
        <v>77</v>
      </c>
      <c r="W20" s="126">
        <f t="shared" si="12"/>
        <v>0.59230769230769231</v>
      </c>
      <c r="X20" s="124">
        <v>273.94</v>
      </c>
      <c r="Y20" s="126">
        <f t="shared" si="13"/>
        <v>0.18866391184573003</v>
      </c>
      <c r="Z20" s="134"/>
      <c r="AA20" s="125">
        <f t="shared" si="14"/>
        <v>4360</v>
      </c>
      <c r="AB20" s="125">
        <f t="shared" si="15"/>
        <v>3467.7943478260868</v>
      </c>
      <c r="AC20" s="135">
        <f t="shared" si="16"/>
        <v>1452</v>
      </c>
      <c r="AD20" s="136">
        <f t="shared" si="17"/>
        <v>1262.608695652174</v>
      </c>
      <c r="AE20" s="125">
        <f t="shared" si="18"/>
        <v>5812</v>
      </c>
      <c r="AF20" s="46">
        <f t="shared" si="19"/>
        <v>4730.4030434782608</v>
      </c>
    </row>
    <row r="21" spans="2:32" ht="15" customHeight="1" x14ac:dyDescent="0.25">
      <c r="B21" s="90">
        <v>46121</v>
      </c>
      <c r="C21" s="124" t="s">
        <v>57</v>
      </c>
      <c r="D21" s="123">
        <v>238</v>
      </c>
      <c r="E21" s="124">
        <v>20</v>
      </c>
      <c r="F21" s="155">
        <v>1170</v>
      </c>
      <c r="G21" s="124">
        <v>306</v>
      </c>
      <c r="H21" s="124">
        <v>10342</v>
      </c>
      <c r="I21" s="125">
        <f t="shared" si="3"/>
        <v>33.79738562091503</v>
      </c>
      <c r="J21" s="126">
        <f t="shared" si="4"/>
        <v>0.26153846153846155</v>
      </c>
      <c r="K21" s="127">
        <f t="shared" si="5"/>
        <v>1348.9565217391305</v>
      </c>
      <c r="L21" s="127">
        <f t="shared" si="6"/>
        <v>8993.04347826087</v>
      </c>
      <c r="M21" s="124">
        <v>586.66</v>
      </c>
      <c r="N21" s="129">
        <f t="shared" si="7"/>
        <v>8406.3834782608701</v>
      </c>
      <c r="O21" s="130"/>
      <c r="P21" s="124">
        <v>3742</v>
      </c>
      <c r="Q21" s="125">
        <f t="shared" si="8"/>
        <v>12.22875816993464</v>
      </c>
      <c r="R21" s="124">
        <v>86</v>
      </c>
      <c r="S21" s="132">
        <f t="shared" si="9"/>
        <v>0.28104575163398693</v>
      </c>
      <c r="T21" s="133">
        <f t="shared" si="10"/>
        <v>488.08695652173913</v>
      </c>
      <c r="U21" s="133">
        <f t="shared" si="11"/>
        <v>3253.913043478261</v>
      </c>
      <c r="V21" s="124">
        <v>191</v>
      </c>
      <c r="W21" s="126">
        <f t="shared" si="12"/>
        <v>0.62418300653594772</v>
      </c>
      <c r="X21" s="124">
        <v>661.68</v>
      </c>
      <c r="Y21" s="126">
        <f t="shared" si="13"/>
        <v>0.17682522715125601</v>
      </c>
      <c r="Z21" s="134"/>
      <c r="AA21" s="125">
        <f t="shared" si="14"/>
        <v>10342</v>
      </c>
      <c r="AB21" s="125">
        <f t="shared" si="15"/>
        <v>8406.3834782608701</v>
      </c>
      <c r="AC21" s="135">
        <f t="shared" si="16"/>
        <v>3742</v>
      </c>
      <c r="AD21" s="136">
        <f t="shared" si="17"/>
        <v>3253.913043478261</v>
      </c>
      <c r="AE21" s="125">
        <f t="shared" si="18"/>
        <v>14084</v>
      </c>
      <c r="AF21" s="46">
        <f t="shared" si="19"/>
        <v>11660.296521739132</v>
      </c>
    </row>
    <row r="22" spans="2:32" ht="15" customHeight="1" x14ac:dyDescent="0.25">
      <c r="B22" s="90">
        <v>46122</v>
      </c>
      <c r="C22" s="124" t="s">
        <v>59</v>
      </c>
      <c r="D22" s="123">
        <v>238</v>
      </c>
      <c r="E22" s="124">
        <v>19</v>
      </c>
      <c r="F22" s="155">
        <v>1106</v>
      </c>
      <c r="G22" s="124">
        <v>437</v>
      </c>
      <c r="H22" s="124">
        <v>14654</v>
      </c>
      <c r="I22" s="125">
        <f t="shared" si="3"/>
        <v>33.533180778032033</v>
      </c>
      <c r="J22" s="126">
        <f t="shared" si="4"/>
        <v>0.39511754068716093</v>
      </c>
      <c r="K22" s="127">
        <f t="shared" si="5"/>
        <v>1911.391304347826</v>
      </c>
      <c r="L22" s="127">
        <f t="shared" si="6"/>
        <v>12742.608695652174</v>
      </c>
      <c r="M22" s="124">
        <v>823.56</v>
      </c>
      <c r="N22" s="129">
        <f t="shared" si="7"/>
        <v>11919.048695652175</v>
      </c>
      <c r="O22" s="130"/>
      <c r="P22" s="124">
        <v>4449</v>
      </c>
      <c r="Q22" s="125">
        <f t="shared" si="8"/>
        <v>10.180778032036613</v>
      </c>
      <c r="R22" s="124">
        <v>118</v>
      </c>
      <c r="S22" s="132">
        <f t="shared" si="9"/>
        <v>0.27002288329519453</v>
      </c>
      <c r="T22" s="133">
        <f t="shared" si="10"/>
        <v>580.304347826087</v>
      </c>
      <c r="U22" s="133">
        <f t="shared" si="11"/>
        <v>3868.695652173913</v>
      </c>
      <c r="V22" s="124">
        <v>224</v>
      </c>
      <c r="W22" s="126">
        <f t="shared" si="12"/>
        <v>0.51258581235697942</v>
      </c>
      <c r="X22" s="124">
        <v>758</v>
      </c>
      <c r="Y22" s="126">
        <f t="shared" si="13"/>
        <v>0.17037536525061811</v>
      </c>
      <c r="Z22" s="134"/>
      <c r="AA22" s="125">
        <f t="shared" si="14"/>
        <v>14654</v>
      </c>
      <c r="AB22" s="125">
        <f t="shared" si="15"/>
        <v>11919.048695652175</v>
      </c>
      <c r="AC22" s="135">
        <f t="shared" si="16"/>
        <v>4449</v>
      </c>
      <c r="AD22" s="136">
        <f t="shared" si="17"/>
        <v>3868.695652173913</v>
      </c>
      <c r="AE22" s="125">
        <f t="shared" si="18"/>
        <v>19103</v>
      </c>
      <c r="AF22" s="46">
        <f t="shared" si="19"/>
        <v>15787.744347826087</v>
      </c>
    </row>
    <row r="23" spans="2:32" ht="15" customHeight="1" x14ac:dyDescent="0.25">
      <c r="B23" s="90">
        <v>46123</v>
      </c>
      <c r="C23" s="124" t="s">
        <v>60</v>
      </c>
      <c r="D23" s="123">
        <v>238</v>
      </c>
      <c r="E23" s="124">
        <v>22</v>
      </c>
      <c r="F23" s="155">
        <v>1280</v>
      </c>
      <c r="G23" s="124">
        <v>159</v>
      </c>
      <c r="H23" s="124">
        <v>5358</v>
      </c>
      <c r="I23" s="125">
        <f t="shared" si="3"/>
        <v>33.698113207547166</v>
      </c>
      <c r="J23" s="126">
        <f t="shared" si="4"/>
        <v>0.12421875</v>
      </c>
      <c r="K23" s="127">
        <f t="shared" si="5"/>
        <v>698.86956521739125</v>
      </c>
      <c r="L23" s="127">
        <f t="shared" si="6"/>
        <v>4659.130434782609</v>
      </c>
      <c r="M23" s="124">
        <v>275.33</v>
      </c>
      <c r="N23" s="129">
        <f t="shared" si="7"/>
        <v>4383.800434782609</v>
      </c>
      <c r="O23" s="130"/>
      <c r="P23" s="124">
        <v>3275</v>
      </c>
      <c r="Q23" s="125">
        <f t="shared" si="8"/>
        <v>20.59748427672956</v>
      </c>
      <c r="R23" s="124">
        <v>60</v>
      </c>
      <c r="S23" s="132">
        <f t="shared" si="9"/>
        <v>0.37735849056603776</v>
      </c>
      <c r="T23" s="133">
        <f t="shared" si="10"/>
        <v>427.17391304347825</v>
      </c>
      <c r="U23" s="133">
        <f t="shared" si="11"/>
        <v>2847.826086956522</v>
      </c>
      <c r="V23" s="124">
        <v>155</v>
      </c>
      <c r="W23" s="126">
        <f t="shared" si="12"/>
        <v>0.97484276729559749</v>
      </c>
      <c r="X23" s="124">
        <v>526.54</v>
      </c>
      <c r="Y23" s="126">
        <f t="shared" si="13"/>
        <v>0.16077557251908395</v>
      </c>
      <c r="Z23" s="134"/>
      <c r="AA23" s="125">
        <f t="shared" si="14"/>
        <v>5358</v>
      </c>
      <c r="AB23" s="125">
        <f t="shared" si="15"/>
        <v>4383.800434782609</v>
      </c>
      <c r="AC23" s="135">
        <f t="shared" si="16"/>
        <v>3275</v>
      </c>
      <c r="AD23" s="136">
        <f t="shared" si="17"/>
        <v>2847.826086956522</v>
      </c>
      <c r="AE23" s="125">
        <f t="shared" si="18"/>
        <v>8633</v>
      </c>
      <c r="AF23" s="46">
        <f t="shared" si="19"/>
        <v>7231.626521739131</v>
      </c>
    </row>
    <row r="24" spans="2:32" ht="15" customHeight="1" x14ac:dyDescent="0.25">
      <c r="B24" s="90">
        <v>46124</v>
      </c>
      <c r="C24" s="124" t="s">
        <v>61</v>
      </c>
      <c r="D24" s="123">
        <v>238</v>
      </c>
      <c r="E24" s="124">
        <v>19</v>
      </c>
      <c r="F24" s="124">
        <v>1106</v>
      </c>
      <c r="G24" s="124">
        <v>35</v>
      </c>
      <c r="H24" s="124">
        <v>1200</v>
      </c>
      <c r="I24" s="125">
        <f t="shared" si="3"/>
        <v>34.285714285714285</v>
      </c>
      <c r="J24" s="126">
        <f t="shared" si="4"/>
        <v>3.1645569620253167E-2</v>
      </c>
      <c r="K24" s="127">
        <f t="shared" si="5"/>
        <v>156.52173913043478</v>
      </c>
      <c r="L24" s="127">
        <f t="shared" si="6"/>
        <v>1043.4782608695652</v>
      </c>
      <c r="M24" s="124">
        <v>79.31</v>
      </c>
      <c r="N24" s="129">
        <f t="shared" si="7"/>
        <v>964.1682608695653</v>
      </c>
      <c r="O24" s="130"/>
      <c r="P24" s="124">
        <v>753</v>
      </c>
      <c r="Q24" s="125">
        <f t="shared" si="8"/>
        <v>21.514285714285716</v>
      </c>
      <c r="R24" s="124">
        <v>24</v>
      </c>
      <c r="S24" s="132">
        <f t="shared" si="9"/>
        <v>0.68571428571428572</v>
      </c>
      <c r="T24" s="133">
        <f t="shared" si="10"/>
        <v>98.217391304347828</v>
      </c>
      <c r="U24" s="133">
        <f t="shared" si="11"/>
        <v>654.78260869565213</v>
      </c>
      <c r="V24" s="124">
        <v>38</v>
      </c>
      <c r="W24" s="126">
        <f t="shared" si="12"/>
        <v>1.0857142857142856</v>
      </c>
      <c r="X24" s="124">
        <v>116.66</v>
      </c>
      <c r="Y24" s="126">
        <f t="shared" si="13"/>
        <v>0.1549269588313413</v>
      </c>
      <c r="Z24" s="134"/>
      <c r="AA24" s="125">
        <f t="shared" si="14"/>
        <v>1200</v>
      </c>
      <c r="AB24" s="125">
        <f t="shared" si="15"/>
        <v>964.1682608695653</v>
      </c>
      <c r="AC24" s="135">
        <f t="shared" si="16"/>
        <v>753</v>
      </c>
      <c r="AD24" s="136">
        <f t="shared" si="17"/>
        <v>654.78260869565213</v>
      </c>
      <c r="AE24" s="125">
        <f t="shared" si="18"/>
        <v>1953</v>
      </c>
      <c r="AF24" s="46">
        <f t="shared" si="19"/>
        <v>1618.9508695652175</v>
      </c>
    </row>
    <row r="25" spans="2:32" ht="15" customHeight="1" x14ac:dyDescent="0.25">
      <c r="B25" s="90">
        <v>46125</v>
      </c>
      <c r="C25" s="124" t="s">
        <v>62</v>
      </c>
      <c r="D25" s="123">
        <v>238</v>
      </c>
      <c r="E25" s="124">
        <v>19</v>
      </c>
      <c r="F25" s="124">
        <v>1106</v>
      </c>
      <c r="G25" s="124">
        <v>68</v>
      </c>
      <c r="H25" s="124">
        <v>2306</v>
      </c>
      <c r="I25" s="125">
        <f t="shared" si="3"/>
        <v>33.911764705882355</v>
      </c>
      <c r="J25" s="126">
        <f t="shared" si="4"/>
        <v>6.148282097649186E-2</v>
      </c>
      <c r="K25" s="127">
        <f t="shared" si="5"/>
        <v>300.78260869565219</v>
      </c>
      <c r="L25" s="127">
        <f t="shared" si="6"/>
        <v>2005.2173913043478</v>
      </c>
      <c r="M25" s="124">
        <v>104.18</v>
      </c>
      <c r="N25" s="129">
        <f t="shared" si="7"/>
        <v>1901.0373913043477</v>
      </c>
      <c r="O25" s="130"/>
      <c r="P25" s="124">
        <v>1066</v>
      </c>
      <c r="Q25" s="125">
        <f t="shared" si="8"/>
        <v>15.676470588235293</v>
      </c>
      <c r="R25" s="124">
        <v>19</v>
      </c>
      <c r="S25" s="132">
        <f t="shared" si="9"/>
        <v>0.27941176470588236</v>
      </c>
      <c r="T25" s="133">
        <f t="shared" si="10"/>
        <v>139.04347826086956</v>
      </c>
      <c r="U25" s="133">
        <f t="shared" si="11"/>
        <v>926.95652173913049</v>
      </c>
      <c r="V25" s="124">
        <v>48</v>
      </c>
      <c r="W25" s="126">
        <f t="shared" si="12"/>
        <v>0.70588235294117652</v>
      </c>
      <c r="X25" s="124">
        <v>176.32</v>
      </c>
      <c r="Y25" s="126">
        <f t="shared" si="13"/>
        <v>0.16540337711069417</v>
      </c>
      <c r="Z25" s="134"/>
      <c r="AA25" s="125">
        <f t="shared" si="14"/>
        <v>2306</v>
      </c>
      <c r="AB25" s="125">
        <f t="shared" si="15"/>
        <v>1901.0373913043477</v>
      </c>
      <c r="AC25" s="135">
        <f t="shared" si="16"/>
        <v>1066</v>
      </c>
      <c r="AD25" s="136">
        <f t="shared" si="17"/>
        <v>926.95652173913049</v>
      </c>
      <c r="AE25" s="125">
        <f t="shared" si="18"/>
        <v>3372</v>
      </c>
      <c r="AF25" s="46">
        <f t="shared" si="19"/>
        <v>2827.9939130434782</v>
      </c>
    </row>
    <row r="26" spans="2:32" ht="15" customHeight="1" x14ac:dyDescent="0.25">
      <c r="B26" s="90">
        <v>46126</v>
      </c>
      <c r="C26" s="124" t="s">
        <v>63</v>
      </c>
      <c r="D26" s="123">
        <v>238</v>
      </c>
      <c r="E26" s="124">
        <v>19</v>
      </c>
      <c r="F26" s="124">
        <v>1106</v>
      </c>
      <c r="G26" s="124">
        <v>70</v>
      </c>
      <c r="H26" s="124">
        <v>2440</v>
      </c>
      <c r="I26" s="125">
        <f t="shared" si="3"/>
        <v>34.857142857142854</v>
      </c>
      <c r="J26" s="126">
        <f t="shared" si="4"/>
        <v>6.3291139240506333E-2</v>
      </c>
      <c r="K26" s="127">
        <f t="shared" si="5"/>
        <v>318.26086956521738</v>
      </c>
      <c r="L26" s="127">
        <f t="shared" si="6"/>
        <v>2121.7391304347825</v>
      </c>
      <c r="M26" s="124">
        <v>138.62</v>
      </c>
      <c r="N26" s="129">
        <f t="shared" si="7"/>
        <v>1983.1191304347826</v>
      </c>
      <c r="O26" s="130"/>
      <c r="P26" s="124">
        <v>1266</v>
      </c>
      <c r="Q26" s="125">
        <f t="shared" si="8"/>
        <v>18.085714285714285</v>
      </c>
      <c r="R26" s="124">
        <v>27</v>
      </c>
      <c r="S26" s="132">
        <f t="shared" si="9"/>
        <v>0.38571428571428573</v>
      </c>
      <c r="T26" s="133">
        <f t="shared" si="10"/>
        <v>165.13043478260869</v>
      </c>
      <c r="U26" s="133">
        <f t="shared" si="11"/>
        <v>1100.8695652173913</v>
      </c>
      <c r="V26" s="124">
        <v>63</v>
      </c>
      <c r="W26" s="126">
        <f t="shared" si="12"/>
        <v>0.9</v>
      </c>
      <c r="X26" s="124">
        <v>202.64</v>
      </c>
      <c r="Y26" s="126">
        <f t="shared" si="13"/>
        <v>0.16006319115323853</v>
      </c>
      <c r="Z26" s="134"/>
      <c r="AA26" s="125">
        <f t="shared" si="14"/>
        <v>2440</v>
      </c>
      <c r="AB26" s="125">
        <f t="shared" si="15"/>
        <v>1983.1191304347826</v>
      </c>
      <c r="AC26" s="135">
        <f t="shared" si="16"/>
        <v>1266</v>
      </c>
      <c r="AD26" s="136">
        <f t="shared" si="17"/>
        <v>1100.8695652173913</v>
      </c>
      <c r="AE26" s="125">
        <f t="shared" si="18"/>
        <v>3706</v>
      </c>
      <c r="AF26" s="46">
        <f t="shared" si="19"/>
        <v>3083.9886956521741</v>
      </c>
    </row>
    <row r="27" spans="2:32" ht="15" customHeight="1" x14ac:dyDescent="0.25">
      <c r="B27" s="90">
        <v>46127</v>
      </c>
      <c r="C27" s="124" t="s">
        <v>64</v>
      </c>
      <c r="D27" s="123">
        <v>238</v>
      </c>
      <c r="E27" s="124">
        <v>20</v>
      </c>
      <c r="F27" s="124">
        <v>1170</v>
      </c>
      <c r="G27" s="124">
        <v>99</v>
      </c>
      <c r="H27" s="124">
        <v>3308</v>
      </c>
      <c r="I27" s="125">
        <f t="shared" si="3"/>
        <v>33.414141414141412</v>
      </c>
      <c r="J27" s="126">
        <f t="shared" si="4"/>
        <v>8.461538461538462E-2</v>
      </c>
      <c r="K27" s="127">
        <f t="shared" si="5"/>
        <v>431.47826086956519</v>
      </c>
      <c r="L27" s="127">
        <f t="shared" si="6"/>
        <v>2876.521739130435</v>
      </c>
      <c r="M27" s="124">
        <v>190.45</v>
      </c>
      <c r="N27" s="129">
        <f t="shared" si="7"/>
        <v>2686.0717391304352</v>
      </c>
      <c r="O27" s="130"/>
      <c r="P27" s="124">
        <v>1045</v>
      </c>
      <c r="Q27" s="125">
        <f t="shared" si="8"/>
        <v>10.555555555555555</v>
      </c>
      <c r="R27" s="124">
        <v>26</v>
      </c>
      <c r="S27" s="132">
        <f t="shared" si="9"/>
        <v>0.26262626262626265</v>
      </c>
      <c r="T27" s="133">
        <f t="shared" si="10"/>
        <v>136.30434782608697</v>
      </c>
      <c r="U27" s="133">
        <f t="shared" si="11"/>
        <v>908.695652173913</v>
      </c>
      <c r="V27" s="124">
        <v>60</v>
      </c>
      <c r="W27" s="126">
        <f t="shared" si="12"/>
        <v>0.60606060606060608</v>
      </c>
      <c r="X27" s="124">
        <v>193.03</v>
      </c>
      <c r="Y27" s="126">
        <f t="shared" si="13"/>
        <v>0.18471770334928231</v>
      </c>
      <c r="Z27" s="134"/>
      <c r="AA27" s="125">
        <f t="shared" si="14"/>
        <v>3308</v>
      </c>
      <c r="AB27" s="125">
        <f t="shared" si="15"/>
        <v>2686.0717391304352</v>
      </c>
      <c r="AC27" s="135">
        <f t="shared" si="16"/>
        <v>1045</v>
      </c>
      <c r="AD27" s="136">
        <f t="shared" si="17"/>
        <v>908.695652173913</v>
      </c>
      <c r="AE27" s="125">
        <f t="shared" si="18"/>
        <v>4353</v>
      </c>
      <c r="AF27" s="46">
        <f t="shared" si="19"/>
        <v>3594.7673913043482</v>
      </c>
    </row>
    <row r="28" spans="2:32" ht="15" customHeight="1" x14ac:dyDescent="0.25">
      <c r="B28" s="90">
        <v>46128</v>
      </c>
      <c r="C28" s="124" t="s">
        <v>57</v>
      </c>
      <c r="D28" s="123">
        <v>238</v>
      </c>
      <c r="E28" s="124">
        <v>19</v>
      </c>
      <c r="F28" s="124">
        <v>1160</v>
      </c>
      <c r="G28" s="124">
        <v>144</v>
      </c>
      <c r="H28" s="124">
        <v>4768</v>
      </c>
      <c r="I28" s="125">
        <f t="shared" si="3"/>
        <v>33.111111111111114</v>
      </c>
      <c r="J28" s="126">
        <f t="shared" si="4"/>
        <v>0.12413793103448276</v>
      </c>
      <c r="K28" s="127">
        <f t="shared" si="5"/>
        <v>621.91304347826087</v>
      </c>
      <c r="L28" s="149">
        <f t="shared" si="6"/>
        <v>4146.086956521739</v>
      </c>
      <c r="M28" s="124">
        <v>322.82</v>
      </c>
      <c r="N28" s="150">
        <f t="shared" si="7"/>
        <v>3823.2669565217388</v>
      </c>
      <c r="O28" s="130"/>
      <c r="P28" s="124">
        <v>2040</v>
      </c>
      <c r="Q28" s="125">
        <f t="shared" si="8"/>
        <v>14.166666666666666</v>
      </c>
      <c r="R28" s="124">
        <v>53</v>
      </c>
      <c r="S28" s="132">
        <f t="shared" si="9"/>
        <v>0.36805555555555558</v>
      </c>
      <c r="T28" s="133">
        <f t="shared" si="10"/>
        <v>266.08695652173913</v>
      </c>
      <c r="U28" s="133">
        <f t="shared" si="11"/>
        <v>1773.913043478261</v>
      </c>
      <c r="V28" s="124">
        <v>109</v>
      </c>
      <c r="W28" s="126">
        <f t="shared" si="12"/>
        <v>0.75694444444444442</v>
      </c>
      <c r="X28" s="124">
        <v>330.55</v>
      </c>
      <c r="Y28" s="126">
        <f t="shared" si="13"/>
        <v>0.16203431372549021</v>
      </c>
      <c r="Z28" s="134"/>
      <c r="AA28" s="125">
        <f t="shared" si="14"/>
        <v>4768</v>
      </c>
      <c r="AB28" s="125">
        <f t="shared" si="15"/>
        <v>3823.2669565217388</v>
      </c>
      <c r="AC28" s="135">
        <f t="shared" si="16"/>
        <v>2040</v>
      </c>
      <c r="AD28" s="136">
        <f t="shared" si="17"/>
        <v>1773.913043478261</v>
      </c>
      <c r="AE28" s="125">
        <f t="shared" si="18"/>
        <v>6808</v>
      </c>
      <c r="AF28" s="46">
        <f t="shared" si="19"/>
        <v>5597.18</v>
      </c>
    </row>
    <row r="29" spans="2:32" ht="15" customHeight="1" x14ac:dyDescent="0.25">
      <c r="B29" s="90">
        <v>46129</v>
      </c>
      <c r="C29" s="124" t="s">
        <v>59</v>
      </c>
      <c r="D29" s="123">
        <v>238</v>
      </c>
      <c r="E29" s="124">
        <v>19</v>
      </c>
      <c r="F29" s="124">
        <v>1160</v>
      </c>
      <c r="G29" s="124">
        <v>147</v>
      </c>
      <c r="H29" s="124">
        <v>4944</v>
      </c>
      <c r="I29" s="125">
        <f t="shared" si="3"/>
        <v>33.632653061224488</v>
      </c>
      <c r="J29" s="126">
        <f t="shared" si="4"/>
        <v>0.12672413793103449</v>
      </c>
      <c r="K29" s="127">
        <f t="shared" si="5"/>
        <v>644.86956521739125</v>
      </c>
      <c r="L29" s="149">
        <f t="shared" si="6"/>
        <v>4299.130434782609</v>
      </c>
      <c r="M29" s="124">
        <v>367.86</v>
      </c>
      <c r="N29" s="150">
        <f t="shared" si="7"/>
        <v>3931.2704347826088</v>
      </c>
      <c r="O29" s="130"/>
      <c r="P29" s="124">
        <v>1508</v>
      </c>
      <c r="Q29" s="125">
        <f t="shared" si="8"/>
        <v>10.258503401360544</v>
      </c>
      <c r="R29" s="124">
        <v>46</v>
      </c>
      <c r="S29" s="132">
        <f t="shared" si="9"/>
        <v>0.31292517006802723</v>
      </c>
      <c r="T29" s="133">
        <f t="shared" si="10"/>
        <v>196.69565217391303</v>
      </c>
      <c r="U29" s="133">
        <f t="shared" si="11"/>
        <v>1311.304347826087</v>
      </c>
      <c r="V29" s="124">
        <v>84</v>
      </c>
      <c r="W29" s="126">
        <f t="shared" si="12"/>
        <v>0.5714285714285714</v>
      </c>
      <c r="X29" s="124">
        <v>251.89</v>
      </c>
      <c r="Y29" s="126">
        <f t="shared" si="13"/>
        <v>0.16703580901856763</v>
      </c>
      <c r="Z29" s="134"/>
      <c r="AA29" s="125">
        <f t="shared" si="14"/>
        <v>4944</v>
      </c>
      <c r="AB29" s="125">
        <f t="shared" si="15"/>
        <v>3931.2704347826088</v>
      </c>
      <c r="AC29" s="135">
        <f t="shared" si="16"/>
        <v>1508</v>
      </c>
      <c r="AD29" s="136">
        <f t="shared" si="17"/>
        <v>1311.304347826087</v>
      </c>
      <c r="AE29" s="125">
        <f t="shared" si="18"/>
        <v>6452</v>
      </c>
      <c r="AF29" s="46">
        <f t="shared" si="19"/>
        <v>5242.5747826086954</v>
      </c>
    </row>
    <row r="30" spans="2:32" ht="15" customHeight="1" x14ac:dyDescent="0.25">
      <c r="B30" s="90">
        <v>46130</v>
      </c>
      <c r="C30" s="124" t="s">
        <v>60</v>
      </c>
      <c r="D30" s="123">
        <v>238</v>
      </c>
      <c r="E30" s="124">
        <v>23</v>
      </c>
      <c r="F30" s="124">
        <v>1398</v>
      </c>
      <c r="G30" s="124">
        <v>60</v>
      </c>
      <c r="H30" s="124">
        <v>2020</v>
      </c>
      <c r="I30" s="125">
        <f t="shared" si="3"/>
        <v>33.666666666666664</v>
      </c>
      <c r="J30" s="132">
        <f t="shared" si="4"/>
        <v>4.2918454935622317E-2</v>
      </c>
      <c r="K30" s="127">
        <f t="shared" si="5"/>
        <v>263.47826086956519</v>
      </c>
      <c r="L30" s="149">
        <f t="shared" si="6"/>
        <v>1756.5217391304348</v>
      </c>
      <c r="M30" s="124">
        <v>114.62</v>
      </c>
      <c r="N30" s="150">
        <f t="shared" si="7"/>
        <v>1641.9017391304346</v>
      </c>
      <c r="O30" s="130"/>
      <c r="P30" s="124">
        <v>1387</v>
      </c>
      <c r="Q30" s="125">
        <f t="shared" si="8"/>
        <v>23.116666666666667</v>
      </c>
      <c r="R30" s="124">
        <v>30</v>
      </c>
      <c r="S30" s="132">
        <f t="shared" si="9"/>
        <v>0.5</v>
      </c>
      <c r="T30" s="133">
        <f t="shared" si="10"/>
        <v>180.91304347826087</v>
      </c>
      <c r="U30" s="133">
        <f t="shared" si="11"/>
        <v>1206.086956521739</v>
      </c>
      <c r="V30" s="124">
        <v>67</v>
      </c>
      <c r="W30" s="126">
        <f t="shared" si="12"/>
        <v>1.1166666666666667</v>
      </c>
      <c r="X30" s="124">
        <v>246.84</v>
      </c>
      <c r="Y30" s="126">
        <f t="shared" si="13"/>
        <v>0.17796683489545784</v>
      </c>
      <c r="Z30" s="134"/>
      <c r="AA30" s="125">
        <f t="shared" si="14"/>
        <v>2020</v>
      </c>
      <c r="AB30" s="125">
        <f t="shared" si="15"/>
        <v>1641.9017391304346</v>
      </c>
      <c r="AC30" s="135">
        <f t="shared" si="16"/>
        <v>1387</v>
      </c>
      <c r="AD30" s="136">
        <f t="shared" si="17"/>
        <v>1206.086956521739</v>
      </c>
      <c r="AE30" s="125">
        <f t="shared" si="18"/>
        <v>3407</v>
      </c>
      <c r="AF30" s="46">
        <f t="shared" si="19"/>
        <v>2847.9886956521736</v>
      </c>
    </row>
    <row r="31" spans="2:32" ht="15" customHeight="1" x14ac:dyDescent="0.25">
      <c r="B31" s="90">
        <v>46131</v>
      </c>
      <c r="C31" s="124" t="s">
        <v>61</v>
      </c>
      <c r="D31" s="123">
        <v>238</v>
      </c>
      <c r="E31" s="124">
        <v>19</v>
      </c>
      <c r="F31" s="124">
        <v>1160</v>
      </c>
      <c r="G31" s="124">
        <v>14</v>
      </c>
      <c r="H31" s="124">
        <v>518</v>
      </c>
      <c r="I31" s="125">
        <f t="shared" si="3"/>
        <v>37</v>
      </c>
      <c r="J31" s="126">
        <f t="shared" si="4"/>
        <v>1.2068965517241379E-2</v>
      </c>
      <c r="K31" s="127">
        <f t="shared" si="5"/>
        <v>67.565217391304344</v>
      </c>
      <c r="L31" s="149">
        <f t="shared" si="6"/>
        <v>450.43478260869563</v>
      </c>
      <c r="M31" s="124">
        <v>33.909999999999997</v>
      </c>
      <c r="N31" s="150">
        <f t="shared" si="7"/>
        <v>416.52478260869566</v>
      </c>
      <c r="O31" s="130"/>
      <c r="P31" s="124">
        <v>203</v>
      </c>
      <c r="Q31" s="125">
        <f t="shared" si="8"/>
        <v>14.5</v>
      </c>
      <c r="R31" s="124">
        <v>7</v>
      </c>
      <c r="S31" s="132">
        <f t="shared" si="9"/>
        <v>0.5</v>
      </c>
      <c r="T31" s="133">
        <f t="shared" si="10"/>
        <v>26.478260869565219</v>
      </c>
      <c r="U31" s="133">
        <f t="shared" si="11"/>
        <v>176.52173913043478</v>
      </c>
      <c r="V31" s="124">
        <v>15</v>
      </c>
      <c r="W31" s="126">
        <f t="shared" si="12"/>
        <v>1.0714285714285714</v>
      </c>
      <c r="X31" s="124">
        <v>37.82</v>
      </c>
      <c r="Y31" s="126">
        <f t="shared" si="13"/>
        <v>0.18630541871921183</v>
      </c>
      <c r="Z31" s="134"/>
      <c r="AA31" s="125">
        <f t="shared" si="14"/>
        <v>518</v>
      </c>
      <c r="AB31" s="125">
        <f t="shared" si="15"/>
        <v>416.52478260869566</v>
      </c>
      <c r="AC31" s="135">
        <f t="shared" si="16"/>
        <v>203</v>
      </c>
      <c r="AD31" s="136">
        <f t="shared" si="17"/>
        <v>176.52173913043478</v>
      </c>
      <c r="AE31" s="125">
        <f t="shared" si="18"/>
        <v>721</v>
      </c>
      <c r="AF31" s="46">
        <f t="shared" si="19"/>
        <v>593.04652173913041</v>
      </c>
    </row>
    <row r="32" spans="2:32" ht="15" customHeight="1" x14ac:dyDescent="0.25">
      <c r="B32" s="90">
        <v>46132</v>
      </c>
      <c r="C32" s="124" t="s">
        <v>62</v>
      </c>
      <c r="D32" s="123">
        <v>238</v>
      </c>
      <c r="E32" s="124">
        <v>19</v>
      </c>
      <c r="F32" s="124">
        <v>1160</v>
      </c>
      <c r="G32" s="124">
        <v>23</v>
      </c>
      <c r="H32" s="124">
        <v>736</v>
      </c>
      <c r="I32" s="125">
        <f t="shared" si="3"/>
        <v>32</v>
      </c>
      <c r="J32" s="126">
        <f t="shared" si="4"/>
        <v>1.9827586206896553E-2</v>
      </c>
      <c r="K32" s="127">
        <f t="shared" si="5"/>
        <v>96</v>
      </c>
      <c r="L32" s="149">
        <f t="shared" si="6"/>
        <v>640</v>
      </c>
      <c r="M32" s="124">
        <v>64.010000000000005</v>
      </c>
      <c r="N32" s="150">
        <f t="shared" si="7"/>
        <v>575.99</v>
      </c>
      <c r="O32" s="130"/>
      <c r="P32" s="124">
        <v>651</v>
      </c>
      <c r="Q32" s="125">
        <f t="shared" si="8"/>
        <v>28.304347826086957</v>
      </c>
      <c r="R32" s="124">
        <v>19</v>
      </c>
      <c r="S32" s="132">
        <f t="shared" si="9"/>
        <v>0.82608695652173914</v>
      </c>
      <c r="T32" s="133">
        <f t="shared" si="10"/>
        <v>84.913043478260875</v>
      </c>
      <c r="U32" s="133">
        <f t="shared" si="11"/>
        <v>566.08695652173913</v>
      </c>
      <c r="V32" s="124">
        <v>28</v>
      </c>
      <c r="W32" s="126">
        <f t="shared" si="12"/>
        <v>1.2173913043478262</v>
      </c>
      <c r="X32" s="124">
        <v>170.02</v>
      </c>
      <c r="Y32" s="126">
        <f t="shared" si="13"/>
        <v>0.26116743471582182</v>
      </c>
      <c r="Z32" s="134"/>
      <c r="AA32" s="125">
        <f t="shared" si="14"/>
        <v>736</v>
      </c>
      <c r="AB32" s="125">
        <f t="shared" si="15"/>
        <v>575.99</v>
      </c>
      <c r="AC32" s="135">
        <f t="shared" si="16"/>
        <v>651</v>
      </c>
      <c r="AD32" s="136">
        <f t="shared" si="17"/>
        <v>566.08695652173913</v>
      </c>
      <c r="AE32" s="125">
        <f t="shared" si="18"/>
        <v>1387</v>
      </c>
      <c r="AF32" s="46">
        <f t="shared" si="19"/>
        <v>1142.0769565217392</v>
      </c>
    </row>
    <row r="33" spans="2:32" ht="15" customHeight="1" x14ac:dyDescent="0.25">
      <c r="B33" s="90">
        <v>46133</v>
      </c>
      <c r="C33" s="124" t="s">
        <v>63</v>
      </c>
      <c r="D33" s="123">
        <v>238</v>
      </c>
      <c r="E33" s="124">
        <v>19</v>
      </c>
      <c r="F33" s="124">
        <v>1160</v>
      </c>
      <c r="G33" s="124">
        <v>18</v>
      </c>
      <c r="H33" s="124">
        <v>564</v>
      </c>
      <c r="I33" s="125">
        <f t="shared" si="3"/>
        <v>31.333333333333332</v>
      </c>
      <c r="J33" s="126">
        <f t="shared" si="4"/>
        <v>1.5517241379310345E-2</v>
      </c>
      <c r="K33" s="127">
        <f t="shared" si="5"/>
        <v>73.565217391304344</v>
      </c>
      <c r="L33" s="149">
        <f t="shared" si="6"/>
        <v>490.43478260869563</v>
      </c>
      <c r="M33" s="124">
        <v>43.48</v>
      </c>
      <c r="N33" s="150">
        <f t="shared" si="7"/>
        <v>446.95478260869561</v>
      </c>
      <c r="O33" s="130"/>
      <c r="P33" s="124">
        <v>220</v>
      </c>
      <c r="Q33" s="125">
        <f t="shared" si="8"/>
        <v>12.222222222222221</v>
      </c>
      <c r="R33" s="124">
        <v>7</v>
      </c>
      <c r="S33" s="132">
        <f t="shared" si="9"/>
        <v>0.3888888888888889</v>
      </c>
      <c r="T33" s="133">
        <f t="shared" si="10"/>
        <v>28.695652173913043</v>
      </c>
      <c r="U33" s="133">
        <f t="shared" si="11"/>
        <v>191.30434782608697</v>
      </c>
      <c r="V33" s="124">
        <v>11</v>
      </c>
      <c r="W33" s="126">
        <f t="shared" si="12"/>
        <v>0.61111111111111116</v>
      </c>
      <c r="X33" s="124">
        <v>46.64</v>
      </c>
      <c r="Y33" s="126">
        <f t="shared" si="13"/>
        <v>0.21199999999999999</v>
      </c>
      <c r="Z33" s="134"/>
      <c r="AA33" s="125">
        <f t="shared" si="14"/>
        <v>564</v>
      </c>
      <c r="AB33" s="125">
        <f t="shared" si="15"/>
        <v>446.95478260869561</v>
      </c>
      <c r="AC33" s="135">
        <f t="shared" si="16"/>
        <v>220</v>
      </c>
      <c r="AD33" s="136">
        <f t="shared" si="17"/>
        <v>191.30434782608697</v>
      </c>
      <c r="AE33" s="125">
        <f t="shared" si="18"/>
        <v>784</v>
      </c>
      <c r="AF33" s="46">
        <f t="shared" si="19"/>
        <v>638.25913043478261</v>
      </c>
    </row>
    <row r="34" spans="2:32" ht="15" customHeight="1" x14ac:dyDescent="0.25">
      <c r="B34" s="90">
        <v>46134</v>
      </c>
      <c r="C34" s="124" t="s">
        <v>64</v>
      </c>
      <c r="D34" s="123">
        <v>238</v>
      </c>
      <c r="E34" s="124">
        <v>18</v>
      </c>
      <c r="F34" s="124">
        <v>1096</v>
      </c>
      <c r="G34" s="124">
        <v>31</v>
      </c>
      <c r="H34" s="124">
        <v>992</v>
      </c>
      <c r="I34" s="125">
        <f t="shared" si="3"/>
        <v>32</v>
      </c>
      <c r="J34" s="126">
        <f t="shared" si="4"/>
        <v>2.8284671532846715E-2</v>
      </c>
      <c r="K34" s="127">
        <f t="shared" si="5"/>
        <v>129.39130434782609</v>
      </c>
      <c r="L34" s="149">
        <f t="shared" si="6"/>
        <v>862.60869565217388</v>
      </c>
      <c r="M34" s="124">
        <v>64.010000000000005</v>
      </c>
      <c r="N34" s="150">
        <f t="shared" si="7"/>
        <v>798.59869565217389</v>
      </c>
      <c r="O34" s="130"/>
      <c r="P34" s="124">
        <v>448</v>
      </c>
      <c r="Q34" s="125">
        <f t="shared" si="8"/>
        <v>14.451612903225806</v>
      </c>
      <c r="R34" s="124">
        <v>20</v>
      </c>
      <c r="S34" s="132">
        <f t="shared" si="9"/>
        <v>0.64516129032258063</v>
      </c>
      <c r="T34" s="133">
        <f t="shared" si="10"/>
        <v>58.434782608695649</v>
      </c>
      <c r="U34" s="133">
        <f t="shared" si="11"/>
        <v>389.56521739130437</v>
      </c>
      <c r="V34" s="124">
        <v>43</v>
      </c>
      <c r="W34" s="126">
        <f t="shared" si="12"/>
        <v>1.3870967741935485</v>
      </c>
      <c r="X34" s="124">
        <v>114.88</v>
      </c>
      <c r="Y34" s="126">
        <f t="shared" si="13"/>
        <v>0.25642857142857139</v>
      </c>
      <c r="Z34" s="134"/>
      <c r="AA34" s="125">
        <f t="shared" si="14"/>
        <v>992</v>
      </c>
      <c r="AB34" s="125">
        <f t="shared" si="15"/>
        <v>798.59869565217389</v>
      </c>
      <c r="AC34" s="135">
        <f t="shared" si="16"/>
        <v>448</v>
      </c>
      <c r="AD34" s="136">
        <f t="shared" si="17"/>
        <v>389.56521739130437</v>
      </c>
      <c r="AE34" s="125">
        <f t="shared" si="18"/>
        <v>1440</v>
      </c>
      <c r="AF34" s="46">
        <f t="shared" si="19"/>
        <v>1188.1639130434783</v>
      </c>
    </row>
    <row r="35" spans="2:32" ht="15" customHeight="1" x14ac:dyDescent="0.25">
      <c r="B35" s="90">
        <v>46135</v>
      </c>
      <c r="C35" s="124" t="s">
        <v>57</v>
      </c>
      <c r="D35" s="123">
        <v>238</v>
      </c>
      <c r="E35" s="124">
        <v>18</v>
      </c>
      <c r="F35" s="131">
        <v>1069</v>
      </c>
      <c r="G35" s="124">
        <v>70</v>
      </c>
      <c r="H35" s="124">
        <v>2300</v>
      </c>
      <c r="I35" s="125">
        <f t="shared" si="3"/>
        <v>32.857142857142854</v>
      </c>
      <c r="J35" s="126">
        <f t="shared" si="4"/>
        <v>6.5481758652946684E-2</v>
      </c>
      <c r="K35" s="127">
        <f t="shared" si="5"/>
        <v>300</v>
      </c>
      <c r="L35" s="149">
        <f t="shared" si="6"/>
        <v>2000</v>
      </c>
      <c r="M35" s="124">
        <v>97.05</v>
      </c>
      <c r="N35" s="150">
        <f t="shared" si="7"/>
        <v>1902.95</v>
      </c>
      <c r="O35" s="130"/>
      <c r="P35" s="124">
        <v>1206</v>
      </c>
      <c r="Q35" s="125">
        <f t="shared" si="8"/>
        <v>17.228571428571428</v>
      </c>
      <c r="R35" s="124">
        <v>27</v>
      </c>
      <c r="S35" s="132">
        <f t="shared" si="9"/>
        <v>0.38571428571428573</v>
      </c>
      <c r="T35" s="133">
        <f t="shared" si="10"/>
        <v>157.30434782608697</v>
      </c>
      <c r="U35" s="133">
        <f t="shared" si="11"/>
        <v>1048.695652173913</v>
      </c>
      <c r="V35" s="124">
        <v>78</v>
      </c>
      <c r="W35" s="126">
        <f t="shared" si="12"/>
        <v>1.1142857142857143</v>
      </c>
      <c r="X35" s="124">
        <v>201.47</v>
      </c>
      <c r="Y35" s="126">
        <f t="shared" si="13"/>
        <v>0.1670563847429519</v>
      </c>
      <c r="Z35" s="134"/>
      <c r="AA35" s="125">
        <f t="shared" si="14"/>
        <v>2300</v>
      </c>
      <c r="AB35" s="125">
        <f t="shared" si="15"/>
        <v>1902.95</v>
      </c>
      <c r="AC35" s="135">
        <f t="shared" si="16"/>
        <v>1206</v>
      </c>
      <c r="AD35" s="136">
        <f t="shared" si="17"/>
        <v>1048.695652173913</v>
      </c>
      <c r="AE35" s="125">
        <f t="shared" si="18"/>
        <v>3506</v>
      </c>
      <c r="AF35" s="46">
        <f t="shared" si="19"/>
        <v>2951.6456521739128</v>
      </c>
    </row>
    <row r="36" spans="2:32" ht="15" customHeight="1" x14ac:dyDescent="0.25">
      <c r="B36" s="90">
        <v>46136</v>
      </c>
      <c r="C36" s="124" t="s">
        <v>59</v>
      </c>
      <c r="D36" s="123">
        <v>238</v>
      </c>
      <c r="E36" s="124">
        <v>19</v>
      </c>
      <c r="F36" s="124">
        <v>1106</v>
      </c>
      <c r="G36" s="124">
        <v>87</v>
      </c>
      <c r="H36" s="124">
        <v>2924</v>
      </c>
      <c r="I36" s="125">
        <f t="shared" si="3"/>
        <v>33.609195402298852</v>
      </c>
      <c r="J36" s="126">
        <f t="shared" si="4"/>
        <v>7.866184448462929E-2</v>
      </c>
      <c r="K36" s="127">
        <f t="shared" si="5"/>
        <v>381.39130434782606</v>
      </c>
      <c r="L36" s="149">
        <f t="shared" si="6"/>
        <v>2542.608695652174</v>
      </c>
      <c r="M36" s="124">
        <v>173.76</v>
      </c>
      <c r="N36" s="150">
        <f t="shared" si="7"/>
        <v>2368.8486956521738</v>
      </c>
      <c r="O36" s="130"/>
      <c r="P36" s="124">
        <v>1323</v>
      </c>
      <c r="Q36" s="125">
        <f t="shared" si="8"/>
        <v>15.206896551724139</v>
      </c>
      <c r="R36" s="124">
        <v>31</v>
      </c>
      <c r="S36" s="132">
        <f t="shared" si="9"/>
        <v>0.35632183908045978</v>
      </c>
      <c r="T36" s="133">
        <f t="shared" si="10"/>
        <v>172.56521739130434</v>
      </c>
      <c r="U36" s="133">
        <f t="shared" si="11"/>
        <v>1150.4347826086957</v>
      </c>
      <c r="V36" s="124">
        <v>66</v>
      </c>
      <c r="W36" s="126">
        <f t="shared" si="12"/>
        <v>0.75862068965517238</v>
      </c>
      <c r="X36" s="124">
        <v>226.52</v>
      </c>
      <c r="Y36" s="126">
        <f t="shared" si="13"/>
        <v>0.17121693121693121</v>
      </c>
      <c r="Z36" s="134"/>
      <c r="AA36" s="125">
        <f t="shared" si="14"/>
        <v>2924</v>
      </c>
      <c r="AB36" s="125">
        <f t="shared" si="15"/>
        <v>2368.8486956521738</v>
      </c>
      <c r="AC36" s="135">
        <f t="shared" si="16"/>
        <v>1323</v>
      </c>
      <c r="AD36" s="136">
        <f t="shared" si="17"/>
        <v>1150.4347826086957</v>
      </c>
      <c r="AE36" s="125">
        <f t="shared" si="18"/>
        <v>4247</v>
      </c>
      <c r="AF36" s="46">
        <f t="shared" si="19"/>
        <v>3519.2834782608697</v>
      </c>
    </row>
    <row r="37" spans="2:32" ht="15" customHeight="1" x14ac:dyDescent="0.25">
      <c r="B37" s="90">
        <v>46137</v>
      </c>
      <c r="C37" s="124" t="s">
        <v>60</v>
      </c>
      <c r="D37" s="123">
        <v>238</v>
      </c>
      <c r="E37" s="124">
        <v>22</v>
      </c>
      <c r="F37" s="124">
        <v>1307</v>
      </c>
      <c r="G37" s="124">
        <v>29</v>
      </c>
      <c r="H37" s="124">
        <v>988</v>
      </c>
      <c r="I37" s="125">
        <f t="shared" si="3"/>
        <v>34.068965517241381</v>
      </c>
      <c r="J37" s="126">
        <f t="shared" si="4"/>
        <v>2.2188217291507269E-2</v>
      </c>
      <c r="K37" s="127">
        <f t="shared" si="5"/>
        <v>128.86956521739131</v>
      </c>
      <c r="L37" s="127">
        <f t="shared" si="6"/>
        <v>859.13043478260875</v>
      </c>
      <c r="M37" s="124">
        <v>78.62</v>
      </c>
      <c r="N37" s="129">
        <f t="shared" si="7"/>
        <v>780.51043478260874</v>
      </c>
      <c r="O37" s="130"/>
      <c r="P37" s="124">
        <v>400</v>
      </c>
      <c r="Q37" s="125">
        <f t="shared" si="8"/>
        <v>13.793103448275861</v>
      </c>
      <c r="R37" s="124">
        <v>10</v>
      </c>
      <c r="S37" s="132">
        <f t="shared" si="9"/>
        <v>0.34482758620689657</v>
      </c>
      <c r="T37" s="133">
        <f t="shared" si="10"/>
        <v>52.173913043478258</v>
      </c>
      <c r="U37" s="133">
        <f t="shared" si="11"/>
        <v>347.82608695652175</v>
      </c>
      <c r="V37" s="124">
        <v>20</v>
      </c>
      <c r="W37" s="126">
        <f t="shared" si="12"/>
        <v>0.68965517241379315</v>
      </c>
      <c r="X37" s="124">
        <v>62.46</v>
      </c>
      <c r="Y37" s="126">
        <f t="shared" si="13"/>
        <v>0.15615000000000001</v>
      </c>
      <c r="Z37" s="134"/>
      <c r="AA37" s="125">
        <f t="shared" si="14"/>
        <v>988</v>
      </c>
      <c r="AB37" s="125">
        <f t="shared" si="15"/>
        <v>780.51043478260874</v>
      </c>
      <c r="AC37" s="135">
        <f t="shared" si="16"/>
        <v>400</v>
      </c>
      <c r="AD37" s="136">
        <f t="shared" si="17"/>
        <v>347.82608695652175</v>
      </c>
      <c r="AE37" s="125">
        <f t="shared" si="18"/>
        <v>1388</v>
      </c>
      <c r="AF37" s="46">
        <f t="shared" si="19"/>
        <v>1128.3365217391306</v>
      </c>
    </row>
    <row r="38" spans="2:32" ht="15" customHeight="1" x14ac:dyDescent="0.25">
      <c r="B38" s="90">
        <v>46138</v>
      </c>
      <c r="C38" s="124" t="s">
        <v>61</v>
      </c>
      <c r="D38" s="123">
        <v>238</v>
      </c>
      <c r="E38" s="124">
        <v>19</v>
      </c>
      <c r="F38" s="124">
        <v>1149</v>
      </c>
      <c r="G38" s="124">
        <v>19</v>
      </c>
      <c r="H38" s="124">
        <v>618</v>
      </c>
      <c r="I38" s="125">
        <f t="shared" si="3"/>
        <v>32.526315789473685</v>
      </c>
      <c r="J38" s="126">
        <f t="shared" si="4"/>
        <v>1.6536118363794605E-2</v>
      </c>
      <c r="K38" s="127">
        <f t="shared" si="5"/>
        <v>80.608695652173907</v>
      </c>
      <c r="L38" s="127">
        <f t="shared" si="6"/>
        <v>537.39130434782612</v>
      </c>
      <c r="M38" s="124">
        <v>28.7</v>
      </c>
      <c r="N38" s="129">
        <f t="shared" si="7"/>
        <v>508.69130434782613</v>
      </c>
      <c r="O38" s="130"/>
      <c r="P38" s="124">
        <v>644</v>
      </c>
      <c r="Q38" s="125">
        <f t="shared" si="8"/>
        <v>33.89473684210526</v>
      </c>
      <c r="R38" s="124">
        <v>19</v>
      </c>
      <c r="S38" s="132">
        <f t="shared" si="9"/>
        <v>1</v>
      </c>
      <c r="T38" s="133">
        <f t="shared" si="10"/>
        <v>84</v>
      </c>
      <c r="U38" s="133">
        <f t="shared" si="11"/>
        <v>560</v>
      </c>
      <c r="V38" s="124">
        <v>35</v>
      </c>
      <c r="W38" s="126">
        <f t="shared" si="12"/>
        <v>1.8421052631578947</v>
      </c>
      <c r="X38" s="124">
        <v>120.55</v>
      </c>
      <c r="Y38" s="126">
        <f t="shared" si="13"/>
        <v>0.18718944099378881</v>
      </c>
      <c r="Z38" s="134"/>
      <c r="AA38" s="125">
        <f t="shared" si="14"/>
        <v>618</v>
      </c>
      <c r="AB38" s="125">
        <f t="shared" si="15"/>
        <v>508.69130434782613</v>
      </c>
      <c r="AC38" s="135">
        <f t="shared" si="16"/>
        <v>644</v>
      </c>
      <c r="AD38" s="136">
        <f t="shared" si="17"/>
        <v>560</v>
      </c>
      <c r="AE38" s="125">
        <f t="shared" si="18"/>
        <v>1262</v>
      </c>
      <c r="AF38" s="46">
        <f t="shared" si="19"/>
        <v>1068.6913043478262</v>
      </c>
    </row>
    <row r="39" spans="2:32" ht="15" customHeight="1" x14ac:dyDescent="0.25">
      <c r="B39" s="90">
        <v>46139</v>
      </c>
      <c r="C39" s="124" t="s">
        <v>62</v>
      </c>
      <c r="D39" s="123">
        <v>238</v>
      </c>
      <c r="E39" s="124">
        <v>18</v>
      </c>
      <c r="F39" s="124">
        <v>1069</v>
      </c>
      <c r="G39" s="124">
        <v>22</v>
      </c>
      <c r="H39" s="124">
        <v>680.8</v>
      </c>
      <c r="I39" s="125">
        <f t="shared" si="3"/>
        <v>30.945454545454542</v>
      </c>
      <c r="J39" s="126">
        <f t="shared" si="4"/>
        <v>2.05799812909261E-2</v>
      </c>
      <c r="K39" s="127">
        <f t="shared" si="5"/>
        <v>88.8</v>
      </c>
      <c r="L39" s="127">
        <f t="shared" si="6"/>
        <v>592</v>
      </c>
      <c r="M39" s="124">
        <v>53.99</v>
      </c>
      <c r="N39" s="129">
        <f t="shared" si="7"/>
        <v>538.01</v>
      </c>
      <c r="O39" s="130"/>
      <c r="P39" s="124">
        <v>666.6</v>
      </c>
      <c r="Q39" s="125">
        <f t="shared" si="8"/>
        <v>30.3</v>
      </c>
      <c r="R39" s="124">
        <v>18</v>
      </c>
      <c r="S39" s="132">
        <f t="shared" si="9"/>
        <v>0.81818181818181823</v>
      </c>
      <c r="T39" s="133">
        <f t="shared" si="10"/>
        <v>86.947826086956525</v>
      </c>
      <c r="U39" s="133">
        <f t="shared" si="11"/>
        <v>579.6521739130435</v>
      </c>
      <c r="V39" s="124">
        <v>34</v>
      </c>
      <c r="W39" s="126">
        <f t="shared" si="12"/>
        <v>1.5454545454545454</v>
      </c>
      <c r="X39" s="124">
        <v>125.53</v>
      </c>
      <c r="Y39" s="126">
        <f t="shared" si="13"/>
        <v>0.18831383138313831</v>
      </c>
      <c r="Z39" s="134"/>
      <c r="AA39" s="125">
        <f t="shared" si="14"/>
        <v>680.8</v>
      </c>
      <c r="AB39" s="125">
        <f t="shared" si="15"/>
        <v>538.01</v>
      </c>
      <c r="AC39" s="135">
        <f t="shared" si="16"/>
        <v>666.6</v>
      </c>
      <c r="AD39" s="136">
        <f t="shared" si="17"/>
        <v>579.6521739130435</v>
      </c>
      <c r="AE39" s="125">
        <f t="shared" si="18"/>
        <v>1347.4</v>
      </c>
      <c r="AF39" s="46">
        <f t="shared" si="19"/>
        <v>1117.6621739130435</v>
      </c>
    </row>
    <row r="40" spans="2:32" ht="15" customHeight="1" x14ac:dyDescent="0.25">
      <c r="B40" s="90">
        <v>46140</v>
      </c>
      <c r="C40" s="124" t="s">
        <v>63</v>
      </c>
      <c r="D40" s="123">
        <v>238</v>
      </c>
      <c r="E40" s="124">
        <v>18</v>
      </c>
      <c r="F40" s="124">
        <v>1069</v>
      </c>
      <c r="G40" s="124">
        <v>24</v>
      </c>
      <c r="H40" s="124">
        <v>742</v>
      </c>
      <c r="I40" s="125">
        <f t="shared" si="3"/>
        <v>30.916666666666668</v>
      </c>
      <c r="J40" s="126">
        <f t="shared" si="4"/>
        <v>2.2450888681010289E-2</v>
      </c>
      <c r="K40" s="127">
        <f t="shared" si="5"/>
        <v>96.782608695652172</v>
      </c>
      <c r="L40" s="127">
        <f t="shared" si="6"/>
        <v>645.21739130434787</v>
      </c>
      <c r="M40" s="124">
        <v>13.91</v>
      </c>
      <c r="N40" s="129">
        <f t="shared" si="7"/>
        <v>631.3073913043479</v>
      </c>
      <c r="O40" s="5"/>
      <c r="P40" s="124">
        <v>831</v>
      </c>
      <c r="Q40" s="125">
        <f t="shared" si="8"/>
        <v>34.625</v>
      </c>
      <c r="R40" s="124">
        <v>21</v>
      </c>
      <c r="S40" s="132">
        <f t="shared" si="9"/>
        <v>0.875</v>
      </c>
      <c r="T40" s="133">
        <f t="shared" si="10"/>
        <v>108.39130434782609</v>
      </c>
      <c r="U40" s="133">
        <f t="shared" si="11"/>
        <v>722.60869565217388</v>
      </c>
      <c r="V40" s="124">
        <v>43</v>
      </c>
      <c r="W40" s="126">
        <f t="shared" si="12"/>
        <v>1.7916666666666667</v>
      </c>
      <c r="X40" s="124">
        <v>122.36</v>
      </c>
      <c r="Y40" s="126">
        <f t="shared" si="13"/>
        <v>0.14724428399518652</v>
      </c>
      <c r="Z40" s="134"/>
      <c r="AA40" s="125">
        <f t="shared" si="14"/>
        <v>742</v>
      </c>
      <c r="AB40" s="125">
        <f t="shared" si="15"/>
        <v>631.3073913043479</v>
      </c>
      <c r="AC40" s="135">
        <f t="shared" si="16"/>
        <v>831</v>
      </c>
      <c r="AD40" s="136">
        <f t="shared" si="17"/>
        <v>722.60869565217388</v>
      </c>
      <c r="AE40" s="125">
        <f t="shared" si="18"/>
        <v>1573</v>
      </c>
      <c r="AF40" s="46">
        <f t="shared" si="19"/>
        <v>1353.9160869565217</v>
      </c>
    </row>
    <row r="41" spans="2:32" ht="15" customHeight="1" x14ac:dyDescent="0.25">
      <c r="B41" s="90">
        <v>46141</v>
      </c>
      <c r="C41" s="124" t="s">
        <v>64</v>
      </c>
      <c r="D41" s="123">
        <v>238</v>
      </c>
      <c r="E41" s="124">
        <v>14</v>
      </c>
      <c r="F41" s="124">
        <v>831</v>
      </c>
      <c r="G41" s="124">
        <v>32</v>
      </c>
      <c r="H41" s="124">
        <v>1134</v>
      </c>
      <c r="I41" s="125">
        <f t="shared" si="3"/>
        <v>35.4375</v>
      </c>
      <c r="J41" s="126">
        <f t="shared" si="4"/>
        <v>3.8507821901323708E-2</v>
      </c>
      <c r="K41" s="127">
        <f t="shared" si="5"/>
        <v>147.91304347826087</v>
      </c>
      <c r="L41" s="127">
        <f t="shared" si="6"/>
        <v>986.08695652173913</v>
      </c>
      <c r="M41" s="124">
        <v>84.7</v>
      </c>
      <c r="N41" s="129">
        <f t="shared" si="7"/>
        <v>901.38695652173908</v>
      </c>
      <c r="O41" s="130"/>
      <c r="P41" s="124">
        <v>536</v>
      </c>
      <c r="Q41" s="125">
        <f t="shared" si="8"/>
        <v>16.75</v>
      </c>
      <c r="R41" s="124">
        <v>23</v>
      </c>
      <c r="S41" s="132">
        <f t="shared" si="9"/>
        <v>0.71875</v>
      </c>
      <c r="T41" s="133">
        <f t="shared" si="10"/>
        <v>69.913043478260875</v>
      </c>
      <c r="U41" s="133">
        <f t="shared" si="11"/>
        <v>466.08695652173913</v>
      </c>
      <c r="V41" s="124">
        <v>55</v>
      </c>
      <c r="W41" s="126">
        <f t="shared" si="12"/>
        <v>1.71875</v>
      </c>
      <c r="X41" s="124">
        <v>114.58</v>
      </c>
      <c r="Y41" s="126">
        <f t="shared" si="13"/>
        <v>0.2137686567164179</v>
      </c>
      <c r="Z41" s="134"/>
      <c r="AA41" s="125">
        <f t="shared" si="14"/>
        <v>1134</v>
      </c>
      <c r="AB41" s="125">
        <f t="shared" si="15"/>
        <v>901.38695652173908</v>
      </c>
      <c r="AC41" s="135">
        <f t="shared" si="16"/>
        <v>536</v>
      </c>
      <c r="AD41" s="136">
        <f t="shared" si="17"/>
        <v>466.08695652173913</v>
      </c>
      <c r="AE41" s="125">
        <f t="shared" si="18"/>
        <v>1670</v>
      </c>
      <c r="AF41" s="46">
        <f t="shared" si="19"/>
        <v>1367.4739130434782</v>
      </c>
    </row>
    <row r="42" spans="2:32" ht="15" customHeight="1" x14ac:dyDescent="0.25">
      <c r="B42" s="90">
        <v>46142</v>
      </c>
      <c r="C42" s="124" t="s">
        <v>57</v>
      </c>
      <c r="D42" s="123">
        <v>238</v>
      </c>
      <c r="E42" s="124">
        <v>18</v>
      </c>
      <c r="F42" s="124">
        <v>1069</v>
      </c>
      <c r="G42" s="124">
        <v>51</v>
      </c>
      <c r="H42" s="124">
        <v>1682</v>
      </c>
      <c r="I42" s="125">
        <f t="shared" si="3"/>
        <v>32.980392156862742</v>
      </c>
      <c r="J42" s="126">
        <f t="shared" si="4"/>
        <v>4.7708138447146865E-2</v>
      </c>
      <c r="K42" s="127">
        <f t="shared" si="5"/>
        <v>219.39130434782609</v>
      </c>
      <c r="L42" s="127">
        <f t="shared" si="6"/>
        <v>1462.608695652174</v>
      </c>
      <c r="M42" s="124">
        <v>47.14</v>
      </c>
      <c r="N42" s="129">
        <f t="shared" si="7"/>
        <v>1415.4686956521739</v>
      </c>
      <c r="O42" s="130"/>
      <c r="P42" s="124">
        <v>1314</v>
      </c>
      <c r="Q42" s="125">
        <f t="shared" si="8"/>
        <v>25.764705882352942</v>
      </c>
      <c r="R42" s="124">
        <v>31</v>
      </c>
      <c r="S42" s="132">
        <f t="shared" si="9"/>
        <v>0.60784313725490191</v>
      </c>
      <c r="T42" s="133">
        <f t="shared" si="10"/>
        <v>171.39130434782609</v>
      </c>
      <c r="U42" s="133">
        <f t="shared" si="11"/>
        <v>1142.608695652174</v>
      </c>
      <c r="V42" s="124">
        <v>61</v>
      </c>
      <c r="W42" s="126">
        <f t="shared" si="12"/>
        <v>1.196078431372549</v>
      </c>
      <c r="X42" s="124">
        <v>240.76</v>
      </c>
      <c r="Y42" s="126">
        <f t="shared" si="13"/>
        <v>0.18322678843226789</v>
      </c>
      <c r="Z42" s="134"/>
      <c r="AA42" s="125">
        <f t="shared" si="14"/>
        <v>1682</v>
      </c>
      <c r="AB42" s="125">
        <f t="shared" si="15"/>
        <v>1415.4686956521739</v>
      </c>
      <c r="AC42" s="135">
        <f t="shared" si="16"/>
        <v>1314</v>
      </c>
      <c r="AD42" s="136">
        <f t="shared" si="17"/>
        <v>1142.608695652174</v>
      </c>
      <c r="AE42" s="125">
        <f t="shared" si="18"/>
        <v>2996</v>
      </c>
      <c r="AF42" s="46">
        <f t="shared" si="19"/>
        <v>2558.0773913043477</v>
      </c>
    </row>
    <row r="43" spans="2:32" ht="15" hidden="1" customHeight="1" x14ac:dyDescent="0.25">
      <c r="B43" s="90">
        <v>46112</v>
      </c>
      <c r="C43" s="124" t="s">
        <v>63</v>
      </c>
      <c r="D43" s="123">
        <v>238</v>
      </c>
      <c r="E43" s="124">
        <v>0</v>
      </c>
      <c r="F43" s="124">
        <v>0</v>
      </c>
      <c r="G43" s="124">
        <v>0</v>
      </c>
      <c r="H43" s="124">
        <v>0</v>
      </c>
      <c r="I43" s="125" t="e">
        <f t="shared" si="3"/>
        <v>#DIV/0!</v>
      </c>
      <c r="J43" s="126" t="e">
        <f t="shared" si="4"/>
        <v>#DIV/0!</v>
      </c>
      <c r="K43" s="127">
        <f t="shared" si="5"/>
        <v>0</v>
      </c>
      <c r="L43" s="127">
        <f t="shared" si="6"/>
        <v>0</v>
      </c>
      <c r="M43" s="124">
        <v>0</v>
      </c>
      <c r="N43" s="129">
        <f t="shared" si="7"/>
        <v>0</v>
      </c>
      <c r="O43" s="130"/>
      <c r="P43" s="124">
        <v>0</v>
      </c>
      <c r="Q43" s="125" t="e">
        <f t="shared" si="8"/>
        <v>#DIV/0!</v>
      </c>
      <c r="R43" s="124">
        <v>0</v>
      </c>
      <c r="S43" s="132" t="e">
        <f t="shared" si="9"/>
        <v>#DIV/0!</v>
      </c>
      <c r="T43" s="133">
        <f t="shared" si="10"/>
        <v>0</v>
      </c>
      <c r="U43" s="133">
        <f t="shared" si="11"/>
        <v>0</v>
      </c>
      <c r="V43" s="124">
        <v>0</v>
      </c>
      <c r="W43" s="126" t="e">
        <f t="shared" si="12"/>
        <v>#DIV/0!</v>
      </c>
      <c r="X43" s="124">
        <v>0</v>
      </c>
      <c r="Y43" s="126" t="e">
        <f t="shared" si="13"/>
        <v>#DIV/0!</v>
      </c>
      <c r="Z43" s="134"/>
      <c r="AA43" s="125">
        <f t="shared" si="14"/>
        <v>0</v>
      </c>
      <c r="AB43" s="125">
        <f t="shared" si="15"/>
        <v>0</v>
      </c>
      <c r="AC43" s="135">
        <f t="shared" si="16"/>
        <v>0</v>
      </c>
      <c r="AD43" s="136">
        <f t="shared" si="17"/>
        <v>0</v>
      </c>
      <c r="AE43" s="125">
        <f t="shared" si="18"/>
        <v>0</v>
      </c>
      <c r="AF43" s="46">
        <f t="shared" si="19"/>
        <v>0</v>
      </c>
    </row>
    <row r="44" spans="2:32" ht="15" customHeight="1" x14ac:dyDescent="0.25">
      <c r="B44" s="184" t="s">
        <v>27</v>
      </c>
      <c r="C44" s="184"/>
      <c r="D44" s="137">
        <f>AVERAGE(D13:D43)</f>
        <v>238</v>
      </c>
      <c r="E44" s="137">
        <f>SUM(E13:E43)</f>
        <v>582</v>
      </c>
      <c r="F44" s="137">
        <f>SUM(F13:F43)</f>
        <v>34619</v>
      </c>
      <c r="G44" s="137">
        <f>SUM(G13:G43)</f>
        <v>3689</v>
      </c>
      <c r="H44" s="138">
        <f>SUM(H13:H43)</f>
        <v>123506.8</v>
      </c>
      <c r="I44" s="139">
        <f t="shared" si="3"/>
        <v>33.479750609921389</v>
      </c>
      <c r="J44" s="140">
        <f>(G44/F44)</f>
        <v>0.10655998151304197</v>
      </c>
      <c r="K44" s="141">
        <f>SUM(K13:K43)</f>
        <v>16109.582608695651</v>
      </c>
      <c r="L44" s="141">
        <f>SUM(L13:L43)</f>
        <v>107397.21739130435</v>
      </c>
      <c r="M44" s="142">
        <f>SUM(M13:M43)</f>
        <v>7022.25</v>
      </c>
      <c r="N44" s="138">
        <f>SUM(N13:N43)</f>
        <v>100374.96739130434</v>
      </c>
      <c r="O44" s="8"/>
      <c r="P44" s="139">
        <f>SUM(P13:P43)</f>
        <v>50049.53</v>
      </c>
      <c r="Q44" s="139">
        <f t="shared" si="8"/>
        <v>13.567235023041475</v>
      </c>
      <c r="R44" s="137">
        <f>SUM(R13:R43)</f>
        <v>1187</v>
      </c>
      <c r="S44" s="132">
        <f t="shared" si="9"/>
        <v>0.32176741664407699</v>
      </c>
      <c r="T44" s="141">
        <f>SUM(T13:T43)</f>
        <v>6528.199565217391</v>
      </c>
      <c r="U44" s="142">
        <f>SUM(U13:U43)</f>
        <v>43521.330434782598</v>
      </c>
      <c r="V44" s="143">
        <f>SUM(V13:V43)</f>
        <v>2611</v>
      </c>
      <c r="W44" s="141">
        <f t="shared" si="12"/>
        <v>0.70777988614800758</v>
      </c>
      <c r="X44" s="139">
        <f>SUM(X13:X43)</f>
        <v>8610.2300000000014</v>
      </c>
      <c r="Y44" s="140">
        <f t="shared" si="13"/>
        <v>0.17203418293838127</v>
      </c>
      <c r="Z44" s="144"/>
      <c r="AA44" s="139">
        <f t="shared" ref="AA44:AF44" si="20">SUM(AA13:AA43)</f>
        <v>123506.8</v>
      </c>
      <c r="AB44" s="139">
        <f t="shared" si="20"/>
        <v>100374.96739130434</v>
      </c>
      <c r="AC44" s="139">
        <f t="shared" si="20"/>
        <v>50049.53</v>
      </c>
      <c r="AD44" s="145">
        <f t="shared" si="20"/>
        <v>43521.330434782598</v>
      </c>
      <c r="AE44" s="139">
        <f t="shared" si="20"/>
        <v>173556.33</v>
      </c>
      <c r="AF44" s="139">
        <f t="shared" si="20"/>
        <v>143896.29782608693</v>
      </c>
    </row>
    <row r="46" spans="2:32" ht="15" customHeight="1" x14ac:dyDescent="0.25">
      <c r="G46" s="64"/>
    </row>
    <row r="47" spans="2:32" ht="15" customHeight="1" x14ac:dyDescent="0.25">
      <c r="F47" s="8"/>
    </row>
    <row r="58" spans="21:22" ht="15" customHeight="1" x14ac:dyDescent="0.25">
      <c r="U58" s="5"/>
      <c r="V58" s="5"/>
    </row>
    <row r="59" spans="21:22" ht="15" customHeight="1" x14ac:dyDescent="0.25">
      <c r="U59" s="5"/>
      <c r="V59" s="5"/>
    </row>
    <row r="60" spans="21:22" ht="15" customHeight="1" x14ac:dyDescent="0.25">
      <c r="U60" s="5"/>
      <c r="V60" s="5"/>
    </row>
    <row r="61" spans="21:22" ht="15" customHeight="1" x14ac:dyDescent="0.25">
      <c r="U61" s="5"/>
      <c r="V61" s="5"/>
    </row>
    <row r="62" spans="21:22" ht="15" customHeight="1" x14ac:dyDescent="0.25">
      <c r="U62" s="5"/>
      <c r="V62" s="5"/>
    </row>
    <row r="63" spans="21:22" ht="15" customHeight="1" x14ac:dyDescent="0.25">
      <c r="U63" s="5"/>
      <c r="V63" s="5"/>
    </row>
    <row r="64" spans="21:22" ht="15" customHeight="1" x14ac:dyDescent="0.25">
      <c r="U64" s="5"/>
      <c r="V64" s="5"/>
    </row>
    <row r="65" spans="21:22" ht="15" customHeight="1" x14ac:dyDescent="0.25">
      <c r="U65" s="5"/>
      <c r="V65" s="5"/>
    </row>
    <row r="66" spans="21:22" ht="15" customHeight="1" x14ac:dyDescent="0.25">
      <c r="U66" s="5"/>
      <c r="V66" s="5"/>
    </row>
    <row r="67" spans="21:22" ht="15" customHeight="1" x14ac:dyDescent="0.25">
      <c r="U67" s="5"/>
      <c r="V67" s="5"/>
    </row>
    <row r="68" spans="21:22" ht="15" customHeight="1" x14ac:dyDescent="0.25">
      <c r="U68" s="5"/>
      <c r="V68" s="5"/>
    </row>
    <row r="69" spans="21:22" ht="15" customHeight="1" x14ac:dyDescent="0.25">
      <c r="U69" s="5"/>
      <c r="V69" s="5"/>
    </row>
    <row r="70" spans="21:22" ht="15" customHeight="1" x14ac:dyDescent="0.25">
      <c r="U70" s="5"/>
      <c r="V70" s="5"/>
    </row>
    <row r="71" spans="21:22" ht="15" customHeight="1" x14ac:dyDescent="0.25">
      <c r="U71" s="5"/>
      <c r="V71" s="5"/>
    </row>
    <row r="72" spans="21:22" ht="15" customHeight="1" x14ac:dyDescent="0.25">
      <c r="U72" s="5"/>
      <c r="V72" s="5"/>
    </row>
    <row r="73" spans="21:22" ht="15" customHeight="1" x14ac:dyDescent="0.25">
      <c r="U73" s="5"/>
      <c r="V73" s="5"/>
    </row>
    <row r="74" spans="21:22" ht="15" customHeight="1" x14ac:dyDescent="0.25">
      <c r="U74" s="5"/>
      <c r="V74" s="5"/>
    </row>
    <row r="75" spans="21:22" ht="15" customHeight="1" x14ac:dyDescent="0.25">
      <c r="U75" s="5"/>
      <c r="V75" s="5"/>
    </row>
    <row r="76" spans="21:22" ht="15" customHeight="1" x14ac:dyDescent="0.25">
      <c r="U76" s="5"/>
      <c r="V76" s="5"/>
    </row>
    <row r="77" spans="21:22" ht="15" customHeight="1" x14ac:dyDescent="0.25">
      <c r="U77" s="5"/>
      <c r="V77" s="5"/>
    </row>
    <row r="78" spans="21:22" ht="15" customHeight="1" x14ac:dyDescent="0.25">
      <c r="U78" s="5"/>
      <c r="V78" s="5"/>
    </row>
    <row r="79" spans="21:22" ht="15" customHeight="1" x14ac:dyDescent="0.25">
      <c r="U79" s="5"/>
      <c r="V79" s="5"/>
    </row>
    <row r="80" spans="21:22" ht="15" customHeight="1" x14ac:dyDescent="0.25">
      <c r="U80" s="5"/>
      <c r="V80" s="5"/>
    </row>
    <row r="81" spans="21:22" ht="15" customHeight="1" x14ac:dyDescent="0.25">
      <c r="U81" s="5"/>
      <c r="V81" s="5"/>
    </row>
    <row r="82" spans="21:22" ht="15" customHeight="1" x14ac:dyDescent="0.25">
      <c r="U82" s="5"/>
      <c r="V82" s="5"/>
    </row>
    <row r="83" spans="21:22" ht="15" customHeight="1" x14ac:dyDescent="0.25">
      <c r="U83" s="5"/>
      <c r="V83" s="5"/>
    </row>
    <row r="84" spans="21:22" ht="15" customHeight="1" x14ac:dyDescent="0.25">
      <c r="U84" s="5"/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4:C44"/>
    <mergeCell ref="G10:N10"/>
    <mergeCell ref="P10:Y10"/>
    <mergeCell ref="AA10:AB10"/>
  </mergeCells>
  <conditionalFormatting sqref="F9">
    <cfRule type="expression" dxfId="0" priority="2">
      <formula>NOT(ISERROR(SEARCH("Fiday,sutarday,sunday",F9)))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F84"/>
  <sheetViews>
    <sheetView zoomScaleNormal="100" workbookViewId="0">
      <selection activeCell="X48" sqref="X48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8" width="10" style="58" customWidth="1"/>
    <col min="9" max="9" width="9.7109375" style="58" customWidth="1"/>
    <col min="10" max="10" width="9.7109375" style="59" customWidth="1"/>
    <col min="11" max="11" width="10.28515625" style="60" customWidth="1"/>
    <col min="12" max="12" width="11.2851562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3" width="9.7109375" style="58" customWidth="1"/>
    <col min="24" max="24" width="11.5703125" style="58" customWidth="1"/>
    <col min="25" max="25" width="9.7109375" style="58" customWidth="1"/>
    <col min="26" max="26" width="1.7109375" style="58" customWidth="1"/>
    <col min="27" max="27" width="10.28515625" style="58" customWidth="1"/>
    <col min="28" max="30" width="9.7109375" style="58" customWidth="1"/>
    <col min="31" max="32" width="10.28515625" style="58" customWidth="1"/>
    <col min="33" max="16384" width="13.5703125" style="58"/>
  </cols>
  <sheetData>
    <row r="2" spans="2:32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2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2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2" s="64" customFormat="1" ht="14.25" customHeight="1" x14ac:dyDescent="0.25">
      <c r="B5" s="193" t="s">
        <v>2</v>
      </c>
      <c r="C5" s="193"/>
      <c r="D5" s="196" t="s">
        <v>3</v>
      </c>
      <c r="E5" s="196"/>
      <c r="F5" s="196"/>
      <c r="G5" s="193" t="s">
        <v>12</v>
      </c>
      <c r="H5" s="193"/>
      <c r="I5" s="194">
        <v>46143</v>
      </c>
      <c r="J5" s="194"/>
      <c r="K5" s="3"/>
      <c r="L5" s="3"/>
      <c r="M5" s="3"/>
      <c r="S5" s="101"/>
    </row>
    <row r="6" spans="2:32" s="64" customFormat="1" ht="14.25" customHeight="1" x14ac:dyDescent="0.25">
      <c r="B6" s="193" t="s">
        <v>6</v>
      </c>
      <c r="C6" s="193"/>
      <c r="D6" s="195" t="s">
        <v>32</v>
      </c>
      <c r="E6" s="195"/>
      <c r="F6" s="195"/>
      <c r="G6" s="193" t="s">
        <v>33</v>
      </c>
      <c r="H6" s="193"/>
      <c r="I6" s="193">
        <v>2026</v>
      </c>
      <c r="J6" s="193"/>
      <c r="K6" s="3"/>
      <c r="L6" s="3"/>
      <c r="M6" s="3"/>
      <c r="S6" s="101"/>
    </row>
    <row r="7" spans="2:32" s="64" customFormat="1" ht="14.25" customHeight="1" x14ac:dyDescent="0.25">
      <c r="B7" s="193" t="s">
        <v>9</v>
      </c>
      <c r="C7" s="193"/>
      <c r="D7" s="195">
        <v>4</v>
      </c>
      <c r="E7" s="195"/>
      <c r="F7" s="195"/>
      <c r="G7" s="193" t="s">
        <v>8</v>
      </c>
      <c r="H7" s="193"/>
      <c r="I7" s="191">
        <v>0.15</v>
      </c>
      <c r="J7" s="191"/>
      <c r="K7" s="3"/>
      <c r="L7" s="3"/>
      <c r="M7" s="3"/>
      <c r="S7" s="101"/>
    </row>
    <row r="8" spans="2:32" s="64" customFormat="1" ht="15.75" customHeight="1" x14ac:dyDescent="0.25">
      <c r="B8" s="193" t="s">
        <v>11</v>
      </c>
      <c r="C8" s="193"/>
      <c r="D8" s="195">
        <v>238</v>
      </c>
      <c r="E8" s="195"/>
      <c r="F8" s="195"/>
      <c r="G8" s="193" t="s">
        <v>10</v>
      </c>
      <c r="H8" s="193"/>
      <c r="I8" s="191">
        <v>0.1</v>
      </c>
      <c r="J8" s="191"/>
      <c r="K8" s="3"/>
      <c r="L8" s="3"/>
      <c r="M8" s="3"/>
      <c r="S8" s="101"/>
    </row>
    <row r="9" spans="2:32" ht="15.75" customHeight="1" x14ac:dyDescent="0.25">
      <c r="B9" s="197"/>
      <c r="C9" s="197"/>
      <c r="D9" s="197"/>
      <c r="E9" s="197"/>
      <c r="F9" s="67"/>
    </row>
    <row r="10" spans="2:32" ht="49.5" customHeight="1" x14ac:dyDescent="0.25">
      <c r="B10" s="102"/>
      <c r="C10" s="103"/>
      <c r="D10" s="104"/>
      <c r="E10" s="104"/>
      <c r="F10" s="105"/>
      <c r="G10" s="187" t="s">
        <v>34</v>
      </c>
      <c r="H10" s="187"/>
      <c r="I10" s="187"/>
      <c r="J10" s="187"/>
      <c r="K10" s="187"/>
      <c r="L10" s="187"/>
      <c r="M10" s="187"/>
      <c r="N10" s="187"/>
      <c r="O10" s="147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06" customFormat="1" ht="57.75" customHeight="1" x14ac:dyDescent="0.25">
      <c r="B11" s="146" t="s">
        <v>29</v>
      </c>
      <c r="C11" s="146" t="s">
        <v>39</v>
      </c>
      <c r="D11" s="146" t="s">
        <v>11</v>
      </c>
      <c r="E11" s="146" t="s">
        <v>40</v>
      </c>
      <c r="F11" s="146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2" s="106" customFormat="1" ht="14.25" customHeight="1" x14ac:dyDescent="0.25">
      <c r="B12" s="183" t="s">
        <v>56</v>
      </c>
      <c r="C12" s="183"/>
      <c r="D12" s="1">
        <f t="shared" ref="D12:N12" si="0">D44</f>
        <v>238</v>
      </c>
      <c r="E12" s="114">
        <f t="shared" si="0"/>
        <v>551</v>
      </c>
      <c r="F12" s="114">
        <f t="shared" si="0"/>
        <v>32481</v>
      </c>
      <c r="G12" s="114">
        <f t="shared" si="0"/>
        <v>4122</v>
      </c>
      <c r="H12" s="115">
        <f t="shared" si="0"/>
        <v>137751.18</v>
      </c>
      <c r="I12" s="115">
        <f t="shared" si="0"/>
        <v>33.418529839883547</v>
      </c>
      <c r="J12" s="116">
        <f t="shared" si="0"/>
        <v>0.12690495982266556</v>
      </c>
      <c r="K12" s="115">
        <f t="shared" si="0"/>
        <v>17967.5452173913</v>
      </c>
      <c r="L12" s="115">
        <f t="shared" si="0"/>
        <v>119783.6347826087</v>
      </c>
      <c r="M12" s="115">
        <f t="shared" si="0"/>
        <v>9691.4600000000009</v>
      </c>
      <c r="N12" s="115">
        <f t="shared" si="0"/>
        <v>110092.17478260868</v>
      </c>
      <c r="O12" s="110"/>
      <c r="P12" s="117">
        <f t="shared" ref="P12:Y12" si="1">P44</f>
        <v>53778.71</v>
      </c>
      <c r="Q12" s="117">
        <f t="shared" si="1"/>
        <v>13.046751576904414</v>
      </c>
      <c r="R12" s="118">
        <f t="shared" si="1"/>
        <v>1375</v>
      </c>
      <c r="S12" s="119">
        <f t="shared" si="1"/>
        <v>0.33357593401261526</v>
      </c>
      <c r="T12" s="117">
        <f t="shared" si="1"/>
        <v>7014.6143478260883</v>
      </c>
      <c r="U12" s="117">
        <f t="shared" si="1"/>
        <v>46764.095652173921</v>
      </c>
      <c r="V12" s="118">
        <f t="shared" si="1"/>
        <v>2627</v>
      </c>
      <c r="W12" s="116">
        <f t="shared" si="1"/>
        <v>0.63731198447355653</v>
      </c>
      <c r="X12" s="117">
        <f t="shared" si="1"/>
        <v>10728.02</v>
      </c>
      <c r="Y12" s="116">
        <f t="shared" si="1"/>
        <v>0.19948451720020804</v>
      </c>
      <c r="Z12" s="110"/>
      <c r="AA12" s="117">
        <f t="shared" ref="AA12:AF12" si="2">AA44</f>
        <v>137751.18</v>
      </c>
      <c r="AB12" s="117">
        <f t="shared" si="2"/>
        <v>110092.17478260868</v>
      </c>
      <c r="AC12" s="117">
        <f t="shared" si="2"/>
        <v>53778.71</v>
      </c>
      <c r="AD12" s="120">
        <f t="shared" si="2"/>
        <v>46764.095652173921</v>
      </c>
      <c r="AE12" s="117">
        <f t="shared" si="2"/>
        <v>191529.89</v>
      </c>
      <c r="AF12" s="117">
        <f t="shared" si="2"/>
        <v>156856.27043478264</v>
      </c>
    </row>
    <row r="13" spans="2:32" ht="15" customHeight="1" x14ac:dyDescent="0.25">
      <c r="B13" s="90">
        <v>46143</v>
      </c>
      <c r="C13" s="124" t="s">
        <v>59</v>
      </c>
      <c r="D13" s="123">
        <v>238</v>
      </c>
      <c r="E13" s="124">
        <v>17</v>
      </c>
      <c r="F13" s="124">
        <v>982</v>
      </c>
      <c r="G13" s="124">
        <v>442</v>
      </c>
      <c r="H13" s="124">
        <v>15007.18</v>
      </c>
      <c r="I13" s="125">
        <f t="shared" ref="I13:I44" si="3">H13/G13</f>
        <v>33.952895927601809</v>
      </c>
      <c r="J13" s="126">
        <f t="shared" ref="J13:J43" si="4">G13/F13</f>
        <v>0.45010183299389001</v>
      </c>
      <c r="K13" s="127">
        <f t="shared" ref="K13:K43" si="5">H13*15/115</f>
        <v>1957.4582608695653</v>
      </c>
      <c r="L13" s="127">
        <f t="shared" ref="L13:L43" si="6">H13-K13</f>
        <v>13049.721739130435</v>
      </c>
      <c r="M13" s="128">
        <v>1169.26</v>
      </c>
      <c r="N13" s="129">
        <f t="shared" ref="N13:N43" si="7">L13-M13</f>
        <v>11880.461739130435</v>
      </c>
      <c r="O13" s="130"/>
      <c r="P13" s="46">
        <v>4052</v>
      </c>
      <c r="Q13" s="125">
        <f t="shared" ref="Q13:Q44" si="8">P13/G13</f>
        <v>9.1674208144796374</v>
      </c>
      <c r="R13" s="131">
        <v>100</v>
      </c>
      <c r="S13" s="132">
        <f t="shared" ref="S13:S44" si="9">(R13/G13)</f>
        <v>0.22624434389140272</v>
      </c>
      <c r="T13" s="133">
        <f t="shared" ref="T13:T43" si="10">P13*15/115</f>
        <v>528.52173913043475</v>
      </c>
      <c r="U13" s="133">
        <f t="shared" ref="U13:U43" si="11">P13-T13</f>
        <v>3523.478260869565</v>
      </c>
      <c r="V13" s="131">
        <v>201</v>
      </c>
      <c r="W13" s="126">
        <f t="shared" ref="W13:W44" si="12">V13/G13</f>
        <v>0.45475113122171945</v>
      </c>
      <c r="X13" s="46">
        <v>746.21</v>
      </c>
      <c r="Y13" s="126">
        <f t="shared" ref="Y13:Y44" si="13">(X13/P13)</f>
        <v>0.18415844027640671</v>
      </c>
      <c r="Z13" s="134"/>
      <c r="AA13" s="125">
        <f t="shared" ref="AA13:AA43" si="14">H13</f>
        <v>15007.18</v>
      </c>
      <c r="AB13" s="125">
        <f t="shared" ref="AB13:AB43" si="15">N13</f>
        <v>11880.461739130435</v>
      </c>
      <c r="AC13" s="135">
        <f t="shared" ref="AC13:AC43" si="16">P13</f>
        <v>4052</v>
      </c>
      <c r="AD13" s="136">
        <f t="shared" ref="AD13:AD43" si="17">U13</f>
        <v>3523.478260869565</v>
      </c>
      <c r="AE13" s="125">
        <f t="shared" ref="AE13:AE43" si="18">AA13+AC13</f>
        <v>19059.18</v>
      </c>
      <c r="AF13" s="46">
        <f t="shared" ref="AF13:AF43" si="19">AB13+AD13</f>
        <v>15403.939999999999</v>
      </c>
    </row>
    <row r="14" spans="2:32" ht="15" customHeight="1" x14ac:dyDescent="0.25">
      <c r="B14" s="90">
        <v>46144</v>
      </c>
      <c r="C14" s="124" t="s">
        <v>60</v>
      </c>
      <c r="D14" s="123">
        <v>238</v>
      </c>
      <c r="E14" s="124">
        <v>20</v>
      </c>
      <c r="F14" s="124">
        <v>1183</v>
      </c>
      <c r="G14" s="124">
        <v>91</v>
      </c>
      <c r="H14" s="124">
        <v>3032</v>
      </c>
      <c r="I14" s="125">
        <f t="shared" si="3"/>
        <v>33.318681318681321</v>
      </c>
      <c r="J14" s="126">
        <f t="shared" si="4"/>
        <v>7.6923076923076927E-2</v>
      </c>
      <c r="K14" s="127">
        <f t="shared" si="5"/>
        <v>395.47826086956519</v>
      </c>
      <c r="L14" s="127">
        <f t="shared" si="6"/>
        <v>2636.521739130435</v>
      </c>
      <c r="M14" s="128">
        <v>219.15</v>
      </c>
      <c r="N14" s="129">
        <f t="shared" si="7"/>
        <v>2417.3717391304349</v>
      </c>
      <c r="O14" s="130"/>
      <c r="P14" s="46">
        <v>1244</v>
      </c>
      <c r="Q14" s="125">
        <f t="shared" si="8"/>
        <v>13.67032967032967</v>
      </c>
      <c r="R14" s="131">
        <v>34</v>
      </c>
      <c r="S14" s="132">
        <f t="shared" si="9"/>
        <v>0.37362637362637363</v>
      </c>
      <c r="T14" s="133">
        <f t="shared" si="10"/>
        <v>162.2608695652174</v>
      </c>
      <c r="U14" s="133">
        <f t="shared" si="11"/>
        <v>1081.7391304347825</v>
      </c>
      <c r="V14" s="131">
        <v>63</v>
      </c>
      <c r="W14" s="126">
        <f t="shared" si="12"/>
        <v>0.69230769230769229</v>
      </c>
      <c r="X14" s="46">
        <v>209.13</v>
      </c>
      <c r="Y14" s="126">
        <f t="shared" si="13"/>
        <v>0.16811093247588424</v>
      </c>
      <c r="Z14" s="134"/>
      <c r="AA14" s="125">
        <f t="shared" si="14"/>
        <v>3032</v>
      </c>
      <c r="AB14" s="125">
        <f t="shared" si="15"/>
        <v>2417.3717391304349</v>
      </c>
      <c r="AC14" s="135">
        <f t="shared" si="16"/>
        <v>1244</v>
      </c>
      <c r="AD14" s="136">
        <f t="shared" si="17"/>
        <v>1081.7391304347825</v>
      </c>
      <c r="AE14" s="125">
        <f t="shared" si="18"/>
        <v>4276</v>
      </c>
      <c r="AF14" s="46">
        <f t="shared" si="19"/>
        <v>3499.1108695652174</v>
      </c>
    </row>
    <row r="15" spans="2:32" ht="15" customHeight="1" x14ac:dyDescent="0.25">
      <c r="B15" s="90">
        <v>46145</v>
      </c>
      <c r="C15" s="124" t="s">
        <v>61</v>
      </c>
      <c r="D15" s="123">
        <v>238</v>
      </c>
      <c r="E15" s="124">
        <v>14</v>
      </c>
      <c r="F15" s="124">
        <v>808</v>
      </c>
      <c r="G15" s="124">
        <v>36</v>
      </c>
      <c r="H15" s="124">
        <v>1165.5999999999999</v>
      </c>
      <c r="I15" s="125">
        <f t="shared" si="3"/>
        <v>32.377777777777773</v>
      </c>
      <c r="J15" s="126">
        <f t="shared" si="4"/>
        <v>4.4554455445544552E-2</v>
      </c>
      <c r="K15" s="127">
        <f t="shared" si="5"/>
        <v>152.03478260869565</v>
      </c>
      <c r="L15" s="127">
        <f t="shared" si="6"/>
        <v>1013.5652173913043</v>
      </c>
      <c r="M15" s="128">
        <v>93.02</v>
      </c>
      <c r="N15" s="129">
        <f t="shared" si="7"/>
        <v>920.54521739130428</v>
      </c>
      <c r="O15" s="130"/>
      <c r="P15" s="46">
        <v>450</v>
      </c>
      <c r="Q15" s="125">
        <f t="shared" si="8"/>
        <v>12.5</v>
      </c>
      <c r="R15" s="131">
        <v>22</v>
      </c>
      <c r="S15" s="132">
        <f t="shared" si="9"/>
        <v>0.61111111111111116</v>
      </c>
      <c r="T15" s="133">
        <f t="shared" si="10"/>
        <v>58.695652173913047</v>
      </c>
      <c r="U15" s="133">
        <f t="shared" si="11"/>
        <v>391.30434782608694</v>
      </c>
      <c r="V15" s="131">
        <v>35</v>
      </c>
      <c r="W15" s="126">
        <f t="shared" si="12"/>
        <v>0.97222222222222221</v>
      </c>
      <c r="X15" s="46">
        <v>158.62</v>
      </c>
      <c r="Y15" s="126">
        <f t="shared" si="13"/>
        <v>0.35248888888888891</v>
      </c>
      <c r="Z15" s="134"/>
      <c r="AA15" s="125">
        <f t="shared" si="14"/>
        <v>1165.5999999999999</v>
      </c>
      <c r="AB15" s="125">
        <f t="shared" si="15"/>
        <v>920.54521739130428</v>
      </c>
      <c r="AC15" s="135">
        <f t="shared" si="16"/>
        <v>450</v>
      </c>
      <c r="AD15" s="136">
        <f t="shared" si="17"/>
        <v>391.30434782608694</v>
      </c>
      <c r="AE15" s="125">
        <f t="shared" si="18"/>
        <v>1615.6</v>
      </c>
      <c r="AF15" s="46">
        <f t="shared" si="19"/>
        <v>1311.8495652173913</v>
      </c>
    </row>
    <row r="16" spans="2:32" ht="15" customHeight="1" x14ac:dyDescent="0.25">
      <c r="B16" s="90">
        <v>46146</v>
      </c>
      <c r="C16" s="124" t="s">
        <v>62</v>
      </c>
      <c r="D16" s="123">
        <v>238</v>
      </c>
      <c r="E16" s="124">
        <v>14</v>
      </c>
      <c r="F16" s="124">
        <v>808</v>
      </c>
      <c r="G16" s="124">
        <v>27</v>
      </c>
      <c r="H16" s="124">
        <v>864</v>
      </c>
      <c r="I16" s="125">
        <f t="shared" si="3"/>
        <v>32</v>
      </c>
      <c r="J16" s="126">
        <f t="shared" si="4"/>
        <v>3.3415841584158418E-2</v>
      </c>
      <c r="K16" s="127">
        <f t="shared" si="5"/>
        <v>112.69565217391305</v>
      </c>
      <c r="L16" s="127">
        <f t="shared" si="6"/>
        <v>751.304347826087</v>
      </c>
      <c r="M16" s="124">
        <v>36.18</v>
      </c>
      <c r="N16" s="129">
        <f t="shared" si="7"/>
        <v>715.12434782608705</v>
      </c>
      <c r="O16" s="130"/>
      <c r="P16" s="124">
        <v>489</v>
      </c>
      <c r="Q16" s="125">
        <f t="shared" si="8"/>
        <v>18.111111111111111</v>
      </c>
      <c r="R16" s="124">
        <v>13</v>
      </c>
      <c r="S16" s="132">
        <f t="shared" si="9"/>
        <v>0.48148148148148145</v>
      </c>
      <c r="T16" s="133">
        <f t="shared" si="10"/>
        <v>63.782608695652172</v>
      </c>
      <c r="U16" s="133">
        <f t="shared" si="11"/>
        <v>425.21739130434781</v>
      </c>
      <c r="V16" s="124">
        <v>29</v>
      </c>
      <c r="W16" s="126">
        <f t="shared" si="12"/>
        <v>1.0740740740740742</v>
      </c>
      <c r="X16" s="124">
        <v>86.26</v>
      </c>
      <c r="Y16" s="126">
        <f t="shared" si="13"/>
        <v>0.17640081799591004</v>
      </c>
      <c r="Z16" s="134"/>
      <c r="AA16" s="125">
        <f t="shared" si="14"/>
        <v>864</v>
      </c>
      <c r="AB16" s="125">
        <f t="shared" si="15"/>
        <v>715.12434782608705</v>
      </c>
      <c r="AC16" s="135">
        <f t="shared" si="16"/>
        <v>489</v>
      </c>
      <c r="AD16" s="136">
        <f t="shared" si="17"/>
        <v>425.21739130434781</v>
      </c>
      <c r="AE16" s="125">
        <f t="shared" si="18"/>
        <v>1353</v>
      </c>
      <c r="AF16" s="46">
        <f t="shared" si="19"/>
        <v>1140.3417391304349</v>
      </c>
    </row>
    <row r="17" spans="2:32" ht="15" customHeight="1" x14ac:dyDescent="0.25">
      <c r="B17" s="90">
        <v>46147</v>
      </c>
      <c r="C17" s="124" t="s">
        <v>63</v>
      </c>
      <c r="D17" s="123">
        <v>238</v>
      </c>
      <c r="E17" s="124">
        <v>14</v>
      </c>
      <c r="F17" s="124">
        <v>808</v>
      </c>
      <c r="G17" s="124">
        <v>37</v>
      </c>
      <c r="H17" s="124">
        <v>1002</v>
      </c>
      <c r="I17" s="125">
        <f t="shared" si="3"/>
        <v>27.081081081081081</v>
      </c>
      <c r="J17" s="126">
        <f t="shared" si="4"/>
        <v>4.5792079207920791E-2</v>
      </c>
      <c r="K17" s="127">
        <f t="shared" si="5"/>
        <v>130.69565217391303</v>
      </c>
      <c r="L17" s="127">
        <f t="shared" si="6"/>
        <v>871.304347826087</v>
      </c>
      <c r="M17" s="124">
        <v>76.010000000000005</v>
      </c>
      <c r="N17" s="129">
        <f t="shared" si="7"/>
        <v>795.29434782608701</v>
      </c>
      <c r="O17" s="130"/>
      <c r="P17" s="124">
        <v>981</v>
      </c>
      <c r="Q17" s="125">
        <f t="shared" si="8"/>
        <v>26.513513513513512</v>
      </c>
      <c r="R17" s="124">
        <v>19</v>
      </c>
      <c r="S17" s="132">
        <f t="shared" si="9"/>
        <v>0.51351351351351349</v>
      </c>
      <c r="T17" s="133">
        <f t="shared" si="10"/>
        <v>127.95652173913044</v>
      </c>
      <c r="U17" s="133">
        <f t="shared" si="11"/>
        <v>853.04347826086951</v>
      </c>
      <c r="V17" s="124">
        <v>45</v>
      </c>
      <c r="W17" s="126">
        <f t="shared" si="12"/>
        <v>1.2162162162162162</v>
      </c>
      <c r="X17" s="124">
        <v>180.48</v>
      </c>
      <c r="Y17" s="126">
        <f t="shared" si="13"/>
        <v>0.1839755351681957</v>
      </c>
      <c r="Z17" s="134"/>
      <c r="AA17" s="125">
        <f t="shared" si="14"/>
        <v>1002</v>
      </c>
      <c r="AB17" s="125">
        <f t="shared" si="15"/>
        <v>795.29434782608701</v>
      </c>
      <c r="AC17" s="135">
        <f t="shared" si="16"/>
        <v>981</v>
      </c>
      <c r="AD17" s="136">
        <f t="shared" si="17"/>
        <v>853.04347826086951</v>
      </c>
      <c r="AE17" s="125">
        <f t="shared" si="18"/>
        <v>1983</v>
      </c>
      <c r="AF17" s="46">
        <f t="shared" si="19"/>
        <v>1648.3378260869565</v>
      </c>
    </row>
    <row r="18" spans="2:32" ht="15" customHeight="1" x14ac:dyDescent="0.25">
      <c r="B18" s="90">
        <v>46148</v>
      </c>
      <c r="C18" s="124" t="s">
        <v>64</v>
      </c>
      <c r="D18" s="123">
        <v>238</v>
      </c>
      <c r="E18" s="124">
        <v>14</v>
      </c>
      <c r="F18" s="124">
        <v>808</v>
      </c>
      <c r="G18" s="124">
        <v>50</v>
      </c>
      <c r="H18" s="124">
        <v>1640</v>
      </c>
      <c r="I18" s="125">
        <f t="shared" si="3"/>
        <v>32.799999999999997</v>
      </c>
      <c r="J18" s="126">
        <f t="shared" si="4"/>
        <v>6.1881188118811881E-2</v>
      </c>
      <c r="K18" s="127">
        <f t="shared" si="5"/>
        <v>213.91304347826087</v>
      </c>
      <c r="L18" s="127">
        <f t="shared" si="6"/>
        <v>1426.086956521739</v>
      </c>
      <c r="M18" s="124">
        <v>131.49</v>
      </c>
      <c r="N18" s="129">
        <f t="shared" si="7"/>
        <v>1294.596956521739</v>
      </c>
      <c r="O18" s="130"/>
      <c r="P18" s="124">
        <v>977</v>
      </c>
      <c r="Q18" s="125">
        <f t="shared" si="8"/>
        <v>19.54</v>
      </c>
      <c r="R18" s="124">
        <v>23</v>
      </c>
      <c r="S18" s="132">
        <f t="shared" si="9"/>
        <v>0.46</v>
      </c>
      <c r="T18" s="133">
        <f t="shared" si="10"/>
        <v>127.43478260869566</v>
      </c>
      <c r="U18" s="133">
        <f t="shared" si="11"/>
        <v>849.56521739130437</v>
      </c>
      <c r="V18" s="124">
        <v>67</v>
      </c>
      <c r="W18" s="126">
        <f t="shared" si="12"/>
        <v>1.34</v>
      </c>
      <c r="X18" s="124">
        <v>346.78</v>
      </c>
      <c r="Y18" s="126">
        <f t="shared" si="13"/>
        <v>0.35494370522006141</v>
      </c>
      <c r="Z18" s="134"/>
      <c r="AA18" s="125">
        <f t="shared" si="14"/>
        <v>1640</v>
      </c>
      <c r="AB18" s="125">
        <f t="shared" si="15"/>
        <v>1294.596956521739</v>
      </c>
      <c r="AC18" s="135">
        <f t="shared" si="16"/>
        <v>977</v>
      </c>
      <c r="AD18" s="136">
        <f t="shared" si="17"/>
        <v>849.56521739130437</v>
      </c>
      <c r="AE18" s="125">
        <f t="shared" si="18"/>
        <v>2617</v>
      </c>
      <c r="AF18" s="46">
        <f t="shared" si="19"/>
        <v>2144.1621739130433</v>
      </c>
    </row>
    <row r="19" spans="2:32" ht="15" customHeight="1" x14ac:dyDescent="0.25">
      <c r="B19" s="90">
        <v>46149</v>
      </c>
      <c r="C19" s="124" t="s">
        <v>57</v>
      </c>
      <c r="D19" s="123">
        <v>238</v>
      </c>
      <c r="E19" s="124">
        <v>16</v>
      </c>
      <c r="F19" s="124">
        <v>952</v>
      </c>
      <c r="G19" s="124">
        <v>53</v>
      </c>
      <c r="H19" s="124">
        <v>1706</v>
      </c>
      <c r="I19" s="125">
        <f t="shared" si="3"/>
        <v>32.188679245283019</v>
      </c>
      <c r="J19" s="126">
        <f t="shared" si="4"/>
        <v>5.5672268907563029E-2</v>
      </c>
      <c r="K19" s="127">
        <f t="shared" si="5"/>
        <v>222.52173913043478</v>
      </c>
      <c r="L19" s="127">
        <f t="shared" si="6"/>
        <v>1483.4782608695652</v>
      </c>
      <c r="M19" s="124">
        <v>123.32</v>
      </c>
      <c r="N19" s="129">
        <f t="shared" si="7"/>
        <v>1360.1582608695653</v>
      </c>
      <c r="O19" s="130"/>
      <c r="P19" s="124">
        <v>1541</v>
      </c>
      <c r="Q19" s="125">
        <f t="shared" si="8"/>
        <v>29.075471698113208</v>
      </c>
      <c r="R19" s="124">
        <v>36</v>
      </c>
      <c r="S19" s="132">
        <f t="shared" si="9"/>
        <v>0.67924528301886788</v>
      </c>
      <c r="T19" s="133">
        <f t="shared" si="10"/>
        <v>201</v>
      </c>
      <c r="U19" s="133">
        <f t="shared" si="11"/>
        <v>1340</v>
      </c>
      <c r="V19" s="124">
        <v>85</v>
      </c>
      <c r="W19" s="126">
        <f t="shared" si="12"/>
        <v>1.6037735849056605</v>
      </c>
      <c r="X19" s="124">
        <v>295.04000000000002</v>
      </c>
      <c r="Y19" s="126">
        <f t="shared" si="13"/>
        <v>0.19146009085009735</v>
      </c>
      <c r="Z19" s="134"/>
      <c r="AA19" s="125">
        <f t="shared" si="14"/>
        <v>1706</v>
      </c>
      <c r="AB19" s="125">
        <f t="shared" si="15"/>
        <v>1360.1582608695653</v>
      </c>
      <c r="AC19" s="135">
        <f t="shared" si="16"/>
        <v>1541</v>
      </c>
      <c r="AD19" s="136">
        <f t="shared" si="17"/>
        <v>1340</v>
      </c>
      <c r="AE19" s="125">
        <f t="shared" si="18"/>
        <v>3247</v>
      </c>
      <c r="AF19" s="46">
        <f t="shared" si="19"/>
        <v>2700.1582608695653</v>
      </c>
    </row>
    <row r="20" spans="2:32" ht="15" customHeight="1" x14ac:dyDescent="0.25">
      <c r="B20" s="90">
        <v>46150</v>
      </c>
      <c r="C20" s="124" t="s">
        <v>59</v>
      </c>
      <c r="D20" s="123">
        <v>238</v>
      </c>
      <c r="E20" s="124">
        <v>17</v>
      </c>
      <c r="F20" s="124">
        <v>1016</v>
      </c>
      <c r="G20" s="124">
        <v>130</v>
      </c>
      <c r="H20" s="124">
        <v>4410</v>
      </c>
      <c r="I20" s="125">
        <f t="shared" si="3"/>
        <v>33.92307692307692</v>
      </c>
      <c r="J20" s="126">
        <f t="shared" si="4"/>
        <v>0.12795275590551181</v>
      </c>
      <c r="K20" s="127">
        <f t="shared" si="5"/>
        <v>575.21739130434787</v>
      </c>
      <c r="L20" s="127">
        <f t="shared" si="6"/>
        <v>3834.782608695652</v>
      </c>
      <c r="M20" s="124">
        <v>288.2</v>
      </c>
      <c r="N20" s="129">
        <f t="shared" si="7"/>
        <v>3546.5826086956522</v>
      </c>
      <c r="O20" s="130"/>
      <c r="P20" s="124">
        <v>2753</v>
      </c>
      <c r="Q20" s="125">
        <f t="shared" si="8"/>
        <v>21.176923076923078</v>
      </c>
      <c r="R20" s="124">
        <v>66</v>
      </c>
      <c r="S20" s="132">
        <f t="shared" si="9"/>
        <v>0.50769230769230766</v>
      </c>
      <c r="T20" s="133">
        <f t="shared" si="10"/>
        <v>359.08695652173913</v>
      </c>
      <c r="U20" s="133">
        <f t="shared" si="11"/>
        <v>2393.913043478261</v>
      </c>
      <c r="V20" s="124">
        <v>141</v>
      </c>
      <c r="W20" s="126">
        <f t="shared" si="12"/>
        <v>1.0846153846153845</v>
      </c>
      <c r="X20" s="124">
        <v>493</v>
      </c>
      <c r="Y20" s="126">
        <f t="shared" si="13"/>
        <v>0.17907737014166364</v>
      </c>
      <c r="Z20" s="134"/>
      <c r="AA20" s="125">
        <f t="shared" si="14"/>
        <v>4410</v>
      </c>
      <c r="AB20" s="125">
        <f t="shared" si="15"/>
        <v>3546.5826086956522</v>
      </c>
      <c r="AC20" s="135">
        <f t="shared" si="16"/>
        <v>2753</v>
      </c>
      <c r="AD20" s="136">
        <f t="shared" si="17"/>
        <v>2393.913043478261</v>
      </c>
      <c r="AE20" s="125">
        <f t="shared" si="18"/>
        <v>7163</v>
      </c>
      <c r="AF20" s="46">
        <f t="shared" si="19"/>
        <v>5940.4956521739132</v>
      </c>
    </row>
    <row r="21" spans="2:32" ht="15" customHeight="1" x14ac:dyDescent="0.25">
      <c r="B21" s="90">
        <v>46151</v>
      </c>
      <c r="C21" s="124" t="s">
        <v>60</v>
      </c>
      <c r="D21" s="123">
        <v>238</v>
      </c>
      <c r="E21" s="124">
        <v>18</v>
      </c>
      <c r="F21" s="124">
        <v>1073</v>
      </c>
      <c r="G21" s="124">
        <v>26</v>
      </c>
      <c r="H21" s="124">
        <v>942</v>
      </c>
      <c r="I21" s="125">
        <f t="shared" si="3"/>
        <v>36.230769230769234</v>
      </c>
      <c r="J21" s="126">
        <f t="shared" si="4"/>
        <v>2.4231127679403542E-2</v>
      </c>
      <c r="K21" s="127">
        <f t="shared" si="5"/>
        <v>122.8695652173913</v>
      </c>
      <c r="L21" s="127">
        <f t="shared" si="6"/>
        <v>819.13043478260875</v>
      </c>
      <c r="M21" s="124">
        <v>63.48</v>
      </c>
      <c r="N21" s="129">
        <f t="shared" si="7"/>
        <v>755.65043478260873</v>
      </c>
      <c r="O21" s="130"/>
      <c r="P21" s="124">
        <v>876</v>
      </c>
      <c r="Q21" s="125">
        <f t="shared" si="8"/>
        <v>33.692307692307693</v>
      </c>
      <c r="R21" s="124">
        <v>24</v>
      </c>
      <c r="S21" s="132">
        <f t="shared" si="9"/>
        <v>0.92307692307692313</v>
      </c>
      <c r="T21" s="133">
        <f t="shared" si="10"/>
        <v>114.26086956521739</v>
      </c>
      <c r="U21" s="133">
        <f t="shared" si="11"/>
        <v>761.73913043478262</v>
      </c>
      <c r="V21" s="124">
        <v>38</v>
      </c>
      <c r="W21" s="126">
        <f t="shared" si="12"/>
        <v>1.4615384615384615</v>
      </c>
      <c r="X21" s="124">
        <v>148.96</v>
      </c>
      <c r="Y21" s="126">
        <f t="shared" si="13"/>
        <v>0.17004566210045663</v>
      </c>
      <c r="Z21" s="134"/>
      <c r="AA21" s="125">
        <f t="shared" si="14"/>
        <v>942</v>
      </c>
      <c r="AB21" s="125">
        <f t="shared" si="15"/>
        <v>755.65043478260873</v>
      </c>
      <c r="AC21" s="135">
        <f t="shared" si="16"/>
        <v>876</v>
      </c>
      <c r="AD21" s="136">
        <f t="shared" si="17"/>
        <v>761.73913043478262</v>
      </c>
      <c r="AE21" s="125">
        <f t="shared" si="18"/>
        <v>1818</v>
      </c>
      <c r="AF21" s="46">
        <f t="shared" si="19"/>
        <v>1517.3895652173915</v>
      </c>
    </row>
    <row r="22" spans="2:32" ht="15" customHeight="1" x14ac:dyDescent="0.25">
      <c r="B22" s="90">
        <v>46152</v>
      </c>
      <c r="C22" s="124" t="s">
        <v>61</v>
      </c>
      <c r="D22" s="123">
        <v>238</v>
      </c>
      <c r="E22" s="124">
        <v>16</v>
      </c>
      <c r="F22" s="124">
        <v>952</v>
      </c>
      <c r="G22" s="124">
        <v>15</v>
      </c>
      <c r="H22" s="124">
        <v>480</v>
      </c>
      <c r="I22" s="125">
        <f t="shared" si="3"/>
        <v>32</v>
      </c>
      <c r="J22" s="126">
        <f t="shared" si="4"/>
        <v>1.5756302521008403E-2</v>
      </c>
      <c r="K22" s="127">
        <f t="shared" si="5"/>
        <v>62.608695652173914</v>
      </c>
      <c r="L22" s="127">
        <f t="shared" si="6"/>
        <v>417.39130434782606</v>
      </c>
      <c r="M22" s="124">
        <v>41.75</v>
      </c>
      <c r="N22" s="129">
        <f t="shared" si="7"/>
        <v>375.64130434782606</v>
      </c>
      <c r="O22" s="130"/>
      <c r="P22" s="124">
        <v>503.6</v>
      </c>
      <c r="Q22" s="125">
        <f t="shared" si="8"/>
        <v>33.573333333333338</v>
      </c>
      <c r="R22" s="124">
        <v>14</v>
      </c>
      <c r="S22" s="132">
        <f t="shared" si="9"/>
        <v>0.93333333333333335</v>
      </c>
      <c r="T22" s="133">
        <f t="shared" si="10"/>
        <v>65.686956521739134</v>
      </c>
      <c r="U22" s="133">
        <f t="shared" si="11"/>
        <v>437.91304347826087</v>
      </c>
      <c r="V22" s="124">
        <v>22</v>
      </c>
      <c r="W22" s="126">
        <f t="shared" si="12"/>
        <v>1.4666666666666666</v>
      </c>
      <c r="X22" s="124">
        <v>117.76</v>
      </c>
      <c r="Y22" s="126">
        <f t="shared" si="13"/>
        <v>0.23383637807783955</v>
      </c>
      <c r="Z22" s="134"/>
      <c r="AA22" s="125">
        <f t="shared" si="14"/>
        <v>480</v>
      </c>
      <c r="AB22" s="125">
        <f t="shared" si="15"/>
        <v>375.64130434782606</v>
      </c>
      <c r="AC22" s="135">
        <f t="shared" si="16"/>
        <v>503.6</v>
      </c>
      <c r="AD22" s="136">
        <f t="shared" si="17"/>
        <v>437.91304347826087</v>
      </c>
      <c r="AE22" s="125">
        <f t="shared" si="18"/>
        <v>983.6</v>
      </c>
      <c r="AF22" s="46">
        <f t="shared" si="19"/>
        <v>813.554347826087</v>
      </c>
    </row>
    <row r="23" spans="2:32" ht="15" customHeight="1" x14ac:dyDescent="0.25">
      <c r="B23" s="90">
        <v>46153</v>
      </c>
      <c r="C23" s="124" t="s">
        <v>62</v>
      </c>
      <c r="D23" s="123">
        <v>238</v>
      </c>
      <c r="E23" s="124">
        <v>16</v>
      </c>
      <c r="F23" s="124">
        <v>952</v>
      </c>
      <c r="G23" s="124">
        <v>25</v>
      </c>
      <c r="H23" s="124">
        <v>800</v>
      </c>
      <c r="I23" s="125">
        <f t="shared" si="3"/>
        <v>32</v>
      </c>
      <c r="J23" s="126">
        <f t="shared" si="4"/>
        <v>2.6260504201680673E-2</v>
      </c>
      <c r="K23" s="127">
        <f t="shared" si="5"/>
        <v>104.34782608695652</v>
      </c>
      <c r="L23" s="127">
        <f t="shared" si="6"/>
        <v>695.6521739130435</v>
      </c>
      <c r="M23" s="124">
        <v>13.91</v>
      </c>
      <c r="N23" s="129">
        <f t="shared" si="7"/>
        <v>681.74217391304353</v>
      </c>
      <c r="O23" s="130"/>
      <c r="P23" s="124">
        <v>523</v>
      </c>
      <c r="Q23" s="125">
        <f t="shared" si="8"/>
        <v>20.92</v>
      </c>
      <c r="R23" s="124">
        <v>16</v>
      </c>
      <c r="S23" s="132">
        <f t="shared" si="9"/>
        <v>0.64</v>
      </c>
      <c r="T23" s="133">
        <f t="shared" si="10"/>
        <v>68.217391304347828</v>
      </c>
      <c r="U23" s="133">
        <f t="shared" si="11"/>
        <v>454.78260869565219</v>
      </c>
      <c r="V23" s="124">
        <v>33</v>
      </c>
      <c r="W23" s="126">
        <f t="shared" si="12"/>
        <v>1.32</v>
      </c>
      <c r="X23" s="124">
        <v>93.6</v>
      </c>
      <c r="Y23" s="126">
        <f t="shared" si="13"/>
        <v>0.17896749521988525</v>
      </c>
      <c r="Z23" s="134"/>
      <c r="AA23" s="125">
        <f t="shared" si="14"/>
        <v>800</v>
      </c>
      <c r="AB23" s="125">
        <f t="shared" si="15"/>
        <v>681.74217391304353</v>
      </c>
      <c r="AC23" s="135">
        <f t="shared" si="16"/>
        <v>523</v>
      </c>
      <c r="AD23" s="136">
        <f t="shared" si="17"/>
        <v>454.78260869565219</v>
      </c>
      <c r="AE23" s="125">
        <f t="shared" si="18"/>
        <v>1323</v>
      </c>
      <c r="AF23" s="46">
        <f t="shared" si="19"/>
        <v>1136.5247826086957</v>
      </c>
    </row>
    <row r="24" spans="2:32" ht="15" customHeight="1" x14ac:dyDescent="0.25">
      <c r="B24" s="90">
        <v>46154</v>
      </c>
      <c r="C24" s="124" t="s">
        <v>63</v>
      </c>
      <c r="D24" s="123">
        <v>238</v>
      </c>
      <c r="E24" s="124">
        <v>16</v>
      </c>
      <c r="F24" s="124">
        <v>952</v>
      </c>
      <c r="G24" s="124">
        <v>28</v>
      </c>
      <c r="H24" s="124">
        <v>714</v>
      </c>
      <c r="I24" s="125">
        <f t="shared" si="3"/>
        <v>25.5</v>
      </c>
      <c r="J24" s="126">
        <f t="shared" si="4"/>
        <v>2.9411764705882353E-2</v>
      </c>
      <c r="K24" s="127">
        <f t="shared" si="5"/>
        <v>93.130434782608702</v>
      </c>
      <c r="L24" s="127">
        <f t="shared" si="6"/>
        <v>620.86956521739125</v>
      </c>
      <c r="M24" s="124">
        <v>25.92</v>
      </c>
      <c r="N24" s="129">
        <f t="shared" si="7"/>
        <v>594.9495652173913</v>
      </c>
      <c r="O24" s="130"/>
      <c r="P24" s="124">
        <v>749</v>
      </c>
      <c r="Q24" s="125">
        <f t="shared" si="8"/>
        <v>26.75</v>
      </c>
      <c r="R24" s="124">
        <v>19</v>
      </c>
      <c r="S24" s="132">
        <f t="shared" si="9"/>
        <v>0.6785714285714286</v>
      </c>
      <c r="T24" s="133">
        <f t="shared" si="10"/>
        <v>97.695652173913047</v>
      </c>
      <c r="U24" s="133">
        <f t="shared" si="11"/>
        <v>651.304347826087</v>
      </c>
      <c r="V24" s="124">
        <v>44</v>
      </c>
      <c r="W24" s="126">
        <f t="shared" si="12"/>
        <v>1.5714285714285714</v>
      </c>
      <c r="X24" s="124">
        <v>135.41999999999999</v>
      </c>
      <c r="Y24" s="126">
        <f t="shared" si="13"/>
        <v>0.18080106809078769</v>
      </c>
      <c r="Z24" s="134"/>
      <c r="AA24" s="125">
        <f t="shared" si="14"/>
        <v>714</v>
      </c>
      <c r="AB24" s="125">
        <f t="shared" si="15"/>
        <v>594.9495652173913</v>
      </c>
      <c r="AC24" s="135">
        <f t="shared" si="16"/>
        <v>749</v>
      </c>
      <c r="AD24" s="136">
        <f t="shared" si="17"/>
        <v>651.304347826087</v>
      </c>
      <c r="AE24" s="125">
        <f t="shared" si="18"/>
        <v>1463</v>
      </c>
      <c r="AF24" s="46">
        <f t="shared" si="19"/>
        <v>1246.2539130434784</v>
      </c>
    </row>
    <row r="25" spans="2:32" ht="15" customHeight="1" x14ac:dyDescent="0.25">
      <c r="B25" s="90">
        <v>46155</v>
      </c>
      <c r="C25" s="124" t="s">
        <v>64</v>
      </c>
      <c r="D25" s="123">
        <v>238</v>
      </c>
      <c r="E25" s="124">
        <v>16</v>
      </c>
      <c r="F25" s="124">
        <v>952</v>
      </c>
      <c r="G25" s="124">
        <v>23</v>
      </c>
      <c r="H25" s="124">
        <v>736</v>
      </c>
      <c r="I25" s="125">
        <f t="shared" si="3"/>
        <v>32</v>
      </c>
      <c r="J25" s="126">
        <f t="shared" si="4"/>
        <v>2.4159663865546219E-2</v>
      </c>
      <c r="K25" s="127">
        <f t="shared" si="5"/>
        <v>96</v>
      </c>
      <c r="L25" s="127">
        <f t="shared" si="6"/>
        <v>640</v>
      </c>
      <c r="M25" s="124">
        <v>33.4</v>
      </c>
      <c r="N25" s="129">
        <f t="shared" si="7"/>
        <v>606.6</v>
      </c>
      <c r="O25" s="130"/>
      <c r="P25" s="124">
        <v>480</v>
      </c>
      <c r="Q25" s="125">
        <f t="shared" si="8"/>
        <v>20.869565217391305</v>
      </c>
      <c r="R25" s="124">
        <v>19</v>
      </c>
      <c r="S25" s="132">
        <f t="shared" si="9"/>
        <v>0.82608695652173914</v>
      </c>
      <c r="T25" s="133">
        <f t="shared" si="10"/>
        <v>62.608695652173914</v>
      </c>
      <c r="U25" s="133">
        <f t="shared" si="11"/>
        <v>417.39130434782606</v>
      </c>
      <c r="V25" s="124">
        <v>47</v>
      </c>
      <c r="W25" s="126">
        <f t="shared" si="12"/>
        <v>2.0434782608695654</v>
      </c>
      <c r="X25" s="124">
        <v>102.45</v>
      </c>
      <c r="Y25" s="126">
        <f t="shared" si="13"/>
        <v>0.2134375</v>
      </c>
      <c r="Z25" s="134"/>
      <c r="AA25" s="125">
        <f t="shared" si="14"/>
        <v>736</v>
      </c>
      <c r="AB25" s="125">
        <f t="shared" si="15"/>
        <v>606.6</v>
      </c>
      <c r="AC25" s="135">
        <f t="shared" si="16"/>
        <v>480</v>
      </c>
      <c r="AD25" s="136">
        <f t="shared" si="17"/>
        <v>417.39130434782606</v>
      </c>
      <c r="AE25" s="125">
        <f t="shared" si="18"/>
        <v>1216</v>
      </c>
      <c r="AF25" s="46">
        <f t="shared" si="19"/>
        <v>1023.9913043478261</v>
      </c>
    </row>
    <row r="26" spans="2:32" ht="15" customHeight="1" x14ac:dyDescent="0.25">
      <c r="B26" s="90">
        <v>46156</v>
      </c>
      <c r="C26" s="124" t="s">
        <v>57</v>
      </c>
      <c r="D26" s="123">
        <v>238</v>
      </c>
      <c r="E26" s="124">
        <v>17</v>
      </c>
      <c r="F26" s="124">
        <v>989</v>
      </c>
      <c r="G26" s="124">
        <v>159</v>
      </c>
      <c r="H26" s="124">
        <v>5105</v>
      </c>
      <c r="I26" s="125">
        <f t="shared" si="3"/>
        <v>32.106918238993714</v>
      </c>
      <c r="J26" s="126">
        <f t="shared" si="4"/>
        <v>0.16076845298281092</v>
      </c>
      <c r="K26" s="127">
        <f t="shared" si="5"/>
        <v>665.86956521739125</v>
      </c>
      <c r="L26" s="127">
        <f t="shared" si="6"/>
        <v>4439.130434782609</v>
      </c>
      <c r="M26" s="124">
        <v>380.91</v>
      </c>
      <c r="N26" s="129">
        <f t="shared" si="7"/>
        <v>4058.2204347826091</v>
      </c>
      <c r="O26" s="130"/>
      <c r="P26" s="124">
        <v>2095</v>
      </c>
      <c r="Q26" s="125">
        <f t="shared" si="8"/>
        <v>13.176100628930818</v>
      </c>
      <c r="R26" s="124">
        <v>44</v>
      </c>
      <c r="S26" s="132">
        <f t="shared" si="9"/>
        <v>0.27672955974842767</v>
      </c>
      <c r="T26" s="133">
        <f t="shared" si="10"/>
        <v>273.26086956521738</v>
      </c>
      <c r="U26" s="133">
        <f t="shared" si="11"/>
        <v>1821.7391304347825</v>
      </c>
      <c r="V26" s="124">
        <v>104</v>
      </c>
      <c r="W26" s="126">
        <f t="shared" si="12"/>
        <v>0.65408805031446537</v>
      </c>
      <c r="X26" s="124">
        <v>360.84</v>
      </c>
      <c r="Y26" s="126">
        <f t="shared" si="13"/>
        <v>0.17223866348448685</v>
      </c>
      <c r="Z26" s="134"/>
      <c r="AA26" s="125">
        <f t="shared" si="14"/>
        <v>5105</v>
      </c>
      <c r="AB26" s="125">
        <f t="shared" si="15"/>
        <v>4058.2204347826091</v>
      </c>
      <c r="AC26" s="135">
        <f t="shared" si="16"/>
        <v>2095</v>
      </c>
      <c r="AD26" s="136">
        <f t="shared" si="17"/>
        <v>1821.7391304347825</v>
      </c>
      <c r="AE26" s="125">
        <f t="shared" si="18"/>
        <v>7200</v>
      </c>
      <c r="AF26" s="46">
        <f t="shared" si="19"/>
        <v>5879.9595652173921</v>
      </c>
    </row>
    <row r="27" spans="2:32" ht="15" customHeight="1" x14ac:dyDescent="0.25">
      <c r="B27" s="90">
        <v>46157</v>
      </c>
      <c r="C27" s="124" t="s">
        <v>59</v>
      </c>
      <c r="D27" s="123">
        <v>238</v>
      </c>
      <c r="E27" s="124">
        <v>18</v>
      </c>
      <c r="F27" s="124">
        <v>1053</v>
      </c>
      <c r="G27" s="124">
        <v>271</v>
      </c>
      <c r="H27" s="124">
        <v>9130</v>
      </c>
      <c r="I27" s="125">
        <f t="shared" si="3"/>
        <v>33.690036900369002</v>
      </c>
      <c r="J27" s="126">
        <f t="shared" si="4"/>
        <v>0.25735992402659069</v>
      </c>
      <c r="K27" s="127">
        <f t="shared" si="5"/>
        <v>1190.8695652173913</v>
      </c>
      <c r="L27" s="127">
        <f t="shared" si="6"/>
        <v>7939.130434782609</v>
      </c>
      <c r="M27" s="148">
        <v>757.46</v>
      </c>
      <c r="N27" s="129">
        <f t="shared" si="7"/>
        <v>7181.6704347826089</v>
      </c>
      <c r="O27" s="130"/>
      <c r="P27" s="124">
        <v>2700.38</v>
      </c>
      <c r="Q27" s="125">
        <f t="shared" si="8"/>
        <v>9.9645018450184502</v>
      </c>
      <c r="R27" s="124">
        <v>72</v>
      </c>
      <c r="S27" s="132">
        <f t="shared" si="9"/>
        <v>0.26568265682656828</v>
      </c>
      <c r="T27" s="133">
        <f t="shared" si="10"/>
        <v>352.22347826086963</v>
      </c>
      <c r="U27" s="133">
        <f t="shared" si="11"/>
        <v>2348.1565217391303</v>
      </c>
      <c r="V27" s="124">
        <v>158</v>
      </c>
      <c r="W27" s="126">
        <f t="shared" si="12"/>
        <v>0.58302583025830257</v>
      </c>
      <c r="X27" s="124">
        <v>500.48</v>
      </c>
      <c r="Y27" s="126">
        <f t="shared" si="13"/>
        <v>0.18533687851339442</v>
      </c>
      <c r="Z27" s="134"/>
      <c r="AA27" s="125">
        <f t="shared" si="14"/>
        <v>9130</v>
      </c>
      <c r="AB27" s="125">
        <f t="shared" si="15"/>
        <v>7181.6704347826089</v>
      </c>
      <c r="AC27" s="135">
        <f t="shared" si="16"/>
        <v>2700.38</v>
      </c>
      <c r="AD27" s="136">
        <f t="shared" si="17"/>
        <v>2348.1565217391303</v>
      </c>
      <c r="AE27" s="125">
        <f t="shared" si="18"/>
        <v>11830.380000000001</v>
      </c>
      <c r="AF27" s="46">
        <f t="shared" si="19"/>
        <v>9529.8269565217397</v>
      </c>
    </row>
    <row r="28" spans="2:32" ht="15" customHeight="1" x14ac:dyDescent="0.25">
      <c r="B28" s="90">
        <v>46158</v>
      </c>
      <c r="C28" s="124" t="s">
        <v>60</v>
      </c>
      <c r="D28" s="123">
        <v>238</v>
      </c>
      <c r="E28" s="124">
        <v>17</v>
      </c>
      <c r="F28" s="124">
        <v>989</v>
      </c>
      <c r="G28" s="124">
        <v>55</v>
      </c>
      <c r="H28" s="124">
        <v>1796</v>
      </c>
      <c r="I28" s="125">
        <f t="shared" si="3"/>
        <v>32.654545454545456</v>
      </c>
      <c r="J28" s="126">
        <f t="shared" si="4"/>
        <v>5.5611729019211326E-2</v>
      </c>
      <c r="K28" s="127">
        <f t="shared" si="5"/>
        <v>234.2608695652174</v>
      </c>
      <c r="L28" s="149">
        <f t="shared" si="6"/>
        <v>1561.7391304347825</v>
      </c>
      <c r="M28" s="124">
        <v>151.84</v>
      </c>
      <c r="N28" s="150">
        <f t="shared" si="7"/>
        <v>1409.8991304347826</v>
      </c>
      <c r="O28" s="130"/>
      <c r="P28" s="124">
        <v>905</v>
      </c>
      <c r="Q28" s="125">
        <f t="shared" si="8"/>
        <v>16.454545454545453</v>
      </c>
      <c r="R28" s="124">
        <v>20</v>
      </c>
      <c r="S28" s="132">
        <f t="shared" si="9"/>
        <v>0.36363636363636365</v>
      </c>
      <c r="T28" s="133">
        <f t="shared" si="10"/>
        <v>118.04347826086956</v>
      </c>
      <c r="U28" s="133">
        <f t="shared" si="11"/>
        <v>786.95652173913049</v>
      </c>
      <c r="V28" s="124">
        <v>39</v>
      </c>
      <c r="W28" s="126">
        <f t="shared" si="12"/>
        <v>0.70909090909090911</v>
      </c>
      <c r="X28" s="124">
        <v>167.8</v>
      </c>
      <c r="Y28" s="126">
        <f t="shared" si="13"/>
        <v>0.18541436464088398</v>
      </c>
      <c r="Z28" s="134"/>
      <c r="AA28" s="125">
        <f t="shared" si="14"/>
        <v>1796</v>
      </c>
      <c r="AB28" s="125">
        <f t="shared" si="15"/>
        <v>1409.8991304347826</v>
      </c>
      <c r="AC28" s="135">
        <f t="shared" si="16"/>
        <v>905</v>
      </c>
      <c r="AD28" s="136">
        <f t="shared" si="17"/>
        <v>786.95652173913049</v>
      </c>
      <c r="AE28" s="125">
        <f t="shared" si="18"/>
        <v>2701</v>
      </c>
      <c r="AF28" s="46">
        <f t="shared" si="19"/>
        <v>2196.8556521739129</v>
      </c>
    </row>
    <row r="29" spans="2:32" ht="15" customHeight="1" x14ac:dyDescent="0.25">
      <c r="B29" s="90">
        <v>46159</v>
      </c>
      <c r="C29" s="124" t="s">
        <v>61</v>
      </c>
      <c r="D29" s="123">
        <v>238</v>
      </c>
      <c r="E29" s="124">
        <v>16</v>
      </c>
      <c r="F29" s="124">
        <v>952</v>
      </c>
      <c r="G29" s="124">
        <v>35</v>
      </c>
      <c r="H29" s="124">
        <v>1141</v>
      </c>
      <c r="I29" s="125">
        <f t="shared" si="3"/>
        <v>32.6</v>
      </c>
      <c r="J29" s="126">
        <f t="shared" si="4"/>
        <v>3.6764705882352942E-2</v>
      </c>
      <c r="K29" s="127">
        <f t="shared" si="5"/>
        <v>148.82608695652175</v>
      </c>
      <c r="L29" s="149">
        <f t="shared" si="6"/>
        <v>992.17391304347825</v>
      </c>
      <c r="M29" s="124">
        <v>77.92</v>
      </c>
      <c r="N29" s="150">
        <f t="shared" si="7"/>
        <v>914.25391304347829</v>
      </c>
      <c r="O29" s="130"/>
      <c r="P29" s="124">
        <v>649</v>
      </c>
      <c r="Q29" s="125">
        <f t="shared" si="8"/>
        <v>18.542857142857144</v>
      </c>
      <c r="R29" s="124">
        <v>20</v>
      </c>
      <c r="S29" s="132">
        <f t="shared" si="9"/>
        <v>0.5714285714285714</v>
      </c>
      <c r="T29" s="133">
        <f t="shared" si="10"/>
        <v>84.652173913043484</v>
      </c>
      <c r="U29" s="133">
        <f t="shared" si="11"/>
        <v>564.3478260869565</v>
      </c>
      <c r="V29" s="124">
        <v>34</v>
      </c>
      <c r="W29" s="126">
        <f t="shared" si="12"/>
        <v>0.97142857142857142</v>
      </c>
      <c r="X29" s="124">
        <v>140.99</v>
      </c>
      <c r="Y29" s="126">
        <f t="shared" si="13"/>
        <v>0.21724191063174114</v>
      </c>
      <c r="Z29" s="134"/>
      <c r="AA29" s="125">
        <f t="shared" si="14"/>
        <v>1141</v>
      </c>
      <c r="AB29" s="125">
        <f t="shared" si="15"/>
        <v>914.25391304347829</v>
      </c>
      <c r="AC29" s="135">
        <f t="shared" si="16"/>
        <v>649</v>
      </c>
      <c r="AD29" s="136">
        <f t="shared" si="17"/>
        <v>564.3478260869565</v>
      </c>
      <c r="AE29" s="125">
        <f t="shared" si="18"/>
        <v>1790</v>
      </c>
      <c r="AF29" s="46">
        <f t="shared" si="19"/>
        <v>1478.6017391304349</v>
      </c>
    </row>
    <row r="30" spans="2:32" ht="15" customHeight="1" x14ac:dyDescent="0.25">
      <c r="B30" s="90">
        <v>46160</v>
      </c>
      <c r="C30" s="124" t="s">
        <v>62</v>
      </c>
      <c r="D30" s="123">
        <v>238</v>
      </c>
      <c r="E30" s="124">
        <v>16</v>
      </c>
      <c r="F30" s="124">
        <v>952</v>
      </c>
      <c r="G30" s="124">
        <v>16</v>
      </c>
      <c r="H30" s="124">
        <v>512</v>
      </c>
      <c r="I30" s="125">
        <f t="shared" si="3"/>
        <v>32</v>
      </c>
      <c r="J30" s="132">
        <f t="shared" si="4"/>
        <v>1.680672268907563E-2</v>
      </c>
      <c r="K30" s="127">
        <f t="shared" si="5"/>
        <v>66.782608695652172</v>
      </c>
      <c r="L30" s="149">
        <f t="shared" si="6"/>
        <v>445.21739130434781</v>
      </c>
      <c r="M30" s="124">
        <v>44.53</v>
      </c>
      <c r="N30" s="150">
        <f t="shared" si="7"/>
        <v>400.68739130434778</v>
      </c>
      <c r="O30" s="130"/>
      <c r="P30" s="124">
        <v>290</v>
      </c>
      <c r="Q30" s="125">
        <f t="shared" si="8"/>
        <v>18.125</v>
      </c>
      <c r="R30" s="124">
        <v>10</v>
      </c>
      <c r="S30" s="132">
        <f t="shared" si="9"/>
        <v>0.625</v>
      </c>
      <c r="T30" s="133">
        <f t="shared" si="10"/>
        <v>37.826086956521742</v>
      </c>
      <c r="U30" s="133">
        <f t="shared" si="11"/>
        <v>252.17391304347825</v>
      </c>
      <c r="V30" s="124">
        <v>18</v>
      </c>
      <c r="W30" s="126">
        <f t="shared" si="12"/>
        <v>1.125</v>
      </c>
      <c r="X30" s="124">
        <v>52.63</v>
      </c>
      <c r="Y30" s="126">
        <f t="shared" si="13"/>
        <v>0.18148275862068966</v>
      </c>
      <c r="Z30" s="134"/>
      <c r="AA30" s="125">
        <f t="shared" si="14"/>
        <v>512</v>
      </c>
      <c r="AB30" s="125">
        <f t="shared" si="15"/>
        <v>400.68739130434778</v>
      </c>
      <c r="AC30" s="135">
        <f t="shared" si="16"/>
        <v>290</v>
      </c>
      <c r="AD30" s="136">
        <f t="shared" si="17"/>
        <v>252.17391304347825</v>
      </c>
      <c r="AE30" s="125">
        <f t="shared" si="18"/>
        <v>802</v>
      </c>
      <c r="AF30" s="46">
        <f t="shared" si="19"/>
        <v>652.86130434782604</v>
      </c>
    </row>
    <row r="31" spans="2:32" ht="15" customHeight="1" x14ac:dyDescent="0.25">
      <c r="B31" s="90">
        <v>46161</v>
      </c>
      <c r="C31" s="124" t="s">
        <v>63</v>
      </c>
      <c r="D31" s="123">
        <v>238</v>
      </c>
      <c r="E31" s="124">
        <v>16</v>
      </c>
      <c r="F31" s="124">
        <v>952</v>
      </c>
      <c r="G31" s="124">
        <v>22</v>
      </c>
      <c r="H31" s="124">
        <v>572</v>
      </c>
      <c r="I31" s="125">
        <f t="shared" si="3"/>
        <v>26</v>
      </c>
      <c r="J31" s="126">
        <f t="shared" si="4"/>
        <v>2.3109243697478993E-2</v>
      </c>
      <c r="K31" s="127">
        <f t="shared" si="5"/>
        <v>74.608695652173907</v>
      </c>
      <c r="L31" s="149">
        <f t="shared" si="6"/>
        <v>497.39130434782612</v>
      </c>
      <c r="M31" s="124">
        <v>32.35</v>
      </c>
      <c r="N31" s="150">
        <f t="shared" si="7"/>
        <v>465.0413043478261</v>
      </c>
      <c r="O31" s="130"/>
      <c r="P31" s="124">
        <v>258</v>
      </c>
      <c r="Q31" s="125">
        <f t="shared" si="8"/>
        <v>11.727272727272727</v>
      </c>
      <c r="R31" s="124">
        <v>10</v>
      </c>
      <c r="S31" s="132">
        <f t="shared" si="9"/>
        <v>0.45454545454545453</v>
      </c>
      <c r="T31" s="133">
        <f t="shared" si="10"/>
        <v>33.652173913043477</v>
      </c>
      <c r="U31" s="133">
        <f t="shared" si="11"/>
        <v>224.34782608695653</v>
      </c>
      <c r="V31" s="124">
        <v>16</v>
      </c>
      <c r="W31" s="126">
        <f t="shared" si="12"/>
        <v>0.72727272727272729</v>
      </c>
      <c r="X31" s="124">
        <v>48.06</v>
      </c>
      <c r="Y31" s="126">
        <f t="shared" si="13"/>
        <v>0.18627906976744188</v>
      </c>
      <c r="Z31" s="134"/>
      <c r="AA31" s="125">
        <f t="shared" si="14"/>
        <v>572</v>
      </c>
      <c r="AB31" s="125">
        <f t="shared" si="15"/>
        <v>465.0413043478261</v>
      </c>
      <c r="AC31" s="135">
        <f t="shared" si="16"/>
        <v>258</v>
      </c>
      <c r="AD31" s="136">
        <f t="shared" si="17"/>
        <v>224.34782608695653</v>
      </c>
      <c r="AE31" s="125">
        <f t="shared" si="18"/>
        <v>830</v>
      </c>
      <c r="AF31" s="46">
        <f t="shared" si="19"/>
        <v>689.3891304347826</v>
      </c>
    </row>
    <row r="32" spans="2:32" ht="15" customHeight="1" x14ac:dyDescent="0.25">
      <c r="B32" s="90">
        <v>46162</v>
      </c>
      <c r="C32" s="124" t="s">
        <v>64</v>
      </c>
      <c r="D32" s="123">
        <v>238</v>
      </c>
      <c r="E32" s="124">
        <v>16</v>
      </c>
      <c r="F32" s="124">
        <v>952</v>
      </c>
      <c r="G32" s="124">
        <v>25</v>
      </c>
      <c r="H32" s="124">
        <v>798</v>
      </c>
      <c r="I32" s="125">
        <f t="shared" si="3"/>
        <v>31.92</v>
      </c>
      <c r="J32" s="126">
        <f t="shared" si="4"/>
        <v>2.6260504201680673E-2</v>
      </c>
      <c r="K32" s="127">
        <f t="shared" si="5"/>
        <v>104.08695652173913</v>
      </c>
      <c r="L32" s="149">
        <f t="shared" si="6"/>
        <v>693.91304347826087</v>
      </c>
      <c r="M32" s="124">
        <v>56.35</v>
      </c>
      <c r="N32" s="150">
        <f t="shared" si="7"/>
        <v>637.56304347826085</v>
      </c>
      <c r="O32" s="130"/>
      <c r="P32" s="124">
        <v>495</v>
      </c>
      <c r="Q32" s="125">
        <f t="shared" si="8"/>
        <v>19.8</v>
      </c>
      <c r="R32" s="124">
        <v>22</v>
      </c>
      <c r="S32" s="132">
        <f t="shared" si="9"/>
        <v>0.88</v>
      </c>
      <c r="T32" s="133">
        <f t="shared" si="10"/>
        <v>64.565217391304344</v>
      </c>
      <c r="U32" s="133">
        <f t="shared" si="11"/>
        <v>430.43478260869563</v>
      </c>
      <c r="V32" s="124">
        <v>46</v>
      </c>
      <c r="W32" s="126">
        <f t="shared" si="12"/>
        <v>1.84</v>
      </c>
      <c r="X32" s="124">
        <v>128.06</v>
      </c>
      <c r="Y32" s="126">
        <f t="shared" si="13"/>
        <v>0.25870707070707072</v>
      </c>
      <c r="Z32" s="134"/>
      <c r="AA32" s="125">
        <f t="shared" si="14"/>
        <v>798</v>
      </c>
      <c r="AB32" s="125">
        <f t="shared" si="15"/>
        <v>637.56304347826085</v>
      </c>
      <c r="AC32" s="135">
        <f t="shared" si="16"/>
        <v>495</v>
      </c>
      <c r="AD32" s="136">
        <f t="shared" si="17"/>
        <v>430.43478260869563</v>
      </c>
      <c r="AE32" s="125">
        <f t="shared" si="18"/>
        <v>1293</v>
      </c>
      <c r="AF32" s="46">
        <f t="shared" si="19"/>
        <v>1067.9978260869566</v>
      </c>
    </row>
    <row r="33" spans="2:32" ht="15" customHeight="1" x14ac:dyDescent="0.25">
      <c r="B33" s="90">
        <v>46163</v>
      </c>
      <c r="C33" s="124" t="s">
        <v>57</v>
      </c>
      <c r="D33" s="123">
        <v>238</v>
      </c>
      <c r="E33" s="124">
        <v>18</v>
      </c>
      <c r="F33" s="124">
        <v>1046</v>
      </c>
      <c r="G33" s="124">
        <v>366</v>
      </c>
      <c r="H33" s="124">
        <v>12472</v>
      </c>
      <c r="I33" s="125">
        <f t="shared" si="3"/>
        <v>34.076502732240435</v>
      </c>
      <c r="J33" s="126">
        <f t="shared" si="4"/>
        <v>0.34990439770554493</v>
      </c>
      <c r="K33" s="127">
        <f t="shared" si="5"/>
        <v>1626.7826086956522</v>
      </c>
      <c r="L33" s="149">
        <f t="shared" si="6"/>
        <v>10845.217391304348</v>
      </c>
      <c r="M33" s="124">
        <v>1084.6199999999999</v>
      </c>
      <c r="N33" s="150">
        <f t="shared" si="7"/>
        <v>9760.597391304349</v>
      </c>
      <c r="O33" s="130"/>
      <c r="P33" s="124">
        <v>2799</v>
      </c>
      <c r="Q33" s="125">
        <f t="shared" si="8"/>
        <v>7.6475409836065573</v>
      </c>
      <c r="R33" s="124">
        <v>75</v>
      </c>
      <c r="S33" s="132">
        <f t="shared" si="9"/>
        <v>0.20491803278688525</v>
      </c>
      <c r="T33" s="133">
        <f t="shared" si="10"/>
        <v>365.08695652173913</v>
      </c>
      <c r="U33" s="133">
        <f t="shared" si="11"/>
        <v>2433.913043478261</v>
      </c>
      <c r="V33" s="124">
        <v>145</v>
      </c>
      <c r="W33" s="126">
        <f t="shared" si="12"/>
        <v>0.39617486338797814</v>
      </c>
      <c r="X33" s="124">
        <v>536.87</v>
      </c>
      <c r="Y33" s="126">
        <f t="shared" si="13"/>
        <v>0.19180778849589139</v>
      </c>
      <c r="Z33" s="134"/>
      <c r="AA33" s="125">
        <f t="shared" si="14"/>
        <v>12472</v>
      </c>
      <c r="AB33" s="125">
        <f t="shared" si="15"/>
        <v>9760.597391304349</v>
      </c>
      <c r="AC33" s="135">
        <f t="shared" si="16"/>
        <v>2799</v>
      </c>
      <c r="AD33" s="136">
        <f t="shared" si="17"/>
        <v>2433.913043478261</v>
      </c>
      <c r="AE33" s="125">
        <f t="shared" si="18"/>
        <v>15271</v>
      </c>
      <c r="AF33" s="46">
        <f t="shared" si="19"/>
        <v>12194.510434782609</v>
      </c>
    </row>
    <row r="34" spans="2:32" ht="15" customHeight="1" x14ac:dyDescent="0.25">
      <c r="B34" s="90">
        <v>46164</v>
      </c>
      <c r="C34" s="124" t="s">
        <v>59</v>
      </c>
      <c r="D34" s="123">
        <v>238</v>
      </c>
      <c r="E34" s="124">
        <v>18</v>
      </c>
      <c r="F34" s="124">
        <v>1046</v>
      </c>
      <c r="G34" s="124">
        <v>392</v>
      </c>
      <c r="H34" s="124">
        <v>13354</v>
      </c>
      <c r="I34" s="125">
        <f t="shared" si="3"/>
        <v>34.066326530612244</v>
      </c>
      <c r="J34" s="126">
        <f t="shared" si="4"/>
        <v>0.37476099426386233</v>
      </c>
      <c r="K34" s="127">
        <f t="shared" si="5"/>
        <v>1741.8260869565217</v>
      </c>
      <c r="L34" s="149">
        <f t="shared" si="6"/>
        <v>11612.173913043478</v>
      </c>
      <c r="M34" s="151">
        <v>1161.33</v>
      </c>
      <c r="N34" s="150">
        <f t="shared" si="7"/>
        <v>10450.843913043478</v>
      </c>
      <c r="O34" s="130"/>
      <c r="P34" s="124">
        <v>2295</v>
      </c>
      <c r="Q34" s="125">
        <f t="shared" si="8"/>
        <v>5.8545918367346941</v>
      </c>
      <c r="R34" s="124">
        <v>70</v>
      </c>
      <c r="S34" s="132">
        <f t="shared" si="9"/>
        <v>0.17857142857142858</v>
      </c>
      <c r="T34" s="133">
        <f t="shared" si="10"/>
        <v>299.3478260869565</v>
      </c>
      <c r="U34" s="133">
        <f t="shared" si="11"/>
        <v>1995.6521739130435</v>
      </c>
      <c r="V34" s="124">
        <v>119</v>
      </c>
      <c r="W34" s="126">
        <f t="shared" si="12"/>
        <v>0.30357142857142855</v>
      </c>
      <c r="X34" s="124">
        <v>381.1</v>
      </c>
      <c r="Y34" s="126">
        <f t="shared" si="13"/>
        <v>0.1660566448801743</v>
      </c>
      <c r="Z34" s="134"/>
      <c r="AA34" s="125">
        <f t="shared" si="14"/>
        <v>13354</v>
      </c>
      <c r="AB34" s="125">
        <f t="shared" si="15"/>
        <v>10450.843913043478</v>
      </c>
      <c r="AC34" s="135">
        <f t="shared" si="16"/>
        <v>2295</v>
      </c>
      <c r="AD34" s="136">
        <f t="shared" si="17"/>
        <v>1995.6521739130435</v>
      </c>
      <c r="AE34" s="125">
        <f t="shared" si="18"/>
        <v>15649</v>
      </c>
      <c r="AF34" s="46">
        <f t="shared" si="19"/>
        <v>12446.496086956522</v>
      </c>
    </row>
    <row r="35" spans="2:32" ht="15" customHeight="1" x14ac:dyDescent="0.25">
      <c r="B35" s="90">
        <v>46165</v>
      </c>
      <c r="C35" s="124" t="s">
        <v>60</v>
      </c>
      <c r="D35" s="123">
        <v>238</v>
      </c>
      <c r="E35" s="124">
        <v>23</v>
      </c>
      <c r="F35" s="124">
        <v>1321</v>
      </c>
      <c r="G35" s="124">
        <v>197</v>
      </c>
      <c r="H35" s="124">
        <v>6584</v>
      </c>
      <c r="I35" s="125">
        <f t="shared" si="3"/>
        <v>33.421319796954315</v>
      </c>
      <c r="J35" s="126">
        <f t="shared" si="4"/>
        <v>0.14912944738834216</v>
      </c>
      <c r="K35" s="127">
        <f t="shared" si="5"/>
        <v>858.78260869565213</v>
      </c>
      <c r="L35" s="149">
        <f t="shared" si="6"/>
        <v>5725.217391304348</v>
      </c>
      <c r="M35" s="151">
        <v>572.58000000000004</v>
      </c>
      <c r="N35" s="150">
        <f t="shared" si="7"/>
        <v>5152.6373913043481</v>
      </c>
      <c r="O35" s="130"/>
      <c r="P35" s="124">
        <v>2286.12</v>
      </c>
      <c r="Q35" s="125">
        <f t="shared" si="8"/>
        <v>11.60467005076142</v>
      </c>
      <c r="R35" s="124">
        <v>68</v>
      </c>
      <c r="S35" s="132">
        <f t="shared" si="9"/>
        <v>0.34517766497461927</v>
      </c>
      <c r="T35" s="133">
        <f t="shared" si="10"/>
        <v>298.18956521739125</v>
      </c>
      <c r="U35" s="133">
        <f t="shared" si="11"/>
        <v>1987.9304347826087</v>
      </c>
      <c r="V35" s="124">
        <v>121</v>
      </c>
      <c r="W35" s="126">
        <f t="shared" si="12"/>
        <v>0.6142131979695431</v>
      </c>
      <c r="X35" s="124">
        <v>478.58</v>
      </c>
      <c r="Y35" s="126">
        <f t="shared" si="13"/>
        <v>0.20934159186744353</v>
      </c>
      <c r="Z35" s="134"/>
      <c r="AA35" s="125">
        <f t="shared" si="14"/>
        <v>6584</v>
      </c>
      <c r="AB35" s="125">
        <f t="shared" si="15"/>
        <v>5152.6373913043481</v>
      </c>
      <c r="AC35" s="135">
        <f t="shared" si="16"/>
        <v>2286.12</v>
      </c>
      <c r="AD35" s="136">
        <f t="shared" si="17"/>
        <v>1987.9304347826087</v>
      </c>
      <c r="AE35" s="125">
        <f t="shared" si="18"/>
        <v>8870.119999999999</v>
      </c>
      <c r="AF35" s="46">
        <f t="shared" si="19"/>
        <v>7140.5678260869572</v>
      </c>
    </row>
    <row r="36" spans="2:32" ht="15" customHeight="1" x14ac:dyDescent="0.25">
      <c r="B36" s="90">
        <v>46166</v>
      </c>
      <c r="C36" s="124" t="s">
        <v>61</v>
      </c>
      <c r="D36" s="123">
        <v>238</v>
      </c>
      <c r="E36" s="124">
        <v>18</v>
      </c>
      <c r="F36" s="124">
        <v>1046</v>
      </c>
      <c r="G36" s="124">
        <v>168</v>
      </c>
      <c r="H36" s="124">
        <v>5696</v>
      </c>
      <c r="I36" s="125">
        <f t="shared" si="3"/>
        <v>33.904761904761905</v>
      </c>
      <c r="J36" s="126">
        <f t="shared" si="4"/>
        <v>0.16061185468451242</v>
      </c>
      <c r="K36" s="127">
        <f t="shared" si="5"/>
        <v>742.95652173913038</v>
      </c>
      <c r="L36" s="149">
        <f t="shared" si="6"/>
        <v>4953.04347826087</v>
      </c>
      <c r="M36" s="151">
        <v>495.35</v>
      </c>
      <c r="N36" s="150">
        <f t="shared" si="7"/>
        <v>4457.6934782608696</v>
      </c>
      <c r="O36" s="130"/>
      <c r="P36" s="124">
        <v>3076</v>
      </c>
      <c r="Q36" s="125">
        <f t="shared" si="8"/>
        <v>18.30952380952381</v>
      </c>
      <c r="R36" s="124">
        <v>92</v>
      </c>
      <c r="S36" s="132">
        <f t="shared" si="9"/>
        <v>0.54761904761904767</v>
      </c>
      <c r="T36" s="133">
        <f t="shared" si="10"/>
        <v>401.21739130434781</v>
      </c>
      <c r="U36" s="133">
        <f t="shared" si="11"/>
        <v>2674.782608695652</v>
      </c>
      <c r="V36" s="124">
        <v>170</v>
      </c>
      <c r="W36" s="126">
        <f t="shared" si="12"/>
        <v>1.0119047619047619</v>
      </c>
      <c r="X36" s="124">
        <v>572.99</v>
      </c>
      <c r="Y36" s="126">
        <f t="shared" si="13"/>
        <v>0.186277633289987</v>
      </c>
      <c r="Z36" s="134"/>
      <c r="AA36" s="125">
        <f t="shared" si="14"/>
        <v>5696</v>
      </c>
      <c r="AB36" s="125">
        <f t="shared" si="15"/>
        <v>4457.6934782608696</v>
      </c>
      <c r="AC36" s="135">
        <f t="shared" si="16"/>
        <v>3076</v>
      </c>
      <c r="AD36" s="136">
        <f t="shared" si="17"/>
        <v>2674.782608695652</v>
      </c>
      <c r="AE36" s="125">
        <f t="shared" si="18"/>
        <v>8772</v>
      </c>
      <c r="AF36" s="46">
        <f t="shared" si="19"/>
        <v>7132.4760869565216</v>
      </c>
    </row>
    <row r="37" spans="2:32" ht="15" customHeight="1" x14ac:dyDescent="0.25">
      <c r="B37" s="90">
        <v>46167</v>
      </c>
      <c r="C37" s="124" t="s">
        <v>62</v>
      </c>
      <c r="D37" s="123">
        <v>238</v>
      </c>
      <c r="E37" s="124">
        <v>18</v>
      </c>
      <c r="F37" s="124">
        <v>1046</v>
      </c>
      <c r="G37" s="124">
        <v>88</v>
      </c>
      <c r="H37" s="124">
        <v>2816</v>
      </c>
      <c r="I37" s="125">
        <f t="shared" si="3"/>
        <v>32</v>
      </c>
      <c r="J37" s="126">
        <f t="shared" si="4"/>
        <v>8.4130019120458893E-2</v>
      </c>
      <c r="K37" s="127">
        <f t="shared" si="5"/>
        <v>367.30434782608694</v>
      </c>
      <c r="L37" s="127">
        <f t="shared" si="6"/>
        <v>2448.695652173913</v>
      </c>
      <c r="M37" s="152">
        <v>244.9</v>
      </c>
      <c r="N37" s="129">
        <f t="shared" si="7"/>
        <v>2203.7956521739129</v>
      </c>
      <c r="O37" s="130"/>
      <c r="P37" s="124">
        <v>2469</v>
      </c>
      <c r="Q37" s="125">
        <f t="shared" si="8"/>
        <v>28.056818181818183</v>
      </c>
      <c r="R37" s="124">
        <v>67</v>
      </c>
      <c r="S37" s="132">
        <f t="shared" si="9"/>
        <v>0.76136363636363635</v>
      </c>
      <c r="T37" s="133">
        <f t="shared" si="10"/>
        <v>322.04347826086956</v>
      </c>
      <c r="U37" s="133">
        <f t="shared" si="11"/>
        <v>2146.9565217391305</v>
      </c>
      <c r="V37" s="124">
        <v>124</v>
      </c>
      <c r="W37" s="126">
        <f t="shared" si="12"/>
        <v>1.4090909090909092</v>
      </c>
      <c r="X37" s="124">
        <v>394.88</v>
      </c>
      <c r="Y37" s="126">
        <f t="shared" si="13"/>
        <v>0.15993519643580398</v>
      </c>
      <c r="Z37" s="134"/>
      <c r="AA37" s="125">
        <f t="shared" si="14"/>
        <v>2816</v>
      </c>
      <c r="AB37" s="125">
        <f t="shared" si="15"/>
        <v>2203.7956521739129</v>
      </c>
      <c r="AC37" s="135">
        <f t="shared" si="16"/>
        <v>2469</v>
      </c>
      <c r="AD37" s="136">
        <f t="shared" si="17"/>
        <v>2146.9565217391305</v>
      </c>
      <c r="AE37" s="125">
        <f t="shared" si="18"/>
        <v>5285</v>
      </c>
      <c r="AF37" s="46">
        <f t="shared" si="19"/>
        <v>4350.7521739130434</v>
      </c>
    </row>
    <row r="38" spans="2:32" ht="15" customHeight="1" x14ac:dyDescent="0.25">
      <c r="B38" s="90">
        <v>46168</v>
      </c>
      <c r="C38" s="124" t="s">
        <v>63</v>
      </c>
      <c r="D38" s="123">
        <v>238</v>
      </c>
      <c r="E38" s="124">
        <v>18</v>
      </c>
      <c r="F38" s="124">
        <v>1046</v>
      </c>
      <c r="G38" s="124">
        <v>99</v>
      </c>
      <c r="H38" s="153">
        <v>2990</v>
      </c>
      <c r="I38" s="125">
        <f t="shared" si="3"/>
        <v>30.202020202020201</v>
      </c>
      <c r="J38" s="126">
        <f t="shared" si="4"/>
        <v>9.4646271510516258E-2</v>
      </c>
      <c r="K38" s="127">
        <f t="shared" si="5"/>
        <v>390</v>
      </c>
      <c r="L38" s="127">
        <f t="shared" si="6"/>
        <v>2600</v>
      </c>
      <c r="M38" s="5">
        <v>260.02999999999997</v>
      </c>
      <c r="N38" s="129">
        <f t="shared" si="7"/>
        <v>2339.9700000000003</v>
      </c>
      <c r="O38" s="130"/>
      <c r="P38" s="124">
        <v>1684</v>
      </c>
      <c r="Q38" s="125">
        <f t="shared" si="8"/>
        <v>17.01010101010101</v>
      </c>
      <c r="R38" s="124">
        <v>50</v>
      </c>
      <c r="S38" s="132">
        <f t="shared" si="9"/>
        <v>0.50505050505050508</v>
      </c>
      <c r="T38" s="133">
        <f t="shared" si="10"/>
        <v>219.65217391304347</v>
      </c>
      <c r="U38" s="133">
        <f t="shared" si="11"/>
        <v>1464.3478260869565</v>
      </c>
      <c r="V38" s="124">
        <v>87</v>
      </c>
      <c r="W38" s="126">
        <f t="shared" si="12"/>
        <v>0.87878787878787878</v>
      </c>
      <c r="X38" s="124">
        <v>285.8</v>
      </c>
      <c r="Y38" s="126">
        <f t="shared" si="13"/>
        <v>0.16971496437054631</v>
      </c>
      <c r="Z38" s="134"/>
      <c r="AA38" s="125">
        <f t="shared" si="14"/>
        <v>2990</v>
      </c>
      <c r="AB38" s="125">
        <f t="shared" si="15"/>
        <v>2339.9700000000003</v>
      </c>
      <c r="AC38" s="135">
        <f t="shared" si="16"/>
        <v>1684</v>
      </c>
      <c r="AD38" s="136">
        <f t="shared" si="17"/>
        <v>1464.3478260869565</v>
      </c>
      <c r="AE38" s="125">
        <f t="shared" si="18"/>
        <v>4674</v>
      </c>
      <c r="AF38" s="46">
        <f t="shared" si="19"/>
        <v>3804.3178260869568</v>
      </c>
    </row>
    <row r="39" spans="2:32" ht="15" customHeight="1" x14ac:dyDescent="0.25">
      <c r="B39" s="90">
        <v>46169</v>
      </c>
      <c r="C39" s="124" t="s">
        <v>64</v>
      </c>
      <c r="D39" s="123">
        <v>238</v>
      </c>
      <c r="E39" s="124">
        <v>18</v>
      </c>
      <c r="F39" s="124">
        <v>1069</v>
      </c>
      <c r="G39" s="124">
        <v>269</v>
      </c>
      <c r="H39" s="124">
        <v>9198</v>
      </c>
      <c r="I39" s="125">
        <f t="shared" si="3"/>
        <v>34.193308550185876</v>
      </c>
      <c r="J39" s="126">
        <f t="shared" si="4"/>
        <v>0.25163704396632369</v>
      </c>
      <c r="K39" s="127">
        <f t="shared" si="5"/>
        <v>1199.7391304347825</v>
      </c>
      <c r="L39" s="127">
        <f t="shared" si="6"/>
        <v>7998.2608695652179</v>
      </c>
      <c r="M39" s="5">
        <v>799.9</v>
      </c>
      <c r="N39" s="129">
        <f t="shared" si="7"/>
        <v>7198.3608695652183</v>
      </c>
      <c r="O39" s="130"/>
      <c r="P39" s="124">
        <v>2460</v>
      </c>
      <c r="Q39" s="125">
        <f t="shared" si="8"/>
        <v>9.1449814126394049</v>
      </c>
      <c r="R39" s="124">
        <v>49</v>
      </c>
      <c r="S39" s="132">
        <f t="shared" si="9"/>
        <v>0.18215613382899629</v>
      </c>
      <c r="T39" s="133">
        <f t="shared" si="10"/>
        <v>320.86956521739131</v>
      </c>
      <c r="U39" s="133">
        <f t="shared" si="11"/>
        <v>2139.1304347826085</v>
      </c>
      <c r="V39" s="124">
        <v>92</v>
      </c>
      <c r="W39" s="126">
        <f t="shared" si="12"/>
        <v>0.34200743494423791</v>
      </c>
      <c r="X39" s="154">
        <v>546.62</v>
      </c>
      <c r="Y39" s="126">
        <f t="shared" si="13"/>
        <v>0.22220325203252034</v>
      </c>
      <c r="Z39" s="134"/>
      <c r="AA39" s="125">
        <f t="shared" si="14"/>
        <v>9198</v>
      </c>
      <c r="AB39" s="125">
        <f t="shared" si="15"/>
        <v>7198.3608695652183</v>
      </c>
      <c r="AC39" s="135">
        <f t="shared" si="16"/>
        <v>2460</v>
      </c>
      <c r="AD39" s="136">
        <f t="shared" si="17"/>
        <v>2139.1304347826085</v>
      </c>
      <c r="AE39" s="125">
        <f t="shared" si="18"/>
        <v>11658</v>
      </c>
      <c r="AF39" s="46">
        <f t="shared" si="19"/>
        <v>9337.4913043478264</v>
      </c>
    </row>
    <row r="40" spans="2:32" ht="15" customHeight="1" x14ac:dyDescent="0.25">
      <c r="B40" s="90">
        <v>46170</v>
      </c>
      <c r="C40" s="124" t="s">
        <v>57</v>
      </c>
      <c r="D40" s="123">
        <v>238</v>
      </c>
      <c r="E40" s="124">
        <v>24</v>
      </c>
      <c r="F40" s="124">
        <v>1444</v>
      </c>
      <c r="G40" s="124">
        <v>430</v>
      </c>
      <c r="H40" s="124">
        <v>14520</v>
      </c>
      <c r="I40" s="125">
        <f t="shared" si="3"/>
        <v>33.767441860465119</v>
      </c>
      <c r="J40" s="126">
        <f t="shared" si="4"/>
        <v>0.29778393351800553</v>
      </c>
      <c r="K40" s="127">
        <f t="shared" si="5"/>
        <v>1893.9130434782608</v>
      </c>
      <c r="L40" s="127">
        <f t="shared" si="6"/>
        <v>12626.08695652174</v>
      </c>
      <c r="M40" s="124">
        <v>770.34</v>
      </c>
      <c r="N40" s="129">
        <f t="shared" si="7"/>
        <v>11855.74695652174</v>
      </c>
      <c r="O40" s="5"/>
      <c r="P40" s="124">
        <v>4108</v>
      </c>
      <c r="Q40" s="125">
        <f t="shared" si="8"/>
        <v>9.5534883720930228</v>
      </c>
      <c r="R40" s="124">
        <v>78</v>
      </c>
      <c r="S40" s="132">
        <f t="shared" si="9"/>
        <v>0.18139534883720931</v>
      </c>
      <c r="T40" s="133">
        <f t="shared" si="10"/>
        <v>535.82608695652175</v>
      </c>
      <c r="U40" s="133">
        <f t="shared" si="11"/>
        <v>3572.173913043478</v>
      </c>
      <c r="V40" s="124">
        <v>145</v>
      </c>
      <c r="W40" s="126">
        <f t="shared" si="12"/>
        <v>0.33720930232558138</v>
      </c>
      <c r="X40" s="124">
        <v>967.11</v>
      </c>
      <c r="Y40" s="126">
        <f t="shared" si="13"/>
        <v>0.23542112950340799</v>
      </c>
      <c r="Z40" s="134"/>
      <c r="AA40" s="125">
        <f t="shared" si="14"/>
        <v>14520</v>
      </c>
      <c r="AB40" s="125">
        <f t="shared" si="15"/>
        <v>11855.74695652174</v>
      </c>
      <c r="AC40" s="135">
        <f t="shared" si="16"/>
        <v>4108</v>
      </c>
      <c r="AD40" s="136">
        <f t="shared" si="17"/>
        <v>3572.173913043478</v>
      </c>
      <c r="AE40" s="125">
        <f t="shared" si="18"/>
        <v>18628</v>
      </c>
      <c r="AF40" s="46">
        <f t="shared" si="19"/>
        <v>15427.920869565218</v>
      </c>
    </row>
    <row r="41" spans="2:32" ht="15" customHeight="1" x14ac:dyDescent="0.25">
      <c r="B41" s="90">
        <v>46171</v>
      </c>
      <c r="C41" s="124" t="s">
        <v>59</v>
      </c>
      <c r="D41" s="123">
        <v>238</v>
      </c>
      <c r="E41" s="124">
        <v>24</v>
      </c>
      <c r="F41" s="124">
        <v>1444</v>
      </c>
      <c r="G41" s="124">
        <v>221</v>
      </c>
      <c r="H41" s="124">
        <v>7482</v>
      </c>
      <c r="I41" s="125">
        <f t="shared" si="3"/>
        <v>33.855203619909503</v>
      </c>
      <c r="J41" s="126">
        <f t="shared" si="4"/>
        <v>0.15304709141274239</v>
      </c>
      <c r="K41" s="127">
        <f t="shared" si="5"/>
        <v>975.91304347826087</v>
      </c>
      <c r="L41" s="127">
        <f t="shared" si="6"/>
        <v>6506.086956521739</v>
      </c>
      <c r="M41" s="124">
        <v>319.86</v>
      </c>
      <c r="N41" s="129">
        <f t="shared" si="7"/>
        <v>6186.2269565217393</v>
      </c>
      <c r="O41" s="130"/>
      <c r="P41" s="124">
        <v>2972</v>
      </c>
      <c r="Q41" s="125">
        <f t="shared" si="8"/>
        <v>13.447963800904978</v>
      </c>
      <c r="R41" s="124">
        <v>70</v>
      </c>
      <c r="S41" s="132">
        <f t="shared" si="9"/>
        <v>0.31674208144796379</v>
      </c>
      <c r="T41" s="133">
        <f t="shared" si="10"/>
        <v>387.6521739130435</v>
      </c>
      <c r="U41" s="133">
        <f t="shared" si="11"/>
        <v>2584.3478260869565</v>
      </c>
      <c r="V41" s="124">
        <v>111</v>
      </c>
      <c r="W41" s="126">
        <f t="shared" si="12"/>
        <v>0.50226244343891402</v>
      </c>
      <c r="X41" s="124">
        <v>657.27</v>
      </c>
      <c r="Y41" s="126">
        <f t="shared" si="13"/>
        <v>0.22115410497981156</v>
      </c>
      <c r="Z41" s="134"/>
      <c r="AA41" s="125">
        <f t="shared" si="14"/>
        <v>7482</v>
      </c>
      <c r="AB41" s="125">
        <f t="shared" si="15"/>
        <v>6186.2269565217393</v>
      </c>
      <c r="AC41" s="135">
        <f t="shared" si="16"/>
        <v>2972</v>
      </c>
      <c r="AD41" s="136">
        <f t="shared" si="17"/>
        <v>2584.3478260869565</v>
      </c>
      <c r="AE41" s="125">
        <f t="shared" si="18"/>
        <v>10454</v>
      </c>
      <c r="AF41" s="46">
        <f t="shared" si="19"/>
        <v>8770.5747826086954</v>
      </c>
    </row>
    <row r="42" spans="2:32" ht="15" customHeight="1" x14ac:dyDescent="0.25">
      <c r="B42" s="90">
        <v>46172</v>
      </c>
      <c r="C42" s="124" t="s">
        <v>60</v>
      </c>
      <c r="D42" s="123">
        <v>238</v>
      </c>
      <c r="E42" s="124">
        <v>24</v>
      </c>
      <c r="F42" s="124">
        <v>1444</v>
      </c>
      <c r="G42" s="124">
        <v>142</v>
      </c>
      <c r="H42" s="124">
        <v>4774</v>
      </c>
      <c r="I42" s="125">
        <f t="shared" si="3"/>
        <v>33.619718309859152</v>
      </c>
      <c r="J42" s="126">
        <f t="shared" si="4"/>
        <v>9.833795013850416E-2</v>
      </c>
      <c r="K42" s="127">
        <f t="shared" si="5"/>
        <v>622.695652173913</v>
      </c>
      <c r="L42" s="127">
        <f t="shared" si="6"/>
        <v>4151.304347826087</v>
      </c>
      <c r="M42" s="124">
        <v>166.1</v>
      </c>
      <c r="N42" s="129">
        <f t="shared" si="7"/>
        <v>3985.2043478260871</v>
      </c>
      <c r="O42" s="130"/>
      <c r="P42" s="124">
        <v>3064</v>
      </c>
      <c r="Q42" s="125">
        <f t="shared" si="8"/>
        <v>21.577464788732396</v>
      </c>
      <c r="R42" s="124">
        <v>79</v>
      </c>
      <c r="S42" s="132">
        <f t="shared" si="9"/>
        <v>0.55633802816901412</v>
      </c>
      <c r="T42" s="133">
        <f t="shared" si="10"/>
        <v>399.6521739130435</v>
      </c>
      <c r="U42" s="133">
        <f t="shared" si="11"/>
        <v>2664.3478260869565</v>
      </c>
      <c r="V42" s="124">
        <v>117</v>
      </c>
      <c r="W42" s="126">
        <f t="shared" si="12"/>
        <v>0.823943661971831</v>
      </c>
      <c r="X42" s="124">
        <v>693.81</v>
      </c>
      <c r="Y42" s="126">
        <f t="shared" si="13"/>
        <v>0.22643929503916446</v>
      </c>
      <c r="Z42" s="134"/>
      <c r="AA42" s="125">
        <f t="shared" si="14"/>
        <v>4774</v>
      </c>
      <c r="AB42" s="125">
        <f t="shared" si="15"/>
        <v>3985.2043478260871</v>
      </c>
      <c r="AC42" s="135">
        <f t="shared" si="16"/>
        <v>3064</v>
      </c>
      <c r="AD42" s="136">
        <f t="shared" si="17"/>
        <v>2664.3478260869565</v>
      </c>
      <c r="AE42" s="125">
        <f t="shared" si="18"/>
        <v>7838</v>
      </c>
      <c r="AF42" s="46">
        <f t="shared" si="19"/>
        <v>6649.5521739130436</v>
      </c>
    </row>
    <row r="43" spans="2:32" ht="15" customHeight="1" x14ac:dyDescent="0.25">
      <c r="B43" s="90">
        <v>46173</v>
      </c>
      <c r="C43" s="124" t="s">
        <v>61</v>
      </c>
      <c r="D43" s="123">
        <v>238</v>
      </c>
      <c r="E43" s="124">
        <v>24</v>
      </c>
      <c r="F43" s="124">
        <v>1444</v>
      </c>
      <c r="G43" s="124">
        <v>184</v>
      </c>
      <c r="H43" s="124">
        <v>6312.4</v>
      </c>
      <c r="I43" s="125">
        <f t="shared" si="3"/>
        <v>34.306521739130432</v>
      </c>
      <c r="J43" s="126">
        <f t="shared" si="4"/>
        <v>0.12742382271468145</v>
      </c>
      <c r="K43" s="127">
        <f t="shared" si="5"/>
        <v>823.35652173913047</v>
      </c>
      <c r="L43" s="127">
        <f t="shared" si="6"/>
        <v>5489.0434782608691</v>
      </c>
      <c r="M43" s="124"/>
      <c r="N43" s="129">
        <f t="shared" si="7"/>
        <v>5489.0434782608691</v>
      </c>
      <c r="O43" s="130"/>
      <c r="P43" s="124">
        <v>3554.61</v>
      </c>
      <c r="Q43" s="125">
        <f t="shared" si="8"/>
        <v>19.318532608695651</v>
      </c>
      <c r="R43" s="124">
        <v>74</v>
      </c>
      <c r="S43" s="132">
        <f t="shared" si="9"/>
        <v>0.40217391304347827</v>
      </c>
      <c r="T43" s="133">
        <f t="shared" si="10"/>
        <v>463.64478260869566</v>
      </c>
      <c r="U43" s="133">
        <f t="shared" si="11"/>
        <v>3090.9652173913046</v>
      </c>
      <c r="V43" s="124">
        <v>131</v>
      </c>
      <c r="W43" s="126">
        <f t="shared" si="12"/>
        <v>0.71195652173913049</v>
      </c>
      <c r="X43" s="124">
        <v>700.42</v>
      </c>
      <c r="Y43" s="126">
        <f t="shared" si="13"/>
        <v>0.19704552679478196</v>
      </c>
      <c r="Z43" s="134"/>
      <c r="AA43" s="125">
        <f t="shared" si="14"/>
        <v>6312.4</v>
      </c>
      <c r="AB43" s="125">
        <f t="shared" si="15"/>
        <v>5489.0434782608691</v>
      </c>
      <c r="AC43" s="135">
        <f t="shared" si="16"/>
        <v>3554.61</v>
      </c>
      <c r="AD43" s="136">
        <f t="shared" si="17"/>
        <v>3090.9652173913046</v>
      </c>
      <c r="AE43" s="125">
        <f t="shared" si="18"/>
        <v>9867.01</v>
      </c>
      <c r="AF43" s="46">
        <f t="shared" si="19"/>
        <v>8580.0086956521736</v>
      </c>
    </row>
    <row r="44" spans="2:32" ht="15" customHeight="1" x14ac:dyDescent="0.25">
      <c r="B44" s="184" t="s">
        <v>27</v>
      </c>
      <c r="C44" s="184"/>
      <c r="D44" s="137">
        <f>AVERAGE(D13:D43)</f>
        <v>238</v>
      </c>
      <c r="E44" s="137">
        <f>SUM(E13:E43)</f>
        <v>551</v>
      </c>
      <c r="F44" s="137">
        <f>SUM(F13:F43)</f>
        <v>32481</v>
      </c>
      <c r="G44" s="137">
        <f>SUM(G13:G43)</f>
        <v>4122</v>
      </c>
      <c r="H44" s="138">
        <f>SUM(H13:H43)</f>
        <v>137751.18</v>
      </c>
      <c r="I44" s="139">
        <f t="shared" si="3"/>
        <v>33.418529839883547</v>
      </c>
      <c r="J44" s="140">
        <f>(G44/F44)</f>
        <v>0.12690495982266556</v>
      </c>
      <c r="K44" s="141">
        <f>SUM(K13:K43)</f>
        <v>17967.5452173913</v>
      </c>
      <c r="L44" s="141">
        <f>SUM(L13:L43)</f>
        <v>119783.6347826087</v>
      </c>
      <c r="M44" s="142">
        <f>SUM(M13:M43)</f>
        <v>9691.4600000000009</v>
      </c>
      <c r="N44" s="138">
        <f>SUM(N13:N43)</f>
        <v>110092.17478260868</v>
      </c>
      <c r="O44" s="8"/>
      <c r="P44" s="139">
        <f>SUM(P13:P43)</f>
        <v>53778.71</v>
      </c>
      <c r="Q44" s="139">
        <f t="shared" si="8"/>
        <v>13.046751576904414</v>
      </c>
      <c r="R44" s="137">
        <f>SUM(R13:R43)</f>
        <v>1375</v>
      </c>
      <c r="S44" s="132">
        <f t="shared" si="9"/>
        <v>0.33357593401261526</v>
      </c>
      <c r="T44" s="141">
        <f>SUM(T13:T43)</f>
        <v>7014.6143478260883</v>
      </c>
      <c r="U44" s="142">
        <f>SUM(U13:U43)</f>
        <v>46764.095652173921</v>
      </c>
      <c r="V44" s="143">
        <f>SUM(V13:V43)</f>
        <v>2627</v>
      </c>
      <c r="W44" s="141">
        <f t="shared" si="12"/>
        <v>0.63731198447355653</v>
      </c>
      <c r="X44" s="139">
        <f>SUM(X13:X43)</f>
        <v>10728.02</v>
      </c>
      <c r="Y44" s="140">
        <f t="shared" si="13"/>
        <v>0.19948451720020804</v>
      </c>
      <c r="Z44" s="144"/>
      <c r="AA44" s="139">
        <f t="shared" ref="AA44:AF44" si="20">SUM(AA13:AA43)</f>
        <v>137751.18</v>
      </c>
      <c r="AB44" s="139">
        <f t="shared" si="20"/>
        <v>110092.17478260868</v>
      </c>
      <c r="AC44" s="139">
        <f t="shared" si="20"/>
        <v>53778.71</v>
      </c>
      <c r="AD44" s="145">
        <f t="shared" si="20"/>
        <v>46764.095652173921</v>
      </c>
      <c r="AE44" s="139">
        <f t="shared" si="20"/>
        <v>191529.89</v>
      </c>
      <c r="AF44" s="139">
        <f t="shared" si="20"/>
        <v>156856.27043478264</v>
      </c>
    </row>
    <row r="58" spans="21:22" ht="15" customHeight="1" x14ac:dyDescent="0.25">
      <c r="U58" s="5"/>
      <c r="V58" s="5"/>
    </row>
    <row r="59" spans="21:22" ht="15" customHeight="1" x14ac:dyDescent="0.25">
      <c r="U59" s="5"/>
      <c r="V59" s="5"/>
    </row>
    <row r="60" spans="21:22" ht="15" customHeight="1" x14ac:dyDescent="0.25">
      <c r="U60" s="5"/>
      <c r="V60" s="5"/>
    </row>
    <row r="61" spans="21:22" ht="15" customHeight="1" x14ac:dyDescent="0.25">
      <c r="U61" s="5"/>
      <c r="V61" s="5"/>
    </row>
    <row r="62" spans="21:22" ht="15" customHeight="1" x14ac:dyDescent="0.25">
      <c r="U62" s="5"/>
      <c r="V62" s="5"/>
    </row>
    <row r="63" spans="21:22" ht="15" customHeight="1" x14ac:dyDescent="0.25">
      <c r="U63" s="5"/>
      <c r="V63" s="5"/>
    </row>
    <row r="64" spans="21:22" ht="15" customHeight="1" x14ac:dyDescent="0.25">
      <c r="U64" s="5"/>
      <c r="V64" s="5"/>
    </row>
    <row r="65" spans="21:22" ht="15" customHeight="1" x14ac:dyDescent="0.25">
      <c r="U65" s="5"/>
      <c r="V65" s="5"/>
    </row>
    <row r="66" spans="21:22" ht="15" customHeight="1" x14ac:dyDescent="0.25">
      <c r="U66" s="5"/>
      <c r="V66" s="5"/>
    </row>
    <row r="67" spans="21:22" ht="15" customHeight="1" x14ac:dyDescent="0.25">
      <c r="U67" s="5"/>
      <c r="V67" s="5"/>
    </row>
    <row r="68" spans="21:22" ht="15" customHeight="1" x14ac:dyDescent="0.25">
      <c r="U68" s="5"/>
      <c r="V68" s="5"/>
    </row>
    <row r="69" spans="21:22" ht="15" customHeight="1" x14ac:dyDescent="0.25">
      <c r="U69" s="5"/>
      <c r="V69" s="5"/>
    </row>
    <row r="70" spans="21:22" ht="15" customHeight="1" x14ac:dyDescent="0.25">
      <c r="U70" s="5"/>
      <c r="V70" s="5"/>
    </row>
    <row r="71" spans="21:22" ht="15" customHeight="1" x14ac:dyDescent="0.25">
      <c r="U71" s="5"/>
      <c r="V71" s="5"/>
    </row>
    <row r="72" spans="21:22" ht="15" customHeight="1" x14ac:dyDescent="0.25">
      <c r="U72" s="5"/>
      <c r="V72" s="5"/>
    </row>
    <row r="73" spans="21:22" ht="15" customHeight="1" x14ac:dyDescent="0.25">
      <c r="U73" s="5"/>
      <c r="V73" s="5"/>
    </row>
    <row r="74" spans="21:22" ht="15" customHeight="1" x14ac:dyDescent="0.25">
      <c r="U74" s="5"/>
      <c r="V74" s="5"/>
    </row>
    <row r="75" spans="21:22" ht="15" customHeight="1" x14ac:dyDescent="0.25">
      <c r="U75" s="5"/>
      <c r="V75" s="5"/>
    </row>
    <row r="76" spans="21:22" ht="15" customHeight="1" x14ac:dyDescent="0.25">
      <c r="U76" s="5"/>
      <c r="V76" s="5"/>
    </row>
    <row r="77" spans="21:22" ht="15" customHeight="1" x14ac:dyDescent="0.25">
      <c r="U77" s="5"/>
      <c r="V77" s="5"/>
    </row>
    <row r="78" spans="21:22" ht="15" customHeight="1" x14ac:dyDescent="0.25">
      <c r="U78" s="5"/>
      <c r="V78" s="5"/>
    </row>
    <row r="79" spans="21:22" ht="15" customHeight="1" x14ac:dyDescent="0.25">
      <c r="U79" s="5"/>
      <c r="V79" s="5"/>
    </row>
    <row r="80" spans="21:22" ht="15" customHeight="1" x14ac:dyDescent="0.25">
      <c r="U80" s="5"/>
      <c r="V80" s="5"/>
    </row>
    <row r="81" spans="21:22" ht="15" customHeight="1" x14ac:dyDescent="0.25">
      <c r="U81" s="5"/>
      <c r="V81" s="5"/>
    </row>
    <row r="82" spans="21:22" ht="15" customHeight="1" x14ac:dyDescent="0.25">
      <c r="U82" s="5"/>
      <c r="V82" s="5"/>
    </row>
    <row r="83" spans="21:22" ht="15" customHeight="1" x14ac:dyDescent="0.25">
      <c r="U83" s="5"/>
      <c r="V83" s="5"/>
    </row>
    <row r="84" spans="21:22" ht="15" customHeight="1" x14ac:dyDescent="0.25">
      <c r="U84" s="5"/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4:C44"/>
    <mergeCell ref="G10:N10"/>
    <mergeCell ref="P10:Y10"/>
    <mergeCell ref="AA10:AB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F84"/>
  <sheetViews>
    <sheetView topLeftCell="C19" zoomScaleNormal="100" workbookViewId="0">
      <selection activeCell="G38" sqref="G38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8" width="10" style="58" customWidth="1"/>
    <col min="9" max="9" width="9.7109375" style="58" customWidth="1"/>
    <col min="10" max="10" width="9.7109375" style="59" customWidth="1"/>
    <col min="11" max="11" width="10.28515625" style="60" customWidth="1"/>
    <col min="12" max="12" width="11.2851562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3" width="9.7109375" style="58" customWidth="1"/>
    <col min="24" max="24" width="11.5703125" style="58" customWidth="1"/>
    <col min="25" max="25" width="9.7109375" style="58" customWidth="1"/>
    <col min="26" max="26" width="1.7109375" style="58" customWidth="1"/>
    <col min="27" max="27" width="10.28515625" style="58" customWidth="1"/>
    <col min="28" max="30" width="9.7109375" style="58" customWidth="1"/>
    <col min="31" max="32" width="10.28515625" style="58" customWidth="1"/>
    <col min="33" max="16384" width="13.5703125" style="58"/>
  </cols>
  <sheetData>
    <row r="2" spans="2:32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2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2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2" s="64" customFormat="1" ht="14.25" customHeight="1" x14ac:dyDescent="0.25">
      <c r="B5" s="193" t="s">
        <v>2</v>
      </c>
      <c r="C5" s="193"/>
      <c r="D5" s="196" t="s">
        <v>3</v>
      </c>
      <c r="E5" s="196"/>
      <c r="F5" s="196"/>
      <c r="G5" s="193" t="s">
        <v>12</v>
      </c>
      <c r="H5" s="193"/>
      <c r="I5" s="194">
        <v>46174</v>
      </c>
      <c r="J5" s="194"/>
      <c r="K5" s="3"/>
      <c r="L5" s="3"/>
      <c r="M5" s="3"/>
      <c r="S5" s="101"/>
    </row>
    <row r="6" spans="2:32" s="64" customFormat="1" ht="14.25" customHeight="1" x14ac:dyDescent="0.25">
      <c r="B6" s="193" t="s">
        <v>6</v>
      </c>
      <c r="C6" s="193"/>
      <c r="D6" s="195" t="s">
        <v>32</v>
      </c>
      <c r="E6" s="195"/>
      <c r="F6" s="195"/>
      <c r="G6" s="193" t="s">
        <v>33</v>
      </c>
      <c r="H6" s="193"/>
      <c r="I6" s="193">
        <v>2026</v>
      </c>
      <c r="J6" s="193"/>
      <c r="K6" s="3"/>
      <c r="L6" s="3"/>
      <c r="M6" s="3"/>
      <c r="S6" s="101"/>
    </row>
    <row r="7" spans="2:32" s="64" customFormat="1" ht="14.25" customHeight="1" x14ac:dyDescent="0.25">
      <c r="B7" s="193" t="s">
        <v>9</v>
      </c>
      <c r="C7" s="193"/>
      <c r="D7" s="195">
        <v>4</v>
      </c>
      <c r="E7" s="195"/>
      <c r="F7" s="195"/>
      <c r="G7" s="193" t="s">
        <v>8</v>
      </c>
      <c r="H7" s="193"/>
      <c r="I7" s="191">
        <v>0.15</v>
      </c>
      <c r="J7" s="191"/>
      <c r="K7" s="3"/>
      <c r="L7" s="3"/>
      <c r="M7" s="3"/>
      <c r="S7" s="101"/>
    </row>
    <row r="8" spans="2:32" s="64" customFormat="1" ht="15.75" customHeight="1" x14ac:dyDescent="0.25">
      <c r="B8" s="193" t="s">
        <v>11</v>
      </c>
      <c r="C8" s="193"/>
      <c r="D8" s="195">
        <v>238</v>
      </c>
      <c r="E8" s="195"/>
      <c r="F8" s="195"/>
      <c r="G8" s="193" t="s">
        <v>10</v>
      </c>
      <c r="H8" s="193"/>
      <c r="I8" s="191">
        <v>0.1</v>
      </c>
      <c r="J8" s="191"/>
      <c r="K8" s="3"/>
      <c r="L8" s="3"/>
      <c r="M8" s="3"/>
      <c r="S8" s="101"/>
    </row>
    <row r="9" spans="2:32" ht="15.75" customHeight="1" x14ac:dyDescent="0.25">
      <c r="B9" s="197"/>
      <c r="C9" s="197"/>
      <c r="D9" s="197"/>
      <c r="E9" s="197"/>
      <c r="F9" s="67"/>
    </row>
    <row r="10" spans="2:32" ht="49.5" customHeight="1" x14ac:dyDescent="0.25">
      <c r="B10" s="102"/>
      <c r="C10" s="103"/>
      <c r="D10" s="104"/>
      <c r="E10" s="104"/>
      <c r="F10" s="105"/>
      <c r="G10" s="187" t="s">
        <v>34</v>
      </c>
      <c r="H10" s="187"/>
      <c r="I10" s="187"/>
      <c r="J10" s="187"/>
      <c r="K10" s="187"/>
      <c r="L10" s="187"/>
      <c r="M10" s="187"/>
      <c r="N10" s="187"/>
      <c r="O10" s="147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06" customFormat="1" ht="57.75" customHeight="1" x14ac:dyDescent="0.25">
      <c r="B11" s="146" t="s">
        <v>29</v>
      </c>
      <c r="C11" s="146" t="s">
        <v>39</v>
      </c>
      <c r="D11" s="146" t="s">
        <v>11</v>
      </c>
      <c r="E11" s="146" t="s">
        <v>40</v>
      </c>
      <c r="F11" s="146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2" s="106" customFormat="1" ht="14.25" customHeight="1" x14ac:dyDescent="0.25">
      <c r="B12" s="183" t="s">
        <v>56</v>
      </c>
      <c r="C12" s="183"/>
      <c r="D12" s="1">
        <f t="shared" ref="D12:N12" si="0">D44</f>
        <v>238</v>
      </c>
      <c r="E12" s="114">
        <f t="shared" si="0"/>
        <v>555</v>
      </c>
      <c r="F12" s="114">
        <f t="shared" si="0"/>
        <v>33301</v>
      </c>
      <c r="G12" s="114">
        <f t="shared" si="0"/>
        <v>1990</v>
      </c>
      <c r="H12" s="115">
        <f t="shared" si="0"/>
        <v>52414</v>
      </c>
      <c r="I12" s="115">
        <f t="shared" si="0"/>
        <v>26.338693467336682</v>
      </c>
      <c r="J12" s="116">
        <f t="shared" si="0"/>
        <v>5.9757965226269479E-2</v>
      </c>
      <c r="K12" s="115">
        <f t="shared" si="0"/>
        <v>6836.6086956521749</v>
      </c>
      <c r="L12" s="115">
        <f t="shared" si="0"/>
        <v>45577.391304347824</v>
      </c>
      <c r="M12" s="115">
        <f t="shared" si="0"/>
        <v>3133.1599999999985</v>
      </c>
      <c r="N12" s="115">
        <f t="shared" si="0"/>
        <v>42444.231304347813</v>
      </c>
      <c r="O12" s="110"/>
      <c r="P12" s="117">
        <f t="shared" ref="P12:Y12" si="1">P44</f>
        <v>36984.270000000004</v>
      </c>
      <c r="Q12" s="117">
        <f t="shared" si="1"/>
        <v>18.585060301507539</v>
      </c>
      <c r="R12" s="118">
        <f t="shared" si="1"/>
        <v>867</v>
      </c>
      <c r="S12" s="119">
        <f t="shared" si="1"/>
        <v>0.43567839195979902</v>
      </c>
      <c r="T12" s="117">
        <f t="shared" si="1"/>
        <v>4824.0352173913043</v>
      </c>
      <c r="U12" s="117">
        <f t="shared" si="1"/>
        <v>32160.234782608699</v>
      </c>
      <c r="V12" s="118">
        <f t="shared" si="1"/>
        <v>1802</v>
      </c>
      <c r="W12" s="116">
        <f t="shared" si="1"/>
        <v>0.90552763819095472</v>
      </c>
      <c r="X12" s="117">
        <f t="shared" si="1"/>
        <v>7248.9000000000005</v>
      </c>
      <c r="Y12" s="116">
        <f t="shared" si="1"/>
        <v>0.19599954250820686</v>
      </c>
      <c r="Z12" s="110"/>
      <c r="AA12" s="117">
        <f t="shared" ref="AA12:AF12" si="2">AA44</f>
        <v>52414</v>
      </c>
      <c r="AB12" s="117">
        <f t="shared" si="2"/>
        <v>42444.231304347813</v>
      </c>
      <c r="AC12" s="117">
        <f t="shared" si="2"/>
        <v>36984.270000000004</v>
      </c>
      <c r="AD12" s="120">
        <f t="shared" si="2"/>
        <v>32160.234782608699</v>
      </c>
      <c r="AE12" s="117">
        <f t="shared" si="2"/>
        <v>89398.27</v>
      </c>
      <c r="AF12" s="117">
        <f t="shared" si="2"/>
        <v>74604.466086956512</v>
      </c>
    </row>
    <row r="13" spans="2:32" ht="15" customHeight="1" x14ac:dyDescent="0.25">
      <c r="B13" s="90">
        <v>46174</v>
      </c>
      <c r="C13" s="124" t="s">
        <v>62</v>
      </c>
      <c r="D13" s="123">
        <v>238</v>
      </c>
      <c r="E13" s="124">
        <v>19</v>
      </c>
      <c r="F13" s="124">
        <v>1126</v>
      </c>
      <c r="G13" s="124">
        <v>100</v>
      </c>
      <c r="H13" s="124">
        <v>3200</v>
      </c>
      <c r="I13" s="125">
        <f t="shared" ref="I13:I44" si="3">IFERROR(H13/G13,0)</f>
        <v>32</v>
      </c>
      <c r="J13" s="126">
        <f t="shared" ref="J13:J43" si="4">IFERROR(G13/F13,0)</f>
        <v>8.8809946714031973E-2</v>
      </c>
      <c r="K13" s="127">
        <f t="shared" ref="K13:K43" si="5">H13*15/115</f>
        <v>417.39130434782606</v>
      </c>
      <c r="L13" s="127">
        <f t="shared" ref="L13:L43" si="6">H13-K13</f>
        <v>2782.608695652174</v>
      </c>
      <c r="M13" s="128">
        <v>44.53</v>
      </c>
      <c r="N13" s="129">
        <f t="shared" ref="N13:N43" si="7">L13-M13</f>
        <v>2738.0786956521738</v>
      </c>
      <c r="O13" s="130"/>
      <c r="P13" s="46">
        <v>2348</v>
      </c>
      <c r="Q13" s="125">
        <f t="shared" ref="Q13:Q44" si="8">IFERROR(P13/G13,0)</f>
        <v>23.48</v>
      </c>
      <c r="R13" s="131">
        <v>48</v>
      </c>
      <c r="S13" s="132">
        <f t="shared" ref="S13:S44" si="9">IFERROR((R13/G13),0)</f>
        <v>0.48</v>
      </c>
      <c r="T13" s="133">
        <f t="shared" ref="T13:T43" si="10">P13*15/115</f>
        <v>306.26086956521738</v>
      </c>
      <c r="U13" s="133">
        <f t="shared" ref="U13:U43" si="11">P13-T13</f>
        <v>2041.7391304347825</v>
      </c>
      <c r="V13" s="131">
        <v>100</v>
      </c>
      <c r="W13" s="126">
        <f t="shared" ref="W13:W44" si="12">IFERROR(V13/G13,0)</f>
        <v>1</v>
      </c>
      <c r="X13" s="46">
        <v>468.21</v>
      </c>
      <c r="Y13" s="126">
        <f t="shared" ref="Y13:Y44" si="13">IFERROR((X13/P13),0)</f>
        <v>0.19940800681431003</v>
      </c>
      <c r="Z13" s="134"/>
      <c r="AA13" s="125">
        <f t="shared" ref="AA13:AA43" si="14">H13</f>
        <v>3200</v>
      </c>
      <c r="AB13" s="125">
        <f t="shared" ref="AB13:AB43" si="15">N13</f>
        <v>2738.0786956521738</v>
      </c>
      <c r="AC13" s="135">
        <f t="shared" ref="AC13:AC43" si="16">P13</f>
        <v>2348</v>
      </c>
      <c r="AD13" s="136">
        <f t="shared" ref="AD13:AD43" si="17">U13</f>
        <v>2041.7391304347825</v>
      </c>
      <c r="AE13" s="125">
        <f t="shared" ref="AE13:AE43" si="18">AA13+AC13</f>
        <v>5548</v>
      </c>
      <c r="AF13" s="46">
        <f t="shared" ref="AF13:AF43" si="19">AB13+AD13</f>
        <v>4779.8178260869563</v>
      </c>
    </row>
    <row r="14" spans="2:32" ht="15" customHeight="1" x14ac:dyDescent="0.25">
      <c r="B14" s="90">
        <v>46175</v>
      </c>
      <c r="C14" s="124" t="s">
        <v>63</v>
      </c>
      <c r="D14" s="123">
        <v>238</v>
      </c>
      <c r="E14" s="124">
        <v>19</v>
      </c>
      <c r="F14" s="124">
        <v>1126</v>
      </c>
      <c r="G14" s="124">
        <v>64</v>
      </c>
      <c r="H14" s="124">
        <v>2146</v>
      </c>
      <c r="I14" s="125">
        <f t="shared" si="3"/>
        <v>33.53125</v>
      </c>
      <c r="J14" s="126">
        <f t="shared" si="4"/>
        <v>5.6838365896980464E-2</v>
      </c>
      <c r="K14" s="127">
        <f t="shared" si="5"/>
        <v>279.91304347826087</v>
      </c>
      <c r="L14" s="127">
        <f t="shared" si="6"/>
        <v>1866.086956521739</v>
      </c>
      <c r="M14" s="128">
        <v>16.7</v>
      </c>
      <c r="N14" s="129">
        <f t="shared" si="7"/>
        <v>1849.386956521739</v>
      </c>
      <c r="O14" s="130"/>
      <c r="P14" s="46">
        <v>1600</v>
      </c>
      <c r="Q14" s="125">
        <f t="shared" si="8"/>
        <v>25</v>
      </c>
      <c r="R14" s="131">
        <v>28</v>
      </c>
      <c r="S14" s="132">
        <f t="shared" si="9"/>
        <v>0.4375</v>
      </c>
      <c r="T14" s="133">
        <f t="shared" si="10"/>
        <v>208.69565217391303</v>
      </c>
      <c r="U14" s="133">
        <f t="shared" si="11"/>
        <v>1391.304347826087</v>
      </c>
      <c r="V14" s="131">
        <v>80</v>
      </c>
      <c r="W14" s="126">
        <f t="shared" si="12"/>
        <v>1.25</v>
      </c>
      <c r="X14" s="46">
        <v>303.81</v>
      </c>
      <c r="Y14" s="126">
        <f t="shared" si="13"/>
        <v>0.18988125</v>
      </c>
      <c r="Z14" s="134"/>
      <c r="AA14" s="125">
        <f t="shared" si="14"/>
        <v>2146</v>
      </c>
      <c r="AB14" s="125">
        <f t="shared" si="15"/>
        <v>1849.386956521739</v>
      </c>
      <c r="AC14" s="135">
        <f t="shared" si="16"/>
        <v>1600</v>
      </c>
      <c r="AD14" s="136">
        <f t="shared" si="17"/>
        <v>1391.304347826087</v>
      </c>
      <c r="AE14" s="125">
        <f t="shared" si="18"/>
        <v>3746</v>
      </c>
      <c r="AF14" s="46">
        <f t="shared" si="19"/>
        <v>3240.6913043478262</v>
      </c>
    </row>
    <row r="15" spans="2:32" ht="15" customHeight="1" x14ac:dyDescent="0.25">
      <c r="B15" s="90">
        <v>46176</v>
      </c>
      <c r="C15" s="124" t="s">
        <v>64</v>
      </c>
      <c r="D15" s="123">
        <v>238</v>
      </c>
      <c r="E15" s="124">
        <v>19</v>
      </c>
      <c r="F15" s="124">
        <v>1126</v>
      </c>
      <c r="G15" s="124">
        <v>77</v>
      </c>
      <c r="H15" s="124">
        <v>2624</v>
      </c>
      <c r="I15" s="125">
        <f t="shared" si="3"/>
        <v>34.077922077922075</v>
      </c>
      <c r="J15" s="126">
        <f t="shared" si="4"/>
        <v>6.8383658969804612E-2</v>
      </c>
      <c r="K15" s="127">
        <f t="shared" si="5"/>
        <v>342.26086956521738</v>
      </c>
      <c r="L15" s="127">
        <f t="shared" si="6"/>
        <v>2281.7391304347825</v>
      </c>
      <c r="M15" s="128">
        <v>24</v>
      </c>
      <c r="N15" s="129">
        <f t="shared" si="7"/>
        <v>2257.7391304347825</v>
      </c>
      <c r="O15" s="130"/>
      <c r="P15" s="46">
        <v>1513</v>
      </c>
      <c r="Q15" s="125">
        <f t="shared" si="8"/>
        <v>19.649350649350648</v>
      </c>
      <c r="R15" s="131">
        <v>32</v>
      </c>
      <c r="S15" s="132">
        <f t="shared" si="9"/>
        <v>0.41558441558441561</v>
      </c>
      <c r="T15" s="133">
        <f t="shared" si="10"/>
        <v>197.34782608695653</v>
      </c>
      <c r="U15" s="133">
        <f t="shared" si="11"/>
        <v>1315.6521739130435</v>
      </c>
      <c r="V15" s="131">
        <v>80</v>
      </c>
      <c r="W15" s="126">
        <f t="shared" si="12"/>
        <v>1.0389610389610389</v>
      </c>
      <c r="X15" s="46">
        <v>266.37</v>
      </c>
      <c r="Y15" s="126">
        <f t="shared" si="13"/>
        <v>0.17605419695968275</v>
      </c>
      <c r="Z15" s="134"/>
      <c r="AA15" s="125">
        <f t="shared" si="14"/>
        <v>2624</v>
      </c>
      <c r="AB15" s="125">
        <f t="shared" si="15"/>
        <v>2257.7391304347825</v>
      </c>
      <c r="AC15" s="135">
        <f t="shared" si="16"/>
        <v>1513</v>
      </c>
      <c r="AD15" s="136">
        <f t="shared" si="17"/>
        <v>1315.6521739130435</v>
      </c>
      <c r="AE15" s="125">
        <f t="shared" si="18"/>
        <v>4137</v>
      </c>
      <c r="AF15" s="46">
        <f t="shared" si="19"/>
        <v>3573.391304347826</v>
      </c>
    </row>
    <row r="16" spans="2:32" ht="15" customHeight="1" x14ac:dyDescent="0.25">
      <c r="B16" s="90">
        <v>46177</v>
      </c>
      <c r="C16" s="124" t="s">
        <v>57</v>
      </c>
      <c r="D16" s="123">
        <v>238</v>
      </c>
      <c r="E16" s="124">
        <v>17</v>
      </c>
      <c r="F16" s="124">
        <v>1032</v>
      </c>
      <c r="G16" s="124">
        <v>114</v>
      </c>
      <c r="H16" s="124">
        <v>3798</v>
      </c>
      <c r="I16" s="125">
        <f t="shared" si="3"/>
        <v>33.315789473684212</v>
      </c>
      <c r="J16" s="126">
        <f t="shared" si="4"/>
        <v>0.11046511627906977</v>
      </c>
      <c r="K16" s="127">
        <f t="shared" si="5"/>
        <v>495.39130434782606</v>
      </c>
      <c r="L16" s="127">
        <f t="shared" si="6"/>
        <v>3302.608695652174</v>
      </c>
      <c r="M16" s="124">
        <v>198.8</v>
      </c>
      <c r="N16" s="129">
        <f t="shared" si="7"/>
        <v>3103.8086956521738</v>
      </c>
      <c r="O16" s="130"/>
      <c r="P16" s="124">
        <v>1286</v>
      </c>
      <c r="Q16" s="125">
        <f t="shared" si="8"/>
        <v>11.280701754385966</v>
      </c>
      <c r="R16" s="124">
        <v>34</v>
      </c>
      <c r="S16" s="132">
        <f t="shared" si="9"/>
        <v>0.2982456140350877</v>
      </c>
      <c r="T16" s="133">
        <f t="shared" si="10"/>
        <v>167.7391304347826</v>
      </c>
      <c r="U16" s="133">
        <f t="shared" si="11"/>
        <v>1118.2608695652175</v>
      </c>
      <c r="V16" s="124">
        <v>70</v>
      </c>
      <c r="W16" s="126">
        <f t="shared" si="12"/>
        <v>0.61403508771929827</v>
      </c>
      <c r="X16" s="124">
        <v>202.42</v>
      </c>
      <c r="Y16" s="126">
        <f t="shared" si="13"/>
        <v>0.15740279937791601</v>
      </c>
      <c r="Z16" s="134"/>
      <c r="AA16" s="125">
        <f t="shared" si="14"/>
        <v>3798</v>
      </c>
      <c r="AB16" s="125">
        <f t="shared" si="15"/>
        <v>3103.8086956521738</v>
      </c>
      <c r="AC16" s="135">
        <f t="shared" si="16"/>
        <v>1286</v>
      </c>
      <c r="AD16" s="136">
        <f t="shared" si="17"/>
        <v>1118.2608695652175</v>
      </c>
      <c r="AE16" s="125">
        <f t="shared" si="18"/>
        <v>5084</v>
      </c>
      <c r="AF16" s="46">
        <f t="shared" si="19"/>
        <v>4222.0695652173908</v>
      </c>
    </row>
    <row r="17" spans="2:32" ht="15" customHeight="1" x14ac:dyDescent="0.25">
      <c r="B17" s="90">
        <v>46178</v>
      </c>
      <c r="C17" s="124" t="s">
        <v>59</v>
      </c>
      <c r="D17" s="123">
        <v>238</v>
      </c>
      <c r="E17" s="124">
        <v>17</v>
      </c>
      <c r="F17" s="124">
        <v>1032</v>
      </c>
      <c r="G17" s="124">
        <v>150</v>
      </c>
      <c r="H17" s="124">
        <v>4980</v>
      </c>
      <c r="I17" s="125">
        <f t="shared" si="3"/>
        <v>33.200000000000003</v>
      </c>
      <c r="J17" s="126">
        <f t="shared" si="4"/>
        <v>0.14534883720930233</v>
      </c>
      <c r="K17" s="127">
        <f t="shared" si="5"/>
        <v>649.56521739130437</v>
      </c>
      <c r="L17" s="127">
        <f t="shared" si="6"/>
        <v>4330.434782608696</v>
      </c>
      <c r="M17" s="124">
        <v>290.47000000000003</v>
      </c>
      <c r="N17" s="129">
        <f t="shared" si="7"/>
        <v>4039.9647826086957</v>
      </c>
      <c r="O17" s="130"/>
      <c r="P17" s="124">
        <v>1580</v>
      </c>
      <c r="Q17" s="125">
        <f t="shared" si="8"/>
        <v>10.533333333333333</v>
      </c>
      <c r="R17" s="124">
        <v>37</v>
      </c>
      <c r="S17" s="132">
        <f t="shared" si="9"/>
        <v>0.24666666666666667</v>
      </c>
      <c r="T17" s="133">
        <f t="shared" si="10"/>
        <v>206.08695652173913</v>
      </c>
      <c r="U17" s="133">
        <f t="shared" si="11"/>
        <v>1373.913043478261</v>
      </c>
      <c r="V17" s="124">
        <v>86</v>
      </c>
      <c r="W17" s="126">
        <f t="shared" si="12"/>
        <v>0.57333333333333336</v>
      </c>
      <c r="X17" s="124">
        <v>292.01</v>
      </c>
      <c r="Y17" s="126">
        <f t="shared" si="13"/>
        <v>0.18481645569620253</v>
      </c>
      <c r="Z17" s="134"/>
      <c r="AA17" s="125">
        <f t="shared" si="14"/>
        <v>4980</v>
      </c>
      <c r="AB17" s="125">
        <f t="shared" si="15"/>
        <v>4039.9647826086957</v>
      </c>
      <c r="AC17" s="135">
        <f t="shared" si="16"/>
        <v>1580</v>
      </c>
      <c r="AD17" s="136">
        <f t="shared" si="17"/>
        <v>1373.913043478261</v>
      </c>
      <c r="AE17" s="125">
        <f t="shared" si="18"/>
        <v>6560</v>
      </c>
      <c r="AF17" s="46">
        <f t="shared" si="19"/>
        <v>5413.8778260869567</v>
      </c>
    </row>
    <row r="18" spans="2:32" ht="15" customHeight="1" x14ac:dyDescent="0.25">
      <c r="B18" s="90">
        <v>46179</v>
      </c>
      <c r="C18" s="124" t="s">
        <v>60</v>
      </c>
      <c r="D18" s="123">
        <v>238</v>
      </c>
      <c r="E18" s="124">
        <v>21</v>
      </c>
      <c r="F18" s="124">
        <v>1270</v>
      </c>
      <c r="G18" s="124">
        <v>58</v>
      </c>
      <c r="H18" s="124">
        <v>1936</v>
      </c>
      <c r="I18" s="125">
        <f t="shared" si="3"/>
        <v>33.379310344827587</v>
      </c>
      <c r="J18" s="126">
        <f t="shared" si="4"/>
        <v>4.5669291338582677E-2</v>
      </c>
      <c r="K18" s="127">
        <f t="shared" si="5"/>
        <v>252.52173913043478</v>
      </c>
      <c r="L18" s="127">
        <f t="shared" si="6"/>
        <v>1683.4782608695652</v>
      </c>
      <c r="M18" s="124">
        <v>103.66</v>
      </c>
      <c r="N18" s="129">
        <f t="shared" si="7"/>
        <v>1579.8182608695652</v>
      </c>
      <c r="O18" s="130"/>
      <c r="P18" s="124">
        <v>876</v>
      </c>
      <c r="Q18" s="125">
        <f t="shared" si="8"/>
        <v>15.103448275862069</v>
      </c>
      <c r="R18" s="124">
        <v>28</v>
      </c>
      <c r="S18" s="132">
        <f t="shared" si="9"/>
        <v>0.48275862068965519</v>
      </c>
      <c r="T18" s="133">
        <f t="shared" si="10"/>
        <v>114.26086956521739</v>
      </c>
      <c r="U18" s="133">
        <f t="shared" si="11"/>
        <v>761.73913043478262</v>
      </c>
      <c r="V18" s="124">
        <v>50</v>
      </c>
      <c r="W18" s="126">
        <f t="shared" si="12"/>
        <v>0.86206896551724133</v>
      </c>
      <c r="X18" s="124">
        <v>168.09</v>
      </c>
      <c r="Y18" s="126">
        <f t="shared" si="13"/>
        <v>0.19188356164383563</v>
      </c>
      <c r="Z18" s="134"/>
      <c r="AA18" s="125">
        <f t="shared" si="14"/>
        <v>1936</v>
      </c>
      <c r="AB18" s="125">
        <f t="shared" si="15"/>
        <v>1579.8182608695652</v>
      </c>
      <c r="AC18" s="135">
        <f t="shared" si="16"/>
        <v>876</v>
      </c>
      <c r="AD18" s="136">
        <f t="shared" si="17"/>
        <v>761.73913043478262</v>
      </c>
      <c r="AE18" s="125">
        <f t="shared" si="18"/>
        <v>2812</v>
      </c>
      <c r="AF18" s="46">
        <f t="shared" si="19"/>
        <v>2341.5573913043477</v>
      </c>
    </row>
    <row r="19" spans="2:32" ht="15" customHeight="1" x14ac:dyDescent="0.25">
      <c r="B19" s="90">
        <v>46180</v>
      </c>
      <c r="C19" s="124" t="s">
        <v>61</v>
      </c>
      <c r="D19" s="123">
        <v>238</v>
      </c>
      <c r="E19" s="124">
        <v>17</v>
      </c>
      <c r="F19" s="124">
        <v>1032</v>
      </c>
      <c r="G19" s="124">
        <v>28</v>
      </c>
      <c r="H19" s="124">
        <v>936</v>
      </c>
      <c r="I19" s="125">
        <f t="shared" si="3"/>
        <v>33.428571428571431</v>
      </c>
      <c r="J19" s="126">
        <f t="shared" si="4"/>
        <v>2.7131782945736434E-2</v>
      </c>
      <c r="K19" s="127">
        <f t="shared" si="5"/>
        <v>122.08695652173913</v>
      </c>
      <c r="L19" s="127">
        <f t="shared" si="6"/>
        <v>813.91304347826087</v>
      </c>
      <c r="M19" s="124">
        <v>19.48</v>
      </c>
      <c r="N19" s="129">
        <f t="shared" si="7"/>
        <v>794.43304347826086</v>
      </c>
      <c r="O19" s="130"/>
      <c r="P19" s="124">
        <v>345</v>
      </c>
      <c r="Q19" s="125">
        <f t="shared" si="8"/>
        <v>12.321428571428571</v>
      </c>
      <c r="R19" s="124">
        <v>13</v>
      </c>
      <c r="S19" s="132">
        <f t="shared" si="9"/>
        <v>0.4642857142857143</v>
      </c>
      <c r="T19" s="133">
        <f t="shared" si="10"/>
        <v>45</v>
      </c>
      <c r="U19" s="133">
        <f t="shared" si="11"/>
        <v>300</v>
      </c>
      <c r="V19" s="124">
        <v>20</v>
      </c>
      <c r="W19" s="126">
        <f t="shared" si="12"/>
        <v>0.7142857142857143</v>
      </c>
      <c r="X19" s="124">
        <v>59.25</v>
      </c>
      <c r="Y19" s="126">
        <f t="shared" si="13"/>
        <v>0.17173913043478262</v>
      </c>
      <c r="Z19" s="134"/>
      <c r="AA19" s="125">
        <f t="shared" si="14"/>
        <v>936</v>
      </c>
      <c r="AB19" s="125">
        <f t="shared" si="15"/>
        <v>794.43304347826086</v>
      </c>
      <c r="AC19" s="135">
        <f t="shared" si="16"/>
        <v>345</v>
      </c>
      <c r="AD19" s="136">
        <f t="shared" si="17"/>
        <v>300</v>
      </c>
      <c r="AE19" s="125">
        <f t="shared" si="18"/>
        <v>1281</v>
      </c>
      <c r="AF19" s="46">
        <f t="shared" si="19"/>
        <v>1094.433043478261</v>
      </c>
    </row>
    <row r="20" spans="2:32" ht="15" customHeight="1" x14ac:dyDescent="0.25">
      <c r="B20" s="90">
        <v>46181</v>
      </c>
      <c r="C20" s="124" t="s">
        <v>62</v>
      </c>
      <c r="D20" s="123">
        <v>238</v>
      </c>
      <c r="E20" s="124">
        <v>17</v>
      </c>
      <c r="F20" s="124">
        <v>1032</v>
      </c>
      <c r="G20" s="124">
        <v>25</v>
      </c>
      <c r="H20" s="124">
        <v>800</v>
      </c>
      <c r="I20" s="125">
        <f t="shared" si="3"/>
        <v>32</v>
      </c>
      <c r="J20" s="126">
        <f t="shared" si="4"/>
        <v>2.4224806201550389E-2</v>
      </c>
      <c r="K20" s="127">
        <f t="shared" si="5"/>
        <v>104.34782608695652</v>
      </c>
      <c r="L20" s="127">
        <f t="shared" si="6"/>
        <v>695.6521739130435</v>
      </c>
      <c r="M20" s="124">
        <v>8.35</v>
      </c>
      <c r="N20" s="129">
        <f t="shared" si="7"/>
        <v>687.30217391304348</v>
      </c>
      <c r="O20" s="130"/>
      <c r="P20" s="124">
        <v>454.8</v>
      </c>
      <c r="Q20" s="125">
        <f t="shared" si="8"/>
        <v>18.192</v>
      </c>
      <c r="R20" s="124">
        <v>17</v>
      </c>
      <c r="S20" s="132">
        <f t="shared" si="9"/>
        <v>0.68</v>
      </c>
      <c r="T20" s="133">
        <f t="shared" si="10"/>
        <v>59.321739130434786</v>
      </c>
      <c r="U20" s="133">
        <f t="shared" si="11"/>
        <v>395.47826086956525</v>
      </c>
      <c r="V20" s="124">
        <v>22</v>
      </c>
      <c r="W20" s="126">
        <f t="shared" si="12"/>
        <v>0.88</v>
      </c>
      <c r="X20" s="124">
        <v>81.14</v>
      </c>
      <c r="Y20" s="126">
        <f t="shared" si="13"/>
        <v>0.17840809146877748</v>
      </c>
      <c r="Z20" s="134"/>
      <c r="AA20" s="125">
        <f t="shared" si="14"/>
        <v>800</v>
      </c>
      <c r="AB20" s="125">
        <f t="shared" si="15"/>
        <v>687.30217391304348</v>
      </c>
      <c r="AC20" s="135">
        <f t="shared" si="16"/>
        <v>454.8</v>
      </c>
      <c r="AD20" s="136">
        <f t="shared" si="17"/>
        <v>395.47826086956525</v>
      </c>
      <c r="AE20" s="125">
        <f t="shared" si="18"/>
        <v>1254.8</v>
      </c>
      <c r="AF20" s="46">
        <f t="shared" si="19"/>
        <v>1082.7804347826086</v>
      </c>
    </row>
    <row r="21" spans="2:32" ht="15" customHeight="1" x14ac:dyDescent="0.25">
      <c r="B21" s="90">
        <v>46182</v>
      </c>
      <c r="C21" s="124" t="s">
        <v>63</v>
      </c>
      <c r="D21" s="123">
        <v>238</v>
      </c>
      <c r="E21" s="124">
        <v>17</v>
      </c>
      <c r="F21" s="124">
        <v>1032</v>
      </c>
      <c r="G21" s="124">
        <v>22</v>
      </c>
      <c r="H21" s="124">
        <v>628</v>
      </c>
      <c r="I21" s="125">
        <f t="shared" si="3"/>
        <v>28.545454545454547</v>
      </c>
      <c r="J21" s="126">
        <f t="shared" si="4"/>
        <v>2.1317829457364341E-2</v>
      </c>
      <c r="K21" s="127">
        <f t="shared" si="5"/>
        <v>81.913043478260875</v>
      </c>
      <c r="L21" s="127">
        <f t="shared" si="6"/>
        <v>546.08695652173913</v>
      </c>
      <c r="M21" s="124">
        <v>37.92</v>
      </c>
      <c r="N21" s="129">
        <f t="shared" si="7"/>
        <v>508.16695652173911</v>
      </c>
      <c r="O21" s="130"/>
      <c r="P21" s="124">
        <v>351</v>
      </c>
      <c r="Q21" s="125">
        <f t="shared" si="8"/>
        <v>15.954545454545455</v>
      </c>
      <c r="R21" s="124">
        <v>12</v>
      </c>
      <c r="S21" s="132">
        <f t="shared" si="9"/>
        <v>0.54545454545454541</v>
      </c>
      <c r="T21" s="133">
        <f t="shared" si="10"/>
        <v>45.782608695652172</v>
      </c>
      <c r="U21" s="133">
        <f t="shared" si="11"/>
        <v>305.21739130434781</v>
      </c>
      <c r="V21" s="124">
        <v>19</v>
      </c>
      <c r="W21" s="126">
        <f t="shared" si="12"/>
        <v>0.86363636363636365</v>
      </c>
      <c r="X21" s="124">
        <v>49.43</v>
      </c>
      <c r="Y21" s="126">
        <f t="shared" si="13"/>
        <v>0.14082621082621083</v>
      </c>
      <c r="Z21" s="134"/>
      <c r="AA21" s="125">
        <f t="shared" si="14"/>
        <v>628</v>
      </c>
      <c r="AB21" s="125">
        <f t="shared" si="15"/>
        <v>508.16695652173911</v>
      </c>
      <c r="AC21" s="135">
        <f t="shared" si="16"/>
        <v>351</v>
      </c>
      <c r="AD21" s="136">
        <f t="shared" si="17"/>
        <v>305.21739130434781</v>
      </c>
      <c r="AE21" s="125">
        <f t="shared" si="18"/>
        <v>979</v>
      </c>
      <c r="AF21" s="46">
        <f t="shared" si="19"/>
        <v>813.38434782608692</v>
      </c>
    </row>
    <row r="22" spans="2:32" ht="15" customHeight="1" x14ac:dyDescent="0.25">
      <c r="B22" s="90">
        <v>46183</v>
      </c>
      <c r="C22" s="124" t="s">
        <v>64</v>
      </c>
      <c r="D22" s="123">
        <v>238</v>
      </c>
      <c r="E22" s="124">
        <v>16</v>
      </c>
      <c r="F22" s="124">
        <v>975</v>
      </c>
      <c r="G22" s="124">
        <v>38</v>
      </c>
      <c r="H22" s="124">
        <v>902</v>
      </c>
      <c r="I22" s="125">
        <f t="shared" si="3"/>
        <v>23.736842105263158</v>
      </c>
      <c r="J22" s="126">
        <f t="shared" si="4"/>
        <v>3.8974358974358976E-2</v>
      </c>
      <c r="K22" s="127">
        <f t="shared" si="5"/>
        <v>117.65217391304348</v>
      </c>
      <c r="L22" s="127">
        <f t="shared" si="6"/>
        <v>784.3478260869565</v>
      </c>
      <c r="M22" s="124">
        <v>40.520000000000003</v>
      </c>
      <c r="N22" s="129">
        <f t="shared" si="7"/>
        <v>743.82782608695652</v>
      </c>
      <c r="O22" s="130"/>
      <c r="P22" s="124">
        <v>781</v>
      </c>
      <c r="Q22" s="125">
        <f t="shared" si="8"/>
        <v>20.55263157894737</v>
      </c>
      <c r="R22" s="124">
        <v>21</v>
      </c>
      <c r="S22" s="132">
        <f t="shared" si="9"/>
        <v>0.55263157894736847</v>
      </c>
      <c r="T22" s="133">
        <f t="shared" si="10"/>
        <v>101.8695652173913</v>
      </c>
      <c r="U22" s="133">
        <f t="shared" si="11"/>
        <v>679.13043478260875</v>
      </c>
      <c r="V22" s="124">
        <v>39</v>
      </c>
      <c r="W22" s="126">
        <f t="shared" si="12"/>
        <v>1.0263157894736843</v>
      </c>
      <c r="X22" s="124">
        <v>144.47</v>
      </c>
      <c r="Y22" s="126">
        <f t="shared" si="13"/>
        <v>0.18498079385403329</v>
      </c>
      <c r="Z22" s="134"/>
      <c r="AA22" s="125">
        <f t="shared" si="14"/>
        <v>902</v>
      </c>
      <c r="AB22" s="125">
        <f t="shared" si="15"/>
        <v>743.82782608695652</v>
      </c>
      <c r="AC22" s="135">
        <f t="shared" si="16"/>
        <v>781</v>
      </c>
      <c r="AD22" s="136">
        <f t="shared" si="17"/>
        <v>679.13043478260875</v>
      </c>
      <c r="AE22" s="125">
        <f t="shared" si="18"/>
        <v>1683</v>
      </c>
      <c r="AF22" s="46">
        <f t="shared" si="19"/>
        <v>1422.9582608695653</v>
      </c>
    </row>
    <row r="23" spans="2:32" ht="15" customHeight="1" x14ac:dyDescent="0.25">
      <c r="B23" s="90">
        <v>46184</v>
      </c>
      <c r="C23" s="124" t="s">
        <v>57</v>
      </c>
      <c r="D23" s="123">
        <v>238</v>
      </c>
      <c r="E23" s="124">
        <v>18</v>
      </c>
      <c r="F23" s="124">
        <v>1069</v>
      </c>
      <c r="G23" s="124">
        <v>65</v>
      </c>
      <c r="H23" s="124">
        <v>1648</v>
      </c>
      <c r="I23" s="125">
        <f t="shared" si="3"/>
        <v>25.353846153846153</v>
      </c>
      <c r="J23" s="126">
        <f t="shared" si="4"/>
        <v>6.0804490177736203E-2</v>
      </c>
      <c r="K23" s="127">
        <f t="shared" si="5"/>
        <v>214.95652173913044</v>
      </c>
      <c r="L23" s="127">
        <f t="shared" si="6"/>
        <v>1433.0434782608695</v>
      </c>
      <c r="M23" s="124">
        <v>109.39</v>
      </c>
      <c r="N23" s="129">
        <f t="shared" si="7"/>
        <v>1323.6534782608694</v>
      </c>
      <c r="O23" s="130"/>
      <c r="P23" s="124">
        <v>1469</v>
      </c>
      <c r="Q23" s="125">
        <f t="shared" si="8"/>
        <v>22.6</v>
      </c>
      <c r="R23" s="124">
        <v>35</v>
      </c>
      <c r="S23" s="132">
        <f t="shared" si="9"/>
        <v>0.53846153846153844</v>
      </c>
      <c r="T23" s="133">
        <f t="shared" si="10"/>
        <v>191.60869565217391</v>
      </c>
      <c r="U23" s="133">
        <f t="shared" si="11"/>
        <v>1277.391304347826</v>
      </c>
      <c r="V23" s="124">
        <v>76</v>
      </c>
      <c r="W23" s="126">
        <f t="shared" si="12"/>
        <v>1.1692307692307693</v>
      </c>
      <c r="X23" s="124">
        <v>269.42</v>
      </c>
      <c r="Y23" s="126">
        <f t="shared" si="13"/>
        <v>0.18340367597004767</v>
      </c>
      <c r="Z23" s="134"/>
      <c r="AA23" s="125">
        <f t="shared" si="14"/>
        <v>1648</v>
      </c>
      <c r="AB23" s="125">
        <f t="shared" si="15"/>
        <v>1323.6534782608694</v>
      </c>
      <c r="AC23" s="135">
        <f t="shared" si="16"/>
        <v>1469</v>
      </c>
      <c r="AD23" s="136">
        <f t="shared" si="17"/>
        <v>1277.391304347826</v>
      </c>
      <c r="AE23" s="125">
        <f t="shared" si="18"/>
        <v>3117</v>
      </c>
      <c r="AF23" s="46">
        <f t="shared" si="19"/>
        <v>2601.0447826086956</v>
      </c>
    </row>
    <row r="24" spans="2:32" ht="15" customHeight="1" x14ac:dyDescent="0.25">
      <c r="B24" s="90">
        <v>46185</v>
      </c>
      <c r="C24" s="124" t="s">
        <v>59</v>
      </c>
      <c r="D24" s="123">
        <v>238</v>
      </c>
      <c r="E24" s="124">
        <v>18</v>
      </c>
      <c r="F24" s="124">
        <v>1069</v>
      </c>
      <c r="G24" s="124">
        <v>94</v>
      </c>
      <c r="H24" s="124">
        <v>2208</v>
      </c>
      <c r="I24" s="125">
        <f t="shared" si="3"/>
        <v>23.48936170212766</v>
      </c>
      <c r="J24" s="126">
        <f t="shared" si="4"/>
        <v>8.7932647333956976E-2</v>
      </c>
      <c r="K24" s="127">
        <f t="shared" si="5"/>
        <v>288</v>
      </c>
      <c r="L24" s="127">
        <f t="shared" si="6"/>
        <v>1920</v>
      </c>
      <c r="M24" s="124">
        <v>150.6</v>
      </c>
      <c r="N24" s="129">
        <f t="shared" si="7"/>
        <v>1769.4</v>
      </c>
      <c r="O24" s="130"/>
      <c r="P24" s="124">
        <v>1627</v>
      </c>
      <c r="Q24" s="125">
        <f t="shared" si="8"/>
        <v>17.308510638297872</v>
      </c>
      <c r="R24" s="124">
        <v>32</v>
      </c>
      <c r="S24" s="132">
        <f t="shared" si="9"/>
        <v>0.34042553191489361</v>
      </c>
      <c r="T24" s="133">
        <f t="shared" si="10"/>
        <v>212.21739130434781</v>
      </c>
      <c r="U24" s="133">
        <f t="shared" si="11"/>
        <v>1414.7826086956522</v>
      </c>
      <c r="V24" s="124">
        <v>77</v>
      </c>
      <c r="W24" s="126">
        <f t="shared" si="12"/>
        <v>0.81914893617021278</v>
      </c>
      <c r="X24" s="124">
        <v>274.54000000000002</v>
      </c>
      <c r="Y24" s="126">
        <f t="shared" si="13"/>
        <v>0.16874001229256302</v>
      </c>
      <c r="Z24" s="134"/>
      <c r="AA24" s="125">
        <f t="shared" si="14"/>
        <v>2208</v>
      </c>
      <c r="AB24" s="125">
        <f t="shared" si="15"/>
        <v>1769.4</v>
      </c>
      <c r="AC24" s="135">
        <f t="shared" si="16"/>
        <v>1627</v>
      </c>
      <c r="AD24" s="136">
        <f t="shared" si="17"/>
        <v>1414.7826086956522</v>
      </c>
      <c r="AE24" s="125">
        <f t="shared" si="18"/>
        <v>3835</v>
      </c>
      <c r="AF24" s="46">
        <f t="shared" si="19"/>
        <v>3184.1826086956526</v>
      </c>
    </row>
    <row r="25" spans="2:32" ht="15" customHeight="1" x14ac:dyDescent="0.25">
      <c r="B25" s="90">
        <v>46186</v>
      </c>
      <c r="C25" s="124" t="s">
        <v>60</v>
      </c>
      <c r="D25" s="123">
        <v>238</v>
      </c>
      <c r="E25" s="124">
        <v>22</v>
      </c>
      <c r="F25" s="124">
        <v>1307</v>
      </c>
      <c r="G25" s="124">
        <v>18</v>
      </c>
      <c r="H25" s="124">
        <v>506</v>
      </c>
      <c r="I25" s="125">
        <f t="shared" si="3"/>
        <v>28.111111111111111</v>
      </c>
      <c r="J25" s="126">
        <f t="shared" si="4"/>
        <v>1.3771996939556235E-2</v>
      </c>
      <c r="K25" s="127">
        <f t="shared" si="5"/>
        <v>66</v>
      </c>
      <c r="L25" s="127">
        <f t="shared" si="6"/>
        <v>440</v>
      </c>
      <c r="M25" s="124">
        <v>36.520000000000003</v>
      </c>
      <c r="N25" s="129">
        <f t="shared" si="7"/>
        <v>403.48</v>
      </c>
      <c r="O25" s="130"/>
      <c r="P25" s="124">
        <v>391</v>
      </c>
      <c r="Q25" s="125">
        <f t="shared" si="8"/>
        <v>21.722222222222221</v>
      </c>
      <c r="R25" s="124">
        <v>9</v>
      </c>
      <c r="S25" s="132">
        <f t="shared" si="9"/>
        <v>0.5</v>
      </c>
      <c r="T25" s="133">
        <f t="shared" si="10"/>
        <v>51</v>
      </c>
      <c r="U25" s="133">
        <f t="shared" si="11"/>
        <v>340</v>
      </c>
      <c r="V25" s="124">
        <v>18</v>
      </c>
      <c r="W25" s="126">
        <f t="shared" si="12"/>
        <v>1</v>
      </c>
      <c r="X25" s="124">
        <v>78.67</v>
      </c>
      <c r="Y25" s="126">
        <f t="shared" si="13"/>
        <v>0.20120204603580563</v>
      </c>
      <c r="Z25" s="134"/>
      <c r="AA25" s="125">
        <f t="shared" si="14"/>
        <v>506</v>
      </c>
      <c r="AB25" s="125">
        <f t="shared" si="15"/>
        <v>403.48</v>
      </c>
      <c r="AC25" s="135">
        <f t="shared" si="16"/>
        <v>391</v>
      </c>
      <c r="AD25" s="136">
        <f t="shared" si="17"/>
        <v>340</v>
      </c>
      <c r="AE25" s="125">
        <f t="shared" si="18"/>
        <v>897</v>
      </c>
      <c r="AF25" s="46">
        <f t="shared" si="19"/>
        <v>743.48</v>
      </c>
    </row>
    <row r="26" spans="2:32" ht="15" customHeight="1" x14ac:dyDescent="0.25">
      <c r="B26" s="90">
        <v>46187</v>
      </c>
      <c r="C26" s="124" t="s">
        <v>61</v>
      </c>
      <c r="D26" s="123">
        <v>238</v>
      </c>
      <c r="E26" s="124">
        <v>18</v>
      </c>
      <c r="F26" s="124">
        <v>1069</v>
      </c>
      <c r="G26" s="124">
        <v>5</v>
      </c>
      <c r="H26" s="124">
        <v>102</v>
      </c>
      <c r="I26" s="125">
        <f t="shared" si="3"/>
        <v>20.399999999999999</v>
      </c>
      <c r="J26" s="126">
        <f t="shared" si="4"/>
        <v>4.6772684752104769E-3</v>
      </c>
      <c r="K26" s="127">
        <f t="shared" si="5"/>
        <v>13.304347826086957</v>
      </c>
      <c r="L26" s="127">
        <f t="shared" si="6"/>
        <v>88.695652173913047</v>
      </c>
      <c r="M26" s="124">
        <v>5.91</v>
      </c>
      <c r="N26" s="129">
        <f t="shared" si="7"/>
        <v>82.78565217391305</v>
      </c>
      <c r="O26" s="130"/>
      <c r="P26" s="124">
        <v>193</v>
      </c>
      <c r="Q26" s="125">
        <f t="shared" si="8"/>
        <v>38.6</v>
      </c>
      <c r="R26" s="124">
        <v>6</v>
      </c>
      <c r="S26" s="132">
        <f t="shared" si="9"/>
        <v>1.2</v>
      </c>
      <c r="T26" s="133">
        <f t="shared" si="10"/>
        <v>25.173913043478262</v>
      </c>
      <c r="U26" s="133">
        <f t="shared" si="11"/>
        <v>167.82608695652175</v>
      </c>
      <c r="V26" s="124">
        <v>8</v>
      </c>
      <c r="W26" s="126">
        <f t="shared" si="12"/>
        <v>1.6</v>
      </c>
      <c r="X26" s="124">
        <v>32.29</v>
      </c>
      <c r="Y26" s="126">
        <f t="shared" si="13"/>
        <v>0.16730569948186527</v>
      </c>
      <c r="Z26" s="134"/>
      <c r="AA26" s="125">
        <f t="shared" si="14"/>
        <v>102</v>
      </c>
      <c r="AB26" s="125">
        <f t="shared" si="15"/>
        <v>82.78565217391305</v>
      </c>
      <c r="AC26" s="135">
        <f t="shared" si="16"/>
        <v>193</v>
      </c>
      <c r="AD26" s="136">
        <f t="shared" si="17"/>
        <v>167.82608695652175</v>
      </c>
      <c r="AE26" s="125">
        <f t="shared" si="18"/>
        <v>295</v>
      </c>
      <c r="AF26" s="46">
        <f t="shared" si="19"/>
        <v>250.61173913043478</v>
      </c>
    </row>
    <row r="27" spans="2:32" ht="15" customHeight="1" x14ac:dyDescent="0.25">
      <c r="B27" s="90">
        <v>46188</v>
      </c>
      <c r="C27" s="124" t="s">
        <v>62</v>
      </c>
      <c r="D27" s="123">
        <v>238</v>
      </c>
      <c r="E27" s="124">
        <v>18</v>
      </c>
      <c r="F27" s="124">
        <v>1069</v>
      </c>
      <c r="G27" s="124">
        <v>11</v>
      </c>
      <c r="H27" s="124">
        <v>238</v>
      </c>
      <c r="I27" s="125">
        <f t="shared" si="3"/>
        <v>21.636363636363637</v>
      </c>
      <c r="J27" s="126">
        <f t="shared" si="4"/>
        <v>1.028999064546305E-2</v>
      </c>
      <c r="K27" s="127">
        <f t="shared" si="5"/>
        <v>31.043478260869566</v>
      </c>
      <c r="L27" s="127">
        <f t="shared" si="6"/>
        <v>206.95652173913044</v>
      </c>
      <c r="M27" s="148">
        <v>17.739999999999998</v>
      </c>
      <c r="N27" s="129">
        <f t="shared" si="7"/>
        <v>189.21652173913043</v>
      </c>
      <c r="O27" s="130"/>
      <c r="P27" s="124">
        <v>441</v>
      </c>
      <c r="Q27" s="125">
        <f t="shared" si="8"/>
        <v>40.090909090909093</v>
      </c>
      <c r="R27" s="124">
        <v>19</v>
      </c>
      <c r="S27" s="132">
        <f t="shared" si="9"/>
        <v>1.7272727272727273</v>
      </c>
      <c r="T27" s="133">
        <f t="shared" si="10"/>
        <v>57.521739130434781</v>
      </c>
      <c r="U27" s="133">
        <f t="shared" si="11"/>
        <v>383.47826086956525</v>
      </c>
      <c r="V27" s="124">
        <v>25</v>
      </c>
      <c r="W27" s="126">
        <f t="shared" si="12"/>
        <v>2.2727272727272729</v>
      </c>
      <c r="X27" s="124">
        <v>71.489999999999995</v>
      </c>
      <c r="Y27" s="126">
        <f t="shared" si="13"/>
        <v>0.16210884353741495</v>
      </c>
      <c r="Z27" s="134"/>
      <c r="AA27" s="125">
        <f t="shared" si="14"/>
        <v>238</v>
      </c>
      <c r="AB27" s="125">
        <f t="shared" si="15"/>
        <v>189.21652173913043</v>
      </c>
      <c r="AC27" s="135">
        <f t="shared" si="16"/>
        <v>441</v>
      </c>
      <c r="AD27" s="136">
        <f t="shared" si="17"/>
        <v>383.47826086956525</v>
      </c>
      <c r="AE27" s="125">
        <f t="shared" si="18"/>
        <v>679</v>
      </c>
      <c r="AF27" s="46">
        <f t="shared" si="19"/>
        <v>572.69478260869573</v>
      </c>
    </row>
    <row r="28" spans="2:32" ht="15" customHeight="1" x14ac:dyDescent="0.25">
      <c r="B28" s="90">
        <v>46189</v>
      </c>
      <c r="C28" s="124" t="s">
        <v>63</v>
      </c>
      <c r="D28" s="123">
        <v>238</v>
      </c>
      <c r="E28" s="124">
        <v>18</v>
      </c>
      <c r="F28" s="124">
        <v>1069</v>
      </c>
      <c r="G28" s="124">
        <v>4</v>
      </c>
      <c r="H28" s="124">
        <v>68</v>
      </c>
      <c r="I28" s="125">
        <f t="shared" si="3"/>
        <v>17</v>
      </c>
      <c r="J28" s="126">
        <f t="shared" si="4"/>
        <v>3.7418147801683817E-3</v>
      </c>
      <c r="K28" s="127">
        <f t="shared" si="5"/>
        <v>8.8695652173913047</v>
      </c>
      <c r="L28" s="149">
        <f t="shared" si="6"/>
        <v>59.130434782608695</v>
      </c>
      <c r="M28" s="124">
        <v>0</v>
      </c>
      <c r="N28" s="150">
        <f t="shared" si="7"/>
        <v>59.130434782608695</v>
      </c>
      <c r="O28" s="130"/>
      <c r="P28" s="124">
        <v>221</v>
      </c>
      <c r="Q28" s="125">
        <f t="shared" si="8"/>
        <v>55.25</v>
      </c>
      <c r="R28" s="124">
        <v>9</v>
      </c>
      <c r="S28" s="132">
        <f t="shared" si="9"/>
        <v>2.25</v>
      </c>
      <c r="T28" s="133">
        <f t="shared" si="10"/>
        <v>28.826086956521738</v>
      </c>
      <c r="U28" s="133">
        <f t="shared" si="11"/>
        <v>192.17391304347825</v>
      </c>
      <c r="V28" s="124">
        <v>11</v>
      </c>
      <c r="W28" s="126">
        <f t="shared" si="12"/>
        <v>2.75</v>
      </c>
      <c r="X28" s="124">
        <v>32.74</v>
      </c>
      <c r="Y28" s="126">
        <f t="shared" si="13"/>
        <v>0.14814479638009051</v>
      </c>
      <c r="Z28" s="134"/>
      <c r="AA28" s="125">
        <f t="shared" si="14"/>
        <v>68</v>
      </c>
      <c r="AB28" s="125">
        <f t="shared" si="15"/>
        <v>59.130434782608695</v>
      </c>
      <c r="AC28" s="135">
        <f t="shared" si="16"/>
        <v>221</v>
      </c>
      <c r="AD28" s="136">
        <f t="shared" si="17"/>
        <v>192.17391304347825</v>
      </c>
      <c r="AE28" s="125">
        <f t="shared" si="18"/>
        <v>289</v>
      </c>
      <c r="AF28" s="46">
        <f t="shared" si="19"/>
        <v>251.30434782608694</v>
      </c>
    </row>
    <row r="29" spans="2:32" ht="15" customHeight="1" x14ac:dyDescent="0.25">
      <c r="B29" s="90">
        <v>46190</v>
      </c>
      <c r="C29" s="124" t="s">
        <v>64</v>
      </c>
      <c r="D29" s="123">
        <v>238</v>
      </c>
      <c r="E29" s="124">
        <v>18</v>
      </c>
      <c r="F29" s="124">
        <v>1069</v>
      </c>
      <c r="G29" s="124">
        <v>25</v>
      </c>
      <c r="H29" s="124">
        <v>522</v>
      </c>
      <c r="I29" s="125">
        <f t="shared" si="3"/>
        <v>20.88</v>
      </c>
      <c r="J29" s="126">
        <f t="shared" si="4"/>
        <v>2.3386342376052385E-2</v>
      </c>
      <c r="K29" s="127">
        <f t="shared" si="5"/>
        <v>68.086956521739125</v>
      </c>
      <c r="L29" s="149">
        <f t="shared" si="6"/>
        <v>453.91304347826087</v>
      </c>
      <c r="M29" s="124">
        <v>26.78</v>
      </c>
      <c r="N29" s="150">
        <f t="shared" si="7"/>
        <v>427.1330434782609</v>
      </c>
      <c r="O29" s="130"/>
      <c r="P29" s="124">
        <v>532</v>
      </c>
      <c r="Q29" s="125">
        <f t="shared" si="8"/>
        <v>21.28</v>
      </c>
      <c r="R29" s="124">
        <v>18</v>
      </c>
      <c r="S29" s="132">
        <f t="shared" si="9"/>
        <v>0.72</v>
      </c>
      <c r="T29" s="133">
        <f t="shared" si="10"/>
        <v>69.391304347826093</v>
      </c>
      <c r="U29" s="133">
        <f t="shared" si="11"/>
        <v>462.60869565217388</v>
      </c>
      <c r="V29" s="124">
        <v>28</v>
      </c>
      <c r="W29" s="126">
        <f t="shared" si="12"/>
        <v>1.1200000000000001</v>
      </c>
      <c r="X29" s="124">
        <v>92.11</v>
      </c>
      <c r="Y29" s="126">
        <f t="shared" si="13"/>
        <v>0.1731390977443609</v>
      </c>
      <c r="Z29" s="134"/>
      <c r="AA29" s="125">
        <f t="shared" si="14"/>
        <v>522</v>
      </c>
      <c r="AB29" s="125">
        <f t="shared" si="15"/>
        <v>427.1330434782609</v>
      </c>
      <c r="AC29" s="135">
        <f t="shared" si="16"/>
        <v>532</v>
      </c>
      <c r="AD29" s="136">
        <f t="shared" si="17"/>
        <v>462.60869565217388</v>
      </c>
      <c r="AE29" s="125">
        <f t="shared" si="18"/>
        <v>1054</v>
      </c>
      <c r="AF29" s="46">
        <f t="shared" si="19"/>
        <v>889.74173913043478</v>
      </c>
    </row>
    <row r="30" spans="2:32" ht="15" customHeight="1" x14ac:dyDescent="0.25">
      <c r="B30" s="90">
        <v>46191</v>
      </c>
      <c r="C30" s="124" t="s">
        <v>57</v>
      </c>
      <c r="D30" s="123">
        <v>238</v>
      </c>
      <c r="E30" s="124">
        <v>20</v>
      </c>
      <c r="F30" s="124">
        <v>1190</v>
      </c>
      <c r="G30" s="124">
        <v>50</v>
      </c>
      <c r="H30" s="124">
        <v>1240</v>
      </c>
      <c r="I30" s="125">
        <f t="shared" si="3"/>
        <v>24.8</v>
      </c>
      <c r="J30" s="132">
        <f t="shared" si="4"/>
        <v>4.2016806722689079E-2</v>
      </c>
      <c r="K30" s="127">
        <f t="shared" si="5"/>
        <v>161.7391304347826</v>
      </c>
      <c r="L30" s="149">
        <f t="shared" si="6"/>
        <v>1078.2608695652175</v>
      </c>
      <c r="M30" s="124">
        <v>66.430000000000007</v>
      </c>
      <c r="N30" s="150">
        <f t="shared" si="7"/>
        <v>1011.8308695652174</v>
      </c>
      <c r="O30" s="130"/>
      <c r="P30" s="124">
        <v>654</v>
      </c>
      <c r="Q30" s="125">
        <f t="shared" si="8"/>
        <v>13.08</v>
      </c>
      <c r="R30" s="124">
        <v>24</v>
      </c>
      <c r="S30" s="132">
        <f t="shared" si="9"/>
        <v>0.48</v>
      </c>
      <c r="T30" s="133">
        <f t="shared" si="10"/>
        <v>85.304347826086953</v>
      </c>
      <c r="U30" s="133">
        <f t="shared" si="11"/>
        <v>568.695652173913</v>
      </c>
      <c r="V30" s="124">
        <v>44</v>
      </c>
      <c r="W30" s="126">
        <f t="shared" si="12"/>
        <v>0.88</v>
      </c>
      <c r="X30" s="124">
        <v>131.97</v>
      </c>
      <c r="Y30" s="126">
        <f t="shared" si="13"/>
        <v>0.20178899082568807</v>
      </c>
      <c r="Z30" s="134"/>
      <c r="AA30" s="125">
        <f t="shared" si="14"/>
        <v>1240</v>
      </c>
      <c r="AB30" s="125">
        <f t="shared" si="15"/>
        <v>1011.8308695652174</v>
      </c>
      <c r="AC30" s="135">
        <f t="shared" si="16"/>
        <v>654</v>
      </c>
      <c r="AD30" s="136">
        <f t="shared" si="17"/>
        <v>568.695652173913</v>
      </c>
      <c r="AE30" s="125">
        <f t="shared" si="18"/>
        <v>1894</v>
      </c>
      <c r="AF30" s="46">
        <f t="shared" si="19"/>
        <v>1580.5265217391304</v>
      </c>
    </row>
    <row r="31" spans="2:32" ht="15" customHeight="1" x14ac:dyDescent="0.25">
      <c r="B31" s="90">
        <v>46192</v>
      </c>
      <c r="C31" s="124" t="s">
        <v>59</v>
      </c>
      <c r="D31" s="123">
        <v>238</v>
      </c>
      <c r="E31" s="124">
        <v>19</v>
      </c>
      <c r="F31" s="124">
        <v>1133</v>
      </c>
      <c r="G31" s="124">
        <v>85</v>
      </c>
      <c r="H31" s="124">
        <v>2144</v>
      </c>
      <c r="I31" s="125">
        <f t="shared" si="3"/>
        <v>25.223529411764705</v>
      </c>
      <c r="J31" s="126">
        <f t="shared" si="4"/>
        <v>7.5022065313327446E-2</v>
      </c>
      <c r="K31" s="127">
        <f t="shared" si="5"/>
        <v>279.6521739130435</v>
      </c>
      <c r="L31" s="149">
        <f t="shared" si="6"/>
        <v>1864.3478260869565</v>
      </c>
      <c r="M31" s="124">
        <v>178.07</v>
      </c>
      <c r="N31" s="150">
        <f t="shared" si="7"/>
        <v>1686.2778260869566</v>
      </c>
      <c r="O31" s="130"/>
      <c r="P31" s="124">
        <v>1554</v>
      </c>
      <c r="Q31" s="125">
        <f t="shared" si="8"/>
        <v>18.28235294117647</v>
      </c>
      <c r="R31" s="124">
        <v>37</v>
      </c>
      <c r="S31" s="132">
        <f t="shared" si="9"/>
        <v>0.43529411764705883</v>
      </c>
      <c r="T31" s="133">
        <f t="shared" si="10"/>
        <v>202.69565217391303</v>
      </c>
      <c r="U31" s="133">
        <f t="shared" si="11"/>
        <v>1351.304347826087</v>
      </c>
      <c r="V31" s="124">
        <v>71</v>
      </c>
      <c r="W31" s="126">
        <f t="shared" si="12"/>
        <v>0.83529411764705885</v>
      </c>
      <c r="X31" s="124">
        <v>310.04000000000002</v>
      </c>
      <c r="Y31" s="126">
        <f t="shared" si="13"/>
        <v>0.19951093951093951</v>
      </c>
      <c r="Z31" s="134"/>
      <c r="AA31" s="125">
        <f t="shared" si="14"/>
        <v>2144</v>
      </c>
      <c r="AB31" s="125">
        <f t="shared" si="15"/>
        <v>1686.2778260869566</v>
      </c>
      <c r="AC31" s="135">
        <f t="shared" si="16"/>
        <v>1554</v>
      </c>
      <c r="AD31" s="136">
        <f t="shared" si="17"/>
        <v>1351.304347826087</v>
      </c>
      <c r="AE31" s="125">
        <f t="shared" si="18"/>
        <v>3698</v>
      </c>
      <c r="AF31" s="46">
        <f t="shared" si="19"/>
        <v>3037.5821739130433</v>
      </c>
    </row>
    <row r="32" spans="2:32" ht="15" customHeight="1" x14ac:dyDescent="0.25">
      <c r="B32" s="90">
        <v>46193</v>
      </c>
      <c r="C32" s="124" t="s">
        <v>60</v>
      </c>
      <c r="D32" s="123">
        <v>238</v>
      </c>
      <c r="E32" s="124">
        <v>24</v>
      </c>
      <c r="F32" s="124">
        <v>1451</v>
      </c>
      <c r="G32" s="124">
        <v>28</v>
      </c>
      <c r="H32" s="124">
        <v>638</v>
      </c>
      <c r="I32" s="125">
        <f t="shared" si="3"/>
        <v>22.785714285714285</v>
      </c>
      <c r="J32" s="126">
        <f t="shared" si="4"/>
        <v>1.9297036526533425E-2</v>
      </c>
      <c r="K32" s="127">
        <f t="shared" si="5"/>
        <v>83.217391304347828</v>
      </c>
      <c r="L32" s="149">
        <f t="shared" si="6"/>
        <v>554.78260869565213</v>
      </c>
      <c r="M32" s="124">
        <v>48.87</v>
      </c>
      <c r="N32" s="150">
        <f t="shared" si="7"/>
        <v>505.91260869565212</v>
      </c>
      <c r="O32" s="130"/>
      <c r="P32" s="124">
        <v>884</v>
      </c>
      <c r="Q32" s="125">
        <f t="shared" si="8"/>
        <v>31.571428571428573</v>
      </c>
      <c r="R32" s="124">
        <v>23</v>
      </c>
      <c r="S32" s="132">
        <f t="shared" si="9"/>
        <v>0.8214285714285714</v>
      </c>
      <c r="T32" s="133">
        <f t="shared" si="10"/>
        <v>115.30434782608695</v>
      </c>
      <c r="U32" s="133">
        <f t="shared" si="11"/>
        <v>768.695652173913</v>
      </c>
      <c r="V32" s="124">
        <v>40</v>
      </c>
      <c r="W32" s="126">
        <f t="shared" si="12"/>
        <v>1.4285714285714286</v>
      </c>
      <c r="X32" s="124">
        <v>185.6</v>
      </c>
      <c r="Y32" s="126">
        <f t="shared" si="13"/>
        <v>0.20995475113122172</v>
      </c>
      <c r="Z32" s="134"/>
      <c r="AA32" s="125">
        <f t="shared" si="14"/>
        <v>638</v>
      </c>
      <c r="AB32" s="125">
        <f t="shared" si="15"/>
        <v>505.91260869565212</v>
      </c>
      <c r="AC32" s="135">
        <f t="shared" si="16"/>
        <v>884</v>
      </c>
      <c r="AD32" s="136">
        <f t="shared" si="17"/>
        <v>768.695652173913</v>
      </c>
      <c r="AE32" s="125">
        <f t="shared" si="18"/>
        <v>1522</v>
      </c>
      <c r="AF32" s="46">
        <f t="shared" si="19"/>
        <v>1274.6082608695651</v>
      </c>
    </row>
    <row r="33" spans="2:32" ht="15" customHeight="1" x14ac:dyDescent="0.25">
      <c r="B33" s="90">
        <v>46194</v>
      </c>
      <c r="C33" s="124" t="s">
        <v>61</v>
      </c>
      <c r="D33" s="123">
        <v>238</v>
      </c>
      <c r="E33" s="124">
        <v>19</v>
      </c>
      <c r="F33" s="124">
        <v>1133</v>
      </c>
      <c r="G33" s="124">
        <v>149</v>
      </c>
      <c r="H33" s="124">
        <v>2972</v>
      </c>
      <c r="I33" s="125">
        <f t="shared" si="3"/>
        <v>19.946308724832214</v>
      </c>
      <c r="J33" s="126">
        <f t="shared" si="4"/>
        <v>0.13150926743159752</v>
      </c>
      <c r="K33" s="127">
        <f t="shared" si="5"/>
        <v>387.6521739130435</v>
      </c>
      <c r="L33" s="149">
        <f t="shared" si="6"/>
        <v>2584.3478260869565</v>
      </c>
      <c r="M33" s="124">
        <v>252.54</v>
      </c>
      <c r="N33" s="150">
        <f t="shared" si="7"/>
        <v>2331.8078260869565</v>
      </c>
      <c r="O33" s="130"/>
      <c r="P33" s="124">
        <v>1940</v>
      </c>
      <c r="Q33" s="125">
        <f t="shared" si="8"/>
        <v>13.020134228187919</v>
      </c>
      <c r="R33" s="124">
        <v>41</v>
      </c>
      <c r="S33" s="132">
        <f t="shared" si="9"/>
        <v>0.27516778523489932</v>
      </c>
      <c r="T33" s="133">
        <f t="shared" si="10"/>
        <v>253.04347826086956</v>
      </c>
      <c r="U33" s="133">
        <f t="shared" si="11"/>
        <v>1686.9565217391305</v>
      </c>
      <c r="V33" s="124">
        <v>87</v>
      </c>
      <c r="W33" s="126">
        <f t="shared" si="12"/>
        <v>0.58389261744966447</v>
      </c>
      <c r="X33" s="124">
        <v>332.11</v>
      </c>
      <c r="Y33" s="126">
        <f t="shared" si="13"/>
        <v>0.17119072164948454</v>
      </c>
      <c r="Z33" s="134"/>
      <c r="AA33" s="125">
        <f t="shared" si="14"/>
        <v>2972</v>
      </c>
      <c r="AB33" s="125">
        <f t="shared" si="15"/>
        <v>2331.8078260869565</v>
      </c>
      <c r="AC33" s="135">
        <f t="shared" si="16"/>
        <v>1940</v>
      </c>
      <c r="AD33" s="136">
        <f t="shared" si="17"/>
        <v>1686.9565217391305</v>
      </c>
      <c r="AE33" s="125">
        <f t="shared" si="18"/>
        <v>4912</v>
      </c>
      <c r="AF33" s="46">
        <f t="shared" si="19"/>
        <v>4018.764347826087</v>
      </c>
    </row>
    <row r="34" spans="2:32" ht="15" customHeight="1" x14ac:dyDescent="0.25">
      <c r="B34" s="90">
        <v>46195</v>
      </c>
      <c r="C34" s="124" t="s">
        <v>62</v>
      </c>
      <c r="D34" s="123">
        <v>238</v>
      </c>
      <c r="E34" s="124">
        <v>18</v>
      </c>
      <c r="F34" s="124">
        <v>1053</v>
      </c>
      <c r="G34" s="124">
        <v>56</v>
      </c>
      <c r="H34" s="124">
        <v>1354</v>
      </c>
      <c r="I34" s="125">
        <f t="shared" si="3"/>
        <v>24.178571428571427</v>
      </c>
      <c r="J34" s="126">
        <f t="shared" si="4"/>
        <v>5.3181386514719847E-2</v>
      </c>
      <c r="K34" s="127">
        <f t="shared" si="5"/>
        <v>176.60869565217391</v>
      </c>
      <c r="L34" s="149">
        <f t="shared" si="6"/>
        <v>1177.391304347826</v>
      </c>
      <c r="M34" s="151">
        <v>101.23</v>
      </c>
      <c r="N34" s="150">
        <f t="shared" si="7"/>
        <v>1076.161304347826</v>
      </c>
      <c r="O34" s="130"/>
      <c r="P34" s="124">
        <v>1516.47</v>
      </c>
      <c r="Q34" s="125">
        <f t="shared" si="8"/>
        <v>27.079821428571428</v>
      </c>
      <c r="R34" s="124">
        <v>26</v>
      </c>
      <c r="S34" s="132">
        <f t="shared" si="9"/>
        <v>0.4642857142857143</v>
      </c>
      <c r="T34" s="133">
        <f t="shared" si="10"/>
        <v>197.80043478260868</v>
      </c>
      <c r="U34" s="133">
        <f t="shared" si="11"/>
        <v>1318.6695652173914</v>
      </c>
      <c r="V34" s="124">
        <v>131</v>
      </c>
      <c r="W34" s="126">
        <f t="shared" si="12"/>
        <v>2.3392857142857144</v>
      </c>
      <c r="X34" s="124">
        <v>613.16</v>
      </c>
      <c r="Y34" s="126">
        <f t="shared" si="13"/>
        <v>0.40433374877181871</v>
      </c>
      <c r="Z34" s="134"/>
      <c r="AA34" s="125">
        <f t="shared" si="14"/>
        <v>1354</v>
      </c>
      <c r="AB34" s="125">
        <f t="shared" si="15"/>
        <v>1076.161304347826</v>
      </c>
      <c r="AC34" s="135">
        <f t="shared" si="16"/>
        <v>1516.47</v>
      </c>
      <c r="AD34" s="136">
        <f t="shared" si="17"/>
        <v>1318.6695652173914</v>
      </c>
      <c r="AE34" s="125">
        <f t="shared" si="18"/>
        <v>2870.4700000000003</v>
      </c>
      <c r="AF34" s="46">
        <f t="shared" si="19"/>
        <v>2394.8308695652177</v>
      </c>
    </row>
    <row r="35" spans="2:32" ht="15" customHeight="1" x14ac:dyDescent="0.25">
      <c r="B35" s="90">
        <v>46196</v>
      </c>
      <c r="C35" s="124" t="s">
        <v>63</v>
      </c>
      <c r="D35" s="123">
        <v>238</v>
      </c>
      <c r="E35" s="124">
        <v>19</v>
      </c>
      <c r="F35" s="124">
        <v>1133</v>
      </c>
      <c r="G35" s="124">
        <v>78</v>
      </c>
      <c r="H35" s="124">
        <v>1536</v>
      </c>
      <c r="I35" s="125">
        <f t="shared" si="3"/>
        <v>19.692307692307693</v>
      </c>
      <c r="J35" s="126">
        <f t="shared" si="4"/>
        <v>6.884377758164166E-2</v>
      </c>
      <c r="K35" s="127">
        <f t="shared" si="5"/>
        <v>200.34782608695653</v>
      </c>
      <c r="L35" s="149">
        <f t="shared" si="6"/>
        <v>1335.6521739130435</v>
      </c>
      <c r="M35" s="151">
        <v>106.1</v>
      </c>
      <c r="N35" s="150">
        <f t="shared" si="7"/>
        <v>1229.5521739130436</v>
      </c>
      <c r="O35" s="130"/>
      <c r="P35" s="124">
        <v>1414</v>
      </c>
      <c r="Q35" s="125">
        <f t="shared" si="8"/>
        <v>18.128205128205128</v>
      </c>
      <c r="R35" s="124">
        <v>37</v>
      </c>
      <c r="S35" s="132">
        <f t="shared" si="9"/>
        <v>0.47435897435897434</v>
      </c>
      <c r="T35" s="133">
        <f t="shared" si="10"/>
        <v>184.43478260869566</v>
      </c>
      <c r="U35" s="133">
        <f t="shared" si="11"/>
        <v>1229.5652173913043</v>
      </c>
      <c r="V35" s="124">
        <v>54</v>
      </c>
      <c r="W35" s="126">
        <f t="shared" si="12"/>
        <v>0.69230769230769229</v>
      </c>
      <c r="X35" s="124">
        <v>258.98</v>
      </c>
      <c r="Y35" s="126">
        <f t="shared" si="13"/>
        <v>0.18315417256011315</v>
      </c>
      <c r="Z35" s="134"/>
      <c r="AA35" s="125">
        <f t="shared" si="14"/>
        <v>1536</v>
      </c>
      <c r="AB35" s="125">
        <f t="shared" si="15"/>
        <v>1229.5521739130436</v>
      </c>
      <c r="AC35" s="135">
        <f t="shared" si="16"/>
        <v>1414</v>
      </c>
      <c r="AD35" s="136">
        <f t="shared" si="17"/>
        <v>1229.5652173913043</v>
      </c>
      <c r="AE35" s="125">
        <f t="shared" si="18"/>
        <v>2950</v>
      </c>
      <c r="AF35" s="46">
        <f t="shared" si="19"/>
        <v>2459.1173913043476</v>
      </c>
    </row>
    <row r="36" spans="2:32" ht="15" customHeight="1" x14ac:dyDescent="0.25">
      <c r="B36" s="90">
        <v>46197</v>
      </c>
      <c r="C36" s="124" t="s">
        <v>64</v>
      </c>
      <c r="D36" s="123">
        <v>238</v>
      </c>
      <c r="E36" s="124">
        <v>19</v>
      </c>
      <c r="F36" s="124">
        <v>1133</v>
      </c>
      <c r="G36" s="124">
        <v>127</v>
      </c>
      <c r="H36" s="124">
        <v>2886</v>
      </c>
      <c r="I36" s="125">
        <f t="shared" si="3"/>
        <v>22.724409448818896</v>
      </c>
      <c r="J36" s="126">
        <f t="shared" si="4"/>
        <v>0.11209179170344219</v>
      </c>
      <c r="K36" s="127">
        <f t="shared" si="5"/>
        <v>376.43478260869563</v>
      </c>
      <c r="L36" s="149">
        <f t="shared" si="6"/>
        <v>2509.5652173913045</v>
      </c>
      <c r="M36" s="151">
        <v>231.49</v>
      </c>
      <c r="N36" s="150">
        <f t="shared" si="7"/>
        <v>2278.0752173913042</v>
      </c>
      <c r="O36" s="130"/>
      <c r="P36" s="124">
        <v>2549</v>
      </c>
      <c r="Q36" s="125">
        <f t="shared" si="8"/>
        <v>20.070866141732285</v>
      </c>
      <c r="R36" s="124">
        <v>55</v>
      </c>
      <c r="S36" s="132">
        <f t="shared" si="9"/>
        <v>0.43307086614173229</v>
      </c>
      <c r="T36" s="133">
        <f t="shared" si="10"/>
        <v>332.47826086956519</v>
      </c>
      <c r="U36" s="133">
        <f t="shared" si="11"/>
        <v>2216.521739130435</v>
      </c>
      <c r="V36" s="124">
        <v>108</v>
      </c>
      <c r="W36" s="126">
        <f t="shared" si="12"/>
        <v>0.85039370078740162</v>
      </c>
      <c r="X36" s="124">
        <v>427.42</v>
      </c>
      <c r="Y36" s="126">
        <f t="shared" si="13"/>
        <v>0.16768144370341312</v>
      </c>
      <c r="Z36" s="134"/>
      <c r="AA36" s="125">
        <f t="shared" si="14"/>
        <v>2886</v>
      </c>
      <c r="AB36" s="125">
        <f t="shared" si="15"/>
        <v>2278.0752173913042</v>
      </c>
      <c r="AC36" s="135">
        <f t="shared" si="16"/>
        <v>2549</v>
      </c>
      <c r="AD36" s="136">
        <f t="shared" si="17"/>
        <v>2216.521739130435</v>
      </c>
      <c r="AE36" s="125">
        <f t="shared" si="18"/>
        <v>5435</v>
      </c>
      <c r="AF36" s="46">
        <f t="shared" si="19"/>
        <v>4494.5969565217392</v>
      </c>
    </row>
    <row r="37" spans="2:32" ht="15" customHeight="1" x14ac:dyDescent="0.25">
      <c r="B37" s="90">
        <v>46198</v>
      </c>
      <c r="C37" s="124" t="s">
        <v>57</v>
      </c>
      <c r="D37" s="123">
        <v>238</v>
      </c>
      <c r="E37" s="124">
        <v>18</v>
      </c>
      <c r="F37" s="124">
        <v>1073</v>
      </c>
      <c r="G37" s="124">
        <v>49</v>
      </c>
      <c r="H37" s="124">
        <v>1136</v>
      </c>
      <c r="I37" s="125">
        <f t="shared" si="3"/>
        <v>23.183673469387756</v>
      </c>
      <c r="J37" s="126">
        <f t="shared" si="4"/>
        <v>4.5666356011183594E-2</v>
      </c>
      <c r="K37" s="127">
        <f t="shared" si="5"/>
        <v>148.17391304347825</v>
      </c>
      <c r="L37" s="127">
        <f t="shared" si="6"/>
        <v>987.82608695652175</v>
      </c>
      <c r="M37" s="152">
        <v>69.739999999999995</v>
      </c>
      <c r="N37" s="129">
        <f t="shared" si="7"/>
        <v>918.08608695652174</v>
      </c>
      <c r="O37" s="130"/>
      <c r="P37" s="124">
        <v>1046</v>
      </c>
      <c r="Q37" s="125">
        <f t="shared" si="8"/>
        <v>21.346938775510203</v>
      </c>
      <c r="R37" s="124">
        <v>28</v>
      </c>
      <c r="S37" s="132">
        <f t="shared" si="9"/>
        <v>0.5714285714285714</v>
      </c>
      <c r="T37" s="133">
        <f t="shared" si="10"/>
        <v>136.43478260869566</v>
      </c>
      <c r="U37" s="133">
        <f t="shared" si="11"/>
        <v>909.56521739130437</v>
      </c>
      <c r="V37" s="124">
        <v>41</v>
      </c>
      <c r="W37" s="126">
        <f t="shared" si="12"/>
        <v>0.83673469387755106</v>
      </c>
      <c r="X37" s="124">
        <v>206.39</v>
      </c>
      <c r="Y37" s="126">
        <f t="shared" si="13"/>
        <v>0.19731357552581261</v>
      </c>
      <c r="Z37" s="134"/>
      <c r="AA37" s="125">
        <f t="shared" si="14"/>
        <v>1136</v>
      </c>
      <c r="AB37" s="125">
        <f t="shared" si="15"/>
        <v>918.08608695652174</v>
      </c>
      <c r="AC37" s="135">
        <f t="shared" si="16"/>
        <v>1046</v>
      </c>
      <c r="AD37" s="136">
        <f t="shared" si="17"/>
        <v>909.56521739130437</v>
      </c>
      <c r="AE37" s="125">
        <f t="shared" si="18"/>
        <v>2182</v>
      </c>
      <c r="AF37" s="46">
        <f t="shared" si="19"/>
        <v>1827.6513043478262</v>
      </c>
    </row>
    <row r="38" spans="2:32" ht="15" customHeight="1" x14ac:dyDescent="0.25">
      <c r="B38" s="90">
        <v>46199</v>
      </c>
      <c r="C38" s="124" t="s">
        <v>59</v>
      </c>
      <c r="D38" s="123">
        <v>238</v>
      </c>
      <c r="E38" s="124">
        <v>21</v>
      </c>
      <c r="F38" s="124">
        <v>1274</v>
      </c>
      <c r="G38" s="124">
        <v>159</v>
      </c>
      <c r="H38" s="153">
        <v>4216</v>
      </c>
      <c r="I38" s="125">
        <f t="shared" si="3"/>
        <v>26.515723270440251</v>
      </c>
      <c r="J38" s="126">
        <f t="shared" si="4"/>
        <v>0.12480376766091052</v>
      </c>
      <c r="K38" s="127">
        <f t="shared" si="5"/>
        <v>549.91304347826087</v>
      </c>
      <c r="L38" s="127">
        <f t="shared" si="6"/>
        <v>3666.086956521739</v>
      </c>
      <c r="M38" s="5">
        <v>363.28</v>
      </c>
      <c r="N38" s="129">
        <f t="shared" si="7"/>
        <v>3302.8069565217393</v>
      </c>
      <c r="O38" s="130"/>
      <c r="P38" s="124">
        <v>1826</v>
      </c>
      <c r="Q38" s="125">
        <f t="shared" si="8"/>
        <v>11.484276729559749</v>
      </c>
      <c r="R38" s="124">
        <v>33</v>
      </c>
      <c r="S38" s="132">
        <f t="shared" si="9"/>
        <v>0.20754716981132076</v>
      </c>
      <c r="T38" s="133">
        <f t="shared" si="10"/>
        <v>238.17391304347825</v>
      </c>
      <c r="U38" s="133">
        <f t="shared" si="11"/>
        <v>1587.8260869565217</v>
      </c>
      <c r="V38" s="124">
        <v>75</v>
      </c>
      <c r="W38" s="126">
        <f t="shared" si="12"/>
        <v>0.47169811320754718</v>
      </c>
      <c r="X38" s="124">
        <v>367.73</v>
      </c>
      <c r="Y38" s="126">
        <f t="shared" si="13"/>
        <v>0.20138554216867471</v>
      </c>
      <c r="Z38" s="134"/>
      <c r="AA38" s="125">
        <f t="shared" si="14"/>
        <v>4216</v>
      </c>
      <c r="AB38" s="125">
        <f t="shared" si="15"/>
        <v>3302.8069565217393</v>
      </c>
      <c r="AC38" s="135">
        <f t="shared" si="16"/>
        <v>1826</v>
      </c>
      <c r="AD38" s="136">
        <f t="shared" si="17"/>
        <v>1587.8260869565217</v>
      </c>
      <c r="AE38" s="125">
        <f t="shared" si="18"/>
        <v>6042</v>
      </c>
      <c r="AF38" s="46">
        <f t="shared" si="19"/>
        <v>4890.6330434782612</v>
      </c>
    </row>
    <row r="39" spans="2:32" ht="15" customHeight="1" x14ac:dyDescent="0.25">
      <c r="B39" s="90">
        <v>46200</v>
      </c>
      <c r="C39" s="124" t="s">
        <v>60</v>
      </c>
      <c r="D39" s="123">
        <v>238</v>
      </c>
      <c r="E39" s="124">
        <v>18</v>
      </c>
      <c r="F39" s="124">
        <v>1116</v>
      </c>
      <c r="G39" s="124">
        <v>70</v>
      </c>
      <c r="H39" s="124">
        <v>1842</v>
      </c>
      <c r="I39" s="125">
        <f t="shared" si="3"/>
        <v>26.314285714285713</v>
      </c>
      <c r="J39" s="126">
        <f t="shared" si="4"/>
        <v>6.2724014336917558E-2</v>
      </c>
      <c r="K39" s="127">
        <f t="shared" si="5"/>
        <v>240.2608695652174</v>
      </c>
      <c r="L39" s="127">
        <f t="shared" si="6"/>
        <v>1601.7391304347825</v>
      </c>
      <c r="M39" s="5">
        <v>139.47</v>
      </c>
      <c r="N39" s="129">
        <f t="shared" si="7"/>
        <v>1462.2691304347825</v>
      </c>
      <c r="O39" s="130"/>
      <c r="P39" s="124">
        <v>1703</v>
      </c>
      <c r="Q39" s="125">
        <f t="shared" si="8"/>
        <v>24.328571428571429</v>
      </c>
      <c r="R39" s="124">
        <v>32</v>
      </c>
      <c r="S39" s="132">
        <f t="shared" si="9"/>
        <v>0.45714285714285713</v>
      </c>
      <c r="T39" s="133">
        <f t="shared" si="10"/>
        <v>222.13043478260869</v>
      </c>
      <c r="U39" s="133">
        <f t="shared" si="11"/>
        <v>1480.8695652173913</v>
      </c>
      <c r="V39" s="124">
        <v>79</v>
      </c>
      <c r="W39" s="126">
        <f t="shared" si="12"/>
        <v>1.1285714285714286</v>
      </c>
      <c r="X39" s="154">
        <v>311.45</v>
      </c>
      <c r="Y39" s="126">
        <f t="shared" si="13"/>
        <v>0.18288314738696418</v>
      </c>
      <c r="Z39" s="134"/>
      <c r="AA39" s="125">
        <f t="shared" si="14"/>
        <v>1842</v>
      </c>
      <c r="AB39" s="125">
        <f t="shared" si="15"/>
        <v>1462.2691304347825</v>
      </c>
      <c r="AC39" s="135">
        <f t="shared" si="16"/>
        <v>1703</v>
      </c>
      <c r="AD39" s="136">
        <f t="shared" si="17"/>
        <v>1480.8695652173913</v>
      </c>
      <c r="AE39" s="125">
        <f t="shared" si="18"/>
        <v>3545</v>
      </c>
      <c r="AF39" s="46">
        <f t="shared" si="19"/>
        <v>2943.1386956521737</v>
      </c>
    </row>
    <row r="40" spans="2:32" ht="15" customHeight="1" x14ac:dyDescent="0.25">
      <c r="B40" s="90">
        <v>46201</v>
      </c>
      <c r="C40" s="124" t="s">
        <v>61</v>
      </c>
      <c r="D40" s="123">
        <v>238</v>
      </c>
      <c r="E40" s="124">
        <v>17</v>
      </c>
      <c r="F40" s="124">
        <v>1036</v>
      </c>
      <c r="G40" s="124">
        <v>94</v>
      </c>
      <c r="H40" s="124">
        <v>2198</v>
      </c>
      <c r="I40" s="125">
        <f t="shared" si="3"/>
        <v>23.382978723404257</v>
      </c>
      <c r="J40" s="126">
        <f t="shared" si="4"/>
        <v>9.0733590733590733E-2</v>
      </c>
      <c r="K40" s="127">
        <f t="shared" si="5"/>
        <v>286.69565217391306</v>
      </c>
      <c r="L40" s="127">
        <f t="shared" si="6"/>
        <v>1911.304347826087</v>
      </c>
      <c r="M40" s="124">
        <v>157.76</v>
      </c>
      <c r="N40" s="129">
        <f t="shared" si="7"/>
        <v>1753.544347826087</v>
      </c>
      <c r="O40" s="5"/>
      <c r="P40" s="124">
        <v>2743</v>
      </c>
      <c r="Q40" s="125">
        <f t="shared" si="8"/>
        <v>29.180851063829788</v>
      </c>
      <c r="R40" s="124">
        <v>56</v>
      </c>
      <c r="S40" s="132">
        <f t="shared" si="9"/>
        <v>0.5957446808510638</v>
      </c>
      <c r="T40" s="133">
        <f t="shared" si="10"/>
        <v>357.78260869565219</v>
      </c>
      <c r="U40" s="133">
        <f t="shared" si="11"/>
        <v>2385.217391304348</v>
      </c>
      <c r="V40" s="124">
        <v>139</v>
      </c>
      <c r="W40" s="126">
        <f t="shared" si="12"/>
        <v>1.4787234042553192</v>
      </c>
      <c r="X40" s="124">
        <v>605.54</v>
      </c>
      <c r="Y40" s="126">
        <f t="shared" si="13"/>
        <v>0.22075829383886256</v>
      </c>
      <c r="Z40" s="134"/>
      <c r="AA40" s="125">
        <f t="shared" si="14"/>
        <v>2198</v>
      </c>
      <c r="AB40" s="125">
        <f t="shared" si="15"/>
        <v>1753.544347826087</v>
      </c>
      <c r="AC40" s="135">
        <f t="shared" si="16"/>
        <v>2743</v>
      </c>
      <c r="AD40" s="136">
        <f t="shared" si="17"/>
        <v>2385.217391304348</v>
      </c>
      <c r="AE40" s="125">
        <f t="shared" si="18"/>
        <v>4941</v>
      </c>
      <c r="AF40" s="46">
        <f t="shared" si="19"/>
        <v>4138.7617391304348</v>
      </c>
    </row>
    <row r="41" spans="2:32" ht="15" customHeight="1" x14ac:dyDescent="0.25">
      <c r="B41" s="90">
        <v>46202</v>
      </c>
      <c r="C41" s="124" t="s">
        <v>62</v>
      </c>
      <c r="D41" s="123">
        <v>238</v>
      </c>
      <c r="E41" s="124">
        <v>17</v>
      </c>
      <c r="F41" s="124">
        <v>1036</v>
      </c>
      <c r="G41" s="124">
        <v>54</v>
      </c>
      <c r="H41" s="124">
        <v>1110</v>
      </c>
      <c r="I41" s="125">
        <f t="shared" si="3"/>
        <v>20.555555555555557</v>
      </c>
      <c r="J41" s="126">
        <f t="shared" si="4"/>
        <v>5.2123552123552123E-2</v>
      </c>
      <c r="K41" s="127">
        <f t="shared" si="5"/>
        <v>144.78260869565219</v>
      </c>
      <c r="L41" s="127">
        <f t="shared" si="6"/>
        <v>965.21739130434776</v>
      </c>
      <c r="M41" s="124">
        <v>87.66</v>
      </c>
      <c r="N41" s="129">
        <f t="shared" si="7"/>
        <v>877.55739130434779</v>
      </c>
      <c r="O41" s="130"/>
      <c r="P41" s="124">
        <v>1398</v>
      </c>
      <c r="Q41" s="125">
        <f t="shared" si="8"/>
        <v>25.888888888888889</v>
      </c>
      <c r="R41" s="124">
        <v>32</v>
      </c>
      <c r="S41" s="132">
        <f t="shared" si="9"/>
        <v>0.59259259259259256</v>
      </c>
      <c r="T41" s="133">
        <f t="shared" si="10"/>
        <v>182.34782608695653</v>
      </c>
      <c r="U41" s="133">
        <f t="shared" si="11"/>
        <v>1215.6521739130435</v>
      </c>
      <c r="V41" s="124">
        <v>52</v>
      </c>
      <c r="W41" s="126">
        <f t="shared" si="12"/>
        <v>0.96296296296296291</v>
      </c>
      <c r="X41" s="124">
        <v>261.45999999999998</v>
      </c>
      <c r="Y41" s="126">
        <f t="shared" si="13"/>
        <v>0.18702432045779685</v>
      </c>
      <c r="Z41" s="134"/>
      <c r="AA41" s="125">
        <f t="shared" si="14"/>
        <v>1110</v>
      </c>
      <c r="AB41" s="125">
        <f t="shared" si="15"/>
        <v>877.55739130434779</v>
      </c>
      <c r="AC41" s="135">
        <f t="shared" si="16"/>
        <v>1398</v>
      </c>
      <c r="AD41" s="136">
        <f t="shared" si="17"/>
        <v>1215.6521739130435</v>
      </c>
      <c r="AE41" s="125">
        <f t="shared" si="18"/>
        <v>2508</v>
      </c>
      <c r="AF41" s="46">
        <f t="shared" si="19"/>
        <v>2093.2095652173912</v>
      </c>
    </row>
    <row r="42" spans="2:32" ht="15" customHeight="1" x14ac:dyDescent="0.25">
      <c r="B42" s="90">
        <v>46203</v>
      </c>
      <c r="C42" s="124" t="s">
        <v>63</v>
      </c>
      <c r="D42" s="123">
        <v>238</v>
      </c>
      <c r="E42" s="124">
        <v>17</v>
      </c>
      <c r="F42" s="124">
        <v>1036</v>
      </c>
      <c r="G42" s="124">
        <v>93</v>
      </c>
      <c r="H42" s="124">
        <v>1900</v>
      </c>
      <c r="I42" s="125">
        <f t="shared" si="3"/>
        <v>20.43010752688172</v>
      </c>
      <c r="J42" s="126">
        <f t="shared" si="4"/>
        <v>8.9768339768339769E-2</v>
      </c>
      <c r="K42" s="127">
        <f t="shared" si="5"/>
        <v>247.82608695652175</v>
      </c>
      <c r="L42" s="127">
        <f t="shared" si="6"/>
        <v>1652.1739130434783</v>
      </c>
      <c r="M42" s="124">
        <v>199.15</v>
      </c>
      <c r="N42" s="129">
        <f t="shared" si="7"/>
        <v>1453.0239130434782</v>
      </c>
      <c r="O42" s="130"/>
      <c r="P42" s="124">
        <v>1748</v>
      </c>
      <c r="Q42" s="125">
        <f t="shared" si="8"/>
        <v>18.795698924731184</v>
      </c>
      <c r="R42" s="124">
        <v>45</v>
      </c>
      <c r="S42" s="132">
        <f t="shared" si="9"/>
        <v>0.4838709677419355</v>
      </c>
      <c r="T42" s="133">
        <f t="shared" si="10"/>
        <v>228</v>
      </c>
      <c r="U42" s="133">
        <f t="shared" si="11"/>
        <v>1520</v>
      </c>
      <c r="V42" s="124">
        <v>72</v>
      </c>
      <c r="W42" s="126">
        <f t="shared" si="12"/>
        <v>0.77419354838709675</v>
      </c>
      <c r="X42" s="124">
        <v>350.59</v>
      </c>
      <c r="Y42" s="126">
        <f t="shared" si="13"/>
        <v>0.20056636155606405</v>
      </c>
      <c r="Z42" s="134"/>
      <c r="AA42" s="125">
        <f t="shared" si="14"/>
        <v>1900</v>
      </c>
      <c r="AB42" s="125">
        <f t="shared" si="15"/>
        <v>1453.0239130434782</v>
      </c>
      <c r="AC42" s="135">
        <f t="shared" si="16"/>
        <v>1748</v>
      </c>
      <c r="AD42" s="136">
        <f t="shared" si="17"/>
        <v>1520</v>
      </c>
      <c r="AE42" s="125">
        <f t="shared" si="18"/>
        <v>3648</v>
      </c>
      <c r="AF42" s="46">
        <f t="shared" si="19"/>
        <v>2973.0239130434784</v>
      </c>
    </row>
    <row r="43" spans="2:32" ht="15" customHeight="1" x14ac:dyDescent="0.25">
      <c r="B43" s="90"/>
      <c r="C43" s="124"/>
      <c r="D43" s="123"/>
      <c r="E43" s="124"/>
      <c r="F43" s="124"/>
      <c r="G43" s="124"/>
      <c r="H43" s="124"/>
      <c r="I43" s="125">
        <f t="shared" si="3"/>
        <v>0</v>
      </c>
      <c r="J43" s="126">
        <f t="shared" si="4"/>
        <v>0</v>
      </c>
      <c r="K43" s="127">
        <f t="shared" si="5"/>
        <v>0</v>
      </c>
      <c r="L43" s="127">
        <f t="shared" si="6"/>
        <v>0</v>
      </c>
      <c r="M43" s="124"/>
      <c r="N43" s="129">
        <f t="shared" si="7"/>
        <v>0</v>
      </c>
      <c r="O43" s="130"/>
      <c r="P43" s="124"/>
      <c r="Q43" s="125">
        <f t="shared" si="8"/>
        <v>0</v>
      </c>
      <c r="R43" s="124"/>
      <c r="S43" s="132">
        <f t="shared" si="9"/>
        <v>0</v>
      </c>
      <c r="T43" s="133">
        <f t="shared" si="10"/>
        <v>0</v>
      </c>
      <c r="U43" s="133">
        <f t="shared" si="11"/>
        <v>0</v>
      </c>
      <c r="V43" s="124"/>
      <c r="W43" s="126">
        <f t="shared" si="12"/>
        <v>0</v>
      </c>
      <c r="X43" s="124"/>
      <c r="Y43" s="126">
        <f t="shared" si="13"/>
        <v>0</v>
      </c>
      <c r="Z43" s="134"/>
      <c r="AA43" s="125">
        <f t="shared" si="14"/>
        <v>0</v>
      </c>
      <c r="AB43" s="125">
        <f t="shared" si="15"/>
        <v>0</v>
      </c>
      <c r="AC43" s="135">
        <f t="shared" si="16"/>
        <v>0</v>
      </c>
      <c r="AD43" s="136">
        <f t="shared" si="17"/>
        <v>0</v>
      </c>
      <c r="AE43" s="125">
        <f t="shared" si="18"/>
        <v>0</v>
      </c>
      <c r="AF43" s="46">
        <f t="shared" si="19"/>
        <v>0</v>
      </c>
    </row>
    <row r="44" spans="2:32" ht="15" customHeight="1" x14ac:dyDescent="0.25">
      <c r="B44" s="184" t="s">
        <v>27</v>
      </c>
      <c r="C44" s="184"/>
      <c r="D44" s="137">
        <f>AVERAGE(D13:D43)</f>
        <v>238</v>
      </c>
      <c r="E44" s="137">
        <f>SUM(E13:E43)</f>
        <v>555</v>
      </c>
      <c r="F44" s="137">
        <f>SUM(F13:F43)</f>
        <v>33301</v>
      </c>
      <c r="G44" s="137">
        <f>SUM(G13:G43)</f>
        <v>1990</v>
      </c>
      <c r="H44" s="138">
        <f>SUM(H13:H43)</f>
        <v>52414</v>
      </c>
      <c r="I44" s="139">
        <f t="shared" si="3"/>
        <v>26.338693467336682</v>
      </c>
      <c r="J44" s="140">
        <f>IFERROR((G44/F44),0)</f>
        <v>5.9757965226269479E-2</v>
      </c>
      <c r="K44" s="141">
        <f>SUM(K13:K43)</f>
        <v>6836.6086956521749</v>
      </c>
      <c r="L44" s="141">
        <f>SUM(L13:L43)</f>
        <v>45577.391304347824</v>
      </c>
      <c r="M44" s="142">
        <f>SUM(M13:M43)</f>
        <v>3133.1599999999985</v>
      </c>
      <c r="N44" s="138">
        <f>SUM(N13:N43)</f>
        <v>42444.231304347813</v>
      </c>
      <c r="O44" s="8"/>
      <c r="P44" s="139">
        <f>SUM(P13:P43)</f>
        <v>36984.270000000004</v>
      </c>
      <c r="Q44" s="139">
        <f t="shared" si="8"/>
        <v>18.585060301507539</v>
      </c>
      <c r="R44" s="137">
        <f>SUM(R13:R43)</f>
        <v>867</v>
      </c>
      <c r="S44" s="132">
        <f t="shared" si="9"/>
        <v>0.43567839195979902</v>
      </c>
      <c r="T44" s="141">
        <f>SUM(T13:T43)</f>
        <v>4824.0352173913043</v>
      </c>
      <c r="U44" s="142">
        <f>SUM(U13:U43)</f>
        <v>32160.234782608699</v>
      </c>
      <c r="V44" s="143">
        <f>SUM(V13:V43)</f>
        <v>1802</v>
      </c>
      <c r="W44" s="141">
        <f t="shared" si="12"/>
        <v>0.90552763819095472</v>
      </c>
      <c r="X44" s="139">
        <f>SUM(X13:X43)</f>
        <v>7248.9000000000005</v>
      </c>
      <c r="Y44" s="140">
        <f t="shared" si="13"/>
        <v>0.19599954250820686</v>
      </c>
      <c r="Z44" s="144"/>
      <c r="AA44" s="139">
        <f t="shared" ref="AA44:AF44" si="20">SUM(AA13:AA43)</f>
        <v>52414</v>
      </c>
      <c r="AB44" s="139">
        <f t="shared" si="20"/>
        <v>42444.231304347813</v>
      </c>
      <c r="AC44" s="139">
        <f t="shared" si="20"/>
        <v>36984.270000000004</v>
      </c>
      <c r="AD44" s="145">
        <f t="shared" si="20"/>
        <v>32160.234782608699</v>
      </c>
      <c r="AE44" s="139">
        <f t="shared" si="20"/>
        <v>89398.27</v>
      </c>
      <c r="AF44" s="139">
        <f t="shared" si="20"/>
        <v>74604.466086956512</v>
      </c>
    </row>
    <row r="58" spans="21:22" ht="15" customHeight="1" x14ac:dyDescent="0.25">
      <c r="U58" s="5"/>
      <c r="V58" s="5"/>
    </row>
    <row r="59" spans="21:22" ht="15" customHeight="1" x14ac:dyDescent="0.25">
      <c r="U59" s="5"/>
      <c r="V59" s="5"/>
    </row>
    <row r="60" spans="21:22" ht="15" customHeight="1" x14ac:dyDescent="0.25">
      <c r="U60" s="5"/>
      <c r="V60" s="5"/>
    </row>
    <row r="61" spans="21:22" ht="15" customHeight="1" x14ac:dyDescent="0.25">
      <c r="U61" s="5"/>
      <c r="V61" s="5"/>
    </row>
    <row r="62" spans="21:22" ht="15" customHeight="1" x14ac:dyDescent="0.25">
      <c r="U62" s="5"/>
      <c r="V62" s="5"/>
    </row>
    <row r="63" spans="21:22" ht="15" customHeight="1" x14ac:dyDescent="0.25">
      <c r="U63" s="5"/>
      <c r="V63" s="5"/>
    </row>
    <row r="64" spans="21:22" ht="15" customHeight="1" x14ac:dyDescent="0.25">
      <c r="U64" s="5"/>
      <c r="V64" s="5"/>
    </row>
    <row r="65" spans="21:22" ht="15" customHeight="1" x14ac:dyDescent="0.25">
      <c r="U65" s="5"/>
      <c r="V65" s="5"/>
    </row>
    <row r="66" spans="21:22" ht="15" customHeight="1" x14ac:dyDescent="0.25">
      <c r="U66" s="5"/>
      <c r="V66" s="5"/>
    </row>
    <row r="67" spans="21:22" ht="15" customHeight="1" x14ac:dyDescent="0.25">
      <c r="U67" s="5"/>
      <c r="V67" s="5"/>
    </row>
    <row r="68" spans="21:22" ht="15" customHeight="1" x14ac:dyDescent="0.25">
      <c r="U68" s="5"/>
      <c r="V68" s="5"/>
    </row>
    <row r="69" spans="21:22" ht="15" customHeight="1" x14ac:dyDescent="0.25">
      <c r="U69" s="5"/>
      <c r="V69" s="5"/>
    </row>
    <row r="70" spans="21:22" ht="15" customHeight="1" x14ac:dyDescent="0.25">
      <c r="U70" s="5"/>
      <c r="V70" s="5"/>
    </row>
    <row r="71" spans="21:22" ht="15" customHeight="1" x14ac:dyDescent="0.25">
      <c r="U71" s="5"/>
      <c r="V71" s="5"/>
    </row>
    <row r="72" spans="21:22" ht="15" customHeight="1" x14ac:dyDescent="0.25">
      <c r="U72" s="5"/>
      <c r="V72" s="5"/>
    </row>
    <row r="73" spans="21:22" ht="15" customHeight="1" x14ac:dyDescent="0.25">
      <c r="U73" s="5"/>
      <c r="V73" s="5"/>
    </row>
    <row r="74" spans="21:22" ht="15" customHeight="1" x14ac:dyDescent="0.25">
      <c r="U74" s="5"/>
      <c r="V74" s="5"/>
    </row>
    <row r="75" spans="21:22" ht="15" customHeight="1" x14ac:dyDescent="0.25">
      <c r="U75" s="5"/>
      <c r="V75" s="5"/>
    </row>
    <row r="76" spans="21:22" ht="15" customHeight="1" x14ac:dyDescent="0.25">
      <c r="U76" s="5"/>
      <c r="V76" s="5"/>
    </row>
    <row r="77" spans="21:22" ht="15" customHeight="1" x14ac:dyDescent="0.25">
      <c r="U77" s="5"/>
      <c r="V77" s="5"/>
    </row>
    <row r="78" spans="21:22" ht="15" customHeight="1" x14ac:dyDescent="0.25">
      <c r="U78" s="5"/>
      <c r="V78" s="5"/>
    </row>
    <row r="79" spans="21:22" ht="15" customHeight="1" x14ac:dyDescent="0.25">
      <c r="U79" s="5"/>
      <c r="V79" s="5"/>
    </row>
    <row r="80" spans="21:22" ht="15" customHeight="1" x14ac:dyDescent="0.25">
      <c r="U80" s="5"/>
      <c r="V80" s="5"/>
    </row>
    <row r="81" spans="21:22" ht="15" customHeight="1" x14ac:dyDescent="0.25">
      <c r="U81" s="5"/>
      <c r="V81" s="5"/>
    </row>
    <row r="82" spans="21:22" ht="15" customHeight="1" x14ac:dyDescent="0.25">
      <c r="U82" s="5"/>
      <c r="V82" s="5"/>
    </row>
    <row r="83" spans="21:22" ht="15" customHeight="1" x14ac:dyDescent="0.25">
      <c r="U83" s="5"/>
      <c r="V83" s="5"/>
    </row>
    <row r="84" spans="21:22" ht="15" customHeight="1" x14ac:dyDescent="0.25">
      <c r="U84" s="5"/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4:C44"/>
    <mergeCell ref="G10:N10"/>
    <mergeCell ref="P10:Y10"/>
    <mergeCell ref="AA10:AB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F84"/>
  <sheetViews>
    <sheetView zoomScaleNormal="100" workbookViewId="0">
      <selection activeCell="N6" sqref="N6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8" width="10" style="58" customWidth="1"/>
    <col min="9" max="9" width="9.7109375" style="58" customWidth="1"/>
    <col min="10" max="10" width="9.7109375" style="59" customWidth="1"/>
    <col min="11" max="11" width="10.28515625" style="60" customWidth="1"/>
    <col min="12" max="12" width="11.2851562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3" width="9.7109375" style="58" customWidth="1"/>
    <col min="24" max="24" width="11.5703125" style="58" customWidth="1"/>
    <col min="25" max="25" width="9.7109375" style="58" customWidth="1"/>
    <col min="26" max="26" width="1.7109375" style="58" customWidth="1"/>
    <col min="27" max="27" width="10.28515625" style="58" customWidth="1"/>
    <col min="28" max="30" width="9.7109375" style="58" customWidth="1"/>
    <col min="31" max="32" width="10.28515625" style="58" customWidth="1"/>
    <col min="33" max="16384" width="13.5703125" style="58"/>
  </cols>
  <sheetData>
    <row r="2" spans="2:32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2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2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2" s="64" customFormat="1" ht="14.25" customHeight="1" x14ac:dyDescent="0.25">
      <c r="B5" s="193" t="s">
        <v>2</v>
      </c>
      <c r="C5" s="193"/>
      <c r="D5" s="196" t="s">
        <v>3</v>
      </c>
      <c r="E5" s="196"/>
      <c r="F5" s="196"/>
      <c r="G5" s="193" t="s">
        <v>12</v>
      </c>
      <c r="H5" s="193"/>
      <c r="I5" s="194">
        <v>46204</v>
      </c>
      <c r="J5" s="194"/>
      <c r="K5" s="3"/>
      <c r="L5" s="3"/>
      <c r="M5" s="3"/>
      <c r="S5" s="101"/>
    </row>
    <row r="6" spans="2:32" s="64" customFormat="1" ht="14.25" customHeight="1" x14ac:dyDescent="0.25">
      <c r="B6" s="193" t="s">
        <v>6</v>
      </c>
      <c r="C6" s="193"/>
      <c r="D6" s="195" t="s">
        <v>32</v>
      </c>
      <c r="E6" s="195"/>
      <c r="F6" s="195"/>
      <c r="G6" s="193" t="s">
        <v>33</v>
      </c>
      <c r="H6" s="193"/>
      <c r="I6" s="193">
        <v>2026</v>
      </c>
      <c r="J6" s="193"/>
      <c r="K6" s="3"/>
      <c r="L6" s="3"/>
      <c r="M6" s="3"/>
      <c r="S6" s="101"/>
    </row>
    <row r="7" spans="2:32" s="64" customFormat="1" ht="14.25" customHeight="1" x14ac:dyDescent="0.25">
      <c r="B7" s="193" t="s">
        <v>9</v>
      </c>
      <c r="C7" s="193"/>
      <c r="D7" s="195">
        <v>4</v>
      </c>
      <c r="E7" s="195"/>
      <c r="F7" s="195"/>
      <c r="G7" s="193" t="s">
        <v>8</v>
      </c>
      <c r="H7" s="193"/>
      <c r="I7" s="191">
        <v>0.15</v>
      </c>
      <c r="J7" s="191"/>
      <c r="K7" s="3"/>
      <c r="L7" s="3"/>
      <c r="M7" s="3"/>
      <c r="S7" s="101"/>
    </row>
    <row r="8" spans="2:32" s="64" customFormat="1" ht="15.75" customHeight="1" x14ac:dyDescent="0.25">
      <c r="B8" s="193" t="s">
        <v>11</v>
      </c>
      <c r="C8" s="193"/>
      <c r="D8" s="195">
        <v>238</v>
      </c>
      <c r="E8" s="195"/>
      <c r="F8" s="195"/>
      <c r="G8" s="193" t="s">
        <v>10</v>
      </c>
      <c r="H8" s="193"/>
      <c r="I8" s="191">
        <v>0.1</v>
      </c>
      <c r="J8" s="191"/>
      <c r="K8" s="3"/>
      <c r="L8" s="3"/>
      <c r="M8" s="3"/>
      <c r="S8" s="101"/>
    </row>
    <row r="9" spans="2:32" ht="15.75" customHeight="1" x14ac:dyDescent="0.25">
      <c r="B9" s="197"/>
      <c r="C9" s="197"/>
      <c r="D9" s="197"/>
      <c r="E9" s="197"/>
      <c r="F9" s="67"/>
    </row>
    <row r="10" spans="2:32" ht="49.5" customHeight="1" x14ac:dyDescent="0.25">
      <c r="B10" s="102"/>
      <c r="C10" s="103"/>
      <c r="D10" s="104"/>
      <c r="E10" s="104"/>
      <c r="F10" s="105"/>
      <c r="G10" s="187" t="s">
        <v>34</v>
      </c>
      <c r="H10" s="187"/>
      <c r="I10" s="187"/>
      <c r="J10" s="187"/>
      <c r="K10" s="187"/>
      <c r="L10" s="187"/>
      <c r="M10" s="187"/>
      <c r="N10" s="187"/>
      <c r="O10" s="147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06" customFormat="1" ht="57.75" customHeight="1" x14ac:dyDescent="0.25">
      <c r="B11" s="146" t="s">
        <v>29</v>
      </c>
      <c r="C11" s="146" t="s">
        <v>39</v>
      </c>
      <c r="D11" s="146" t="s">
        <v>11</v>
      </c>
      <c r="E11" s="146" t="s">
        <v>40</v>
      </c>
      <c r="F11" s="146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2" s="106" customFormat="1" ht="14.25" customHeight="1" x14ac:dyDescent="0.25">
      <c r="B12" s="183" t="s">
        <v>56</v>
      </c>
      <c r="C12" s="183"/>
      <c r="D12" s="1">
        <f t="shared" ref="D12:N12" si="0">D44</f>
        <v>238</v>
      </c>
      <c r="E12" s="114">
        <f t="shared" si="0"/>
        <v>603</v>
      </c>
      <c r="F12" s="114">
        <f t="shared" si="0"/>
        <v>35215</v>
      </c>
      <c r="G12" s="114">
        <f t="shared" si="0"/>
        <v>2303</v>
      </c>
      <c r="H12" s="115">
        <f t="shared" si="0"/>
        <v>51129.5</v>
      </c>
      <c r="I12" s="115">
        <f t="shared" si="0"/>
        <v>22.201259227095093</v>
      </c>
      <c r="J12" s="116">
        <f t="shared" si="0"/>
        <v>6.5398267783614933E-2</v>
      </c>
      <c r="K12" s="115">
        <f t="shared" si="0"/>
        <v>6669.0652173913031</v>
      </c>
      <c r="L12" s="115">
        <f t="shared" si="0"/>
        <v>44460.434782608689</v>
      </c>
      <c r="M12" s="115">
        <f t="shared" si="0"/>
        <v>4025.3299999999995</v>
      </c>
      <c r="N12" s="115">
        <f t="shared" si="0"/>
        <v>40435.104782608694</v>
      </c>
      <c r="O12" s="110"/>
      <c r="P12" s="117">
        <f t="shared" ref="P12:Y12" si="1">P44</f>
        <v>46102.47</v>
      </c>
      <c r="Q12" s="117">
        <f t="shared" si="1"/>
        <v>20.018441163699524</v>
      </c>
      <c r="R12" s="118">
        <f t="shared" si="1"/>
        <v>1031</v>
      </c>
      <c r="S12" s="119">
        <f t="shared" si="1"/>
        <v>0.44767694311767259</v>
      </c>
      <c r="T12" s="117">
        <f t="shared" si="1"/>
        <v>6013.3656521739113</v>
      </c>
      <c r="U12" s="117">
        <f t="shared" si="1"/>
        <v>40089.104347826098</v>
      </c>
      <c r="V12" s="118">
        <f t="shared" si="1"/>
        <v>2156</v>
      </c>
      <c r="W12" s="116">
        <f t="shared" si="1"/>
        <v>0.93617021276595747</v>
      </c>
      <c r="X12" s="117">
        <f t="shared" si="1"/>
        <v>8934.74</v>
      </c>
      <c r="Y12" s="116">
        <f t="shared" si="1"/>
        <v>0.19380176376667019</v>
      </c>
      <c r="Z12" s="110"/>
      <c r="AA12" s="117">
        <f t="shared" ref="AA12:AF12" si="2">AA44</f>
        <v>51129.5</v>
      </c>
      <c r="AB12" s="117">
        <f t="shared" si="2"/>
        <v>40435.104782608694</v>
      </c>
      <c r="AC12" s="117">
        <f t="shared" si="2"/>
        <v>46102.47</v>
      </c>
      <c r="AD12" s="120">
        <f t="shared" si="2"/>
        <v>40089.104347826098</v>
      </c>
      <c r="AE12" s="117">
        <f t="shared" si="2"/>
        <v>97231.97</v>
      </c>
      <c r="AF12" s="117">
        <f t="shared" si="2"/>
        <v>80524.209130434785</v>
      </c>
    </row>
    <row r="13" spans="2:32" ht="15" customHeight="1" x14ac:dyDescent="0.25">
      <c r="B13" s="90">
        <v>46204</v>
      </c>
      <c r="C13" s="124" t="s">
        <v>64</v>
      </c>
      <c r="D13" s="123">
        <v>238</v>
      </c>
      <c r="E13" s="124">
        <v>17</v>
      </c>
      <c r="F13" s="124">
        <v>1036</v>
      </c>
      <c r="G13" s="124">
        <v>92</v>
      </c>
      <c r="H13" s="124">
        <v>1948</v>
      </c>
      <c r="I13" s="125">
        <f t="shared" ref="I13:I44" si="3">IFERROR(H13/G13,0)</f>
        <v>21.173913043478262</v>
      </c>
      <c r="J13" s="126">
        <f t="shared" ref="J13:J43" si="4">IFERROR(G13/F13,0)</f>
        <v>8.8803088803088806E-2</v>
      </c>
      <c r="K13" s="127">
        <f t="shared" ref="K13:K43" si="5">H13*15/115</f>
        <v>254.08695652173913</v>
      </c>
      <c r="L13" s="127">
        <f t="shared" ref="L13:L43" si="6">H13-K13</f>
        <v>1693.913043478261</v>
      </c>
      <c r="M13" s="156">
        <v>116.53</v>
      </c>
      <c r="N13" s="129">
        <f t="shared" ref="N13:N43" si="7">L13-M13</f>
        <v>1577.383043478261</v>
      </c>
      <c r="O13" s="130"/>
      <c r="P13" s="46">
        <v>2292</v>
      </c>
      <c r="Q13" s="125">
        <f t="shared" ref="Q13:Q44" si="8">IFERROR(P13/G13,0)</f>
        <v>24.913043478260871</v>
      </c>
      <c r="R13" s="131">
        <v>47</v>
      </c>
      <c r="S13" s="132">
        <f t="shared" ref="S13:S44" si="9">IFERROR((R13/G13),0)</f>
        <v>0.51086956521739135</v>
      </c>
      <c r="T13" s="133">
        <f t="shared" ref="T13:T43" si="10">P13*15/115</f>
        <v>298.95652173913044</v>
      </c>
      <c r="U13" s="133">
        <f t="shared" ref="U13:U43" si="11">P13-T13</f>
        <v>1993.0434782608695</v>
      </c>
      <c r="V13" s="131">
        <v>88</v>
      </c>
      <c r="W13" s="126">
        <f t="shared" ref="W13:W44" si="12">IFERROR(V13/G13,0)</f>
        <v>0.95652173913043481</v>
      </c>
      <c r="X13" s="46">
        <v>431.64</v>
      </c>
      <c r="Y13" s="126">
        <f t="shared" ref="Y13:Y44" si="13">IFERROR((X13/P13),0)</f>
        <v>0.18832460732984294</v>
      </c>
      <c r="Z13" s="134"/>
      <c r="AA13" s="125">
        <f t="shared" ref="AA13:AA43" si="14">H13</f>
        <v>1948</v>
      </c>
      <c r="AB13" s="125">
        <f t="shared" ref="AB13:AB43" si="15">N13</f>
        <v>1577.383043478261</v>
      </c>
      <c r="AC13" s="135">
        <f t="shared" ref="AC13:AC43" si="16">P13</f>
        <v>2292</v>
      </c>
      <c r="AD13" s="136">
        <f t="shared" ref="AD13:AD43" si="17">U13</f>
        <v>1993.0434782608695</v>
      </c>
      <c r="AE13" s="125">
        <f t="shared" ref="AE13:AE43" si="18">AA13+AC13</f>
        <v>4240</v>
      </c>
      <c r="AF13" s="46">
        <f t="shared" ref="AF13:AF43" si="19">AB13+AD13</f>
        <v>3570.4265217391303</v>
      </c>
    </row>
    <row r="14" spans="2:32" ht="15" customHeight="1" x14ac:dyDescent="0.25">
      <c r="B14" s="90">
        <v>46205</v>
      </c>
      <c r="C14" s="124" t="s">
        <v>57</v>
      </c>
      <c r="D14" s="123">
        <v>238</v>
      </c>
      <c r="E14" s="124">
        <v>25</v>
      </c>
      <c r="F14" s="124">
        <v>1508</v>
      </c>
      <c r="G14" s="124">
        <v>86</v>
      </c>
      <c r="H14" s="124">
        <v>1838</v>
      </c>
      <c r="I14" s="125">
        <f t="shared" si="3"/>
        <v>21.372093023255815</v>
      </c>
      <c r="J14" s="126">
        <f t="shared" si="4"/>
        <v>5.7029177718832889E-2</v>
      </c>
      <c r="K14" s="127">
        <f t="shared" si="5"/>
        <v>239.7391304347826</v>
      </c>
      <c r="L14" s="127">
        <f t="shared" si="6"/>
        <v>1598.2608695652175</v>
      </c>
      <c r="M14" s="156">
        <v>110.08</v>
      </c>
      <c r="N14" s="129">
        <f t="shared" si="7"/>
        <v>1488.1808695652176</v>
      </c>
      <c r="O14" s="130"/>
      <c r="P14" s="46">
        <v>1523.11</v>
      </c>
      <c r="Q14" s="125">
        <f t="shared" si="8"/>
        <v>17.710581395348836</v>
      </c>
      <c r="R14" s="131">
        <v>35</v>
      </c>
      <c r="S14" s="132">
        <f t="shared" si="9"/>
        <v>0.40697674418604651</v>
      </c>
      <c r="T14" s="133">
        <f t="shared" si="10"/>
        <v>198.66652173913042</v>
      </c>
      <c r="U14" s="133">
        <f t="shared" si="11"/>
        <v>1324.4434782608696</v>
      </c>
      <c r="V14" s="131">
        <v>88</v>
      </c>
      <c r="W14" s="126">
        <f t="shared" si="12"/>
        <v>1.0232558139534884</v>
      </c>
      <c r="X14" s="46">
        <v>297.52999999999997</v>
      </c>
      <c r="Y14" s="126">
        <f t="shared" si="13"/>
        <v>0.19534373748448897</v>
      </c>
      <c r="Z14" s="134"/>
      <c r="AA14" s="125">
        <f t="shared" si="14"/>
        <v>1838</v>
      </c>
      <c r="AB14" s="125">
        <f t="shared" si="15"/>
        <v>1488.1808695652176</v>
      </c>
      <c r="AC14" s="135">
        <f t="shared" si="16"/>
        <v>1523.11</v>
      </c>
      <c r="AD14" s="136">
        <f t="shared" si="17"/>
        <v>1324.4434782608696</v>
      </c>
      <c r="AE14" s="125">
        <f t="shared" si="18"/>
        <v>3361.1099999999997</v>
      </c>
      <c r="AF14" s="46">
        <f t="shared" si="19"/>
        <v>2812.6243478260872</v>
      </c>
    </row>
    <row r="15" spans="2:32" ht="15" customHeight="1" x14ac:dyDescent="0.25">
      <c r="B15" s="90">
        <v>46206</v>
      </c>
      <c r="C15" s="124" t="s">
        <v>59</v>
      </c>
      <c r="D15" s="123">
        <v>238</v>
      </c>
      <c r="E15" s="124">
        <v>18</v>
      </c>
      <c r="F15" s="124">
        <v>1069</v>
      </c>
      <c r="G15" s="124">
        <v>103</v>
      </c>
      <c r="H15" s="124">
        <v>2368</v>
      </c>
      <c r="I15" s="125">
        <f t="shared" si="3"/>
        <v>22.990291262135923</v>
      </c>
      <c r="J15" s="126">
        <f t="shared" si="4"/>
        <v>9.6351730589335827E-2</v>
      </c>
      <c r="K15" s="127">
        <f t="shared" si="5"/>
        <v>308.86956521739131</v>
      </c>
      <c r="L15" s="127">
        <f t="shared" si="6"/>
        <v>2059.1304347826085</v>
      </c>
      <c r="M15" s="156">
        <v>175.29</v>
      </c>
      <c r="N15" s="129">
        <f t="shared" si="7"/>
        <v>1883.8404347826086</v>
      </c>
      <c r="O15" s="130"/>
      <c r="P15" s="46">
        <v>1871.29</v>
      </c>
      <c r="Q15" s="125">
        <f t="shared" si="8"/>
        <v>18.167864077669904</v>
      </c>
      <c r="R15" s="131">
        <v>50</v>
      </c>
      <c r="S15" s="132">
        <f t="shared" si="9"/>
        <v>0.4854368932038835</v>
      </c>
      <c r="T15" s="133">
        <f t="shared" si="10"/>
        <v>244.08130434782606</v>
      </c>
      <c r="U15" s="133">
        <f t="shared" si="11"/>
        <v>1627.2086956521739</v>
      </c>
      <c r="V15" s="131">
        <v>84</v>
      </c>
      <c r="W15" s="126">
        <f t="shared" si="12"/>
        <v>0.81553398058252424</v>
      </c>
      <c r="X15" s="46">
        <v>359.63</v>
      </c>
      <c r="Y15" s="126">
        <f t="shared" si="13"/>
        <v>0.19218293262936265</v>
      </c>
      <c r="Z15" s="134"/>
      <c r="AA15" s="125">
        <f t="shared" si="14"/>
        <v>2368</v>
      </c>
      <c r="AB15" s="125">
        <f t="shared" si="15"/>
        <v>1883.8404347826086</v>
      </c>
      <c r="AC15" s="135">
        <f t="shared" si="16"/>
        <v>1871.29</v>
      </c>
      <c r="AD15" s="136">
        <f t="shared" si="17"/>
        <v>1627.2086956521739</v>
      </c>
      <c r="AE15" s="125">
        <f t="shared" si="18"/>
        <v>4239.29</v>
      </c>
      <c r="AF15" s="46">
        <f t="shared" si="19"/>
        <v>3511.0491304347825</v>
      </c>
    </row>
    <row r="16" spans="2:32" ht="15" customHeight="1" x14ac:dyDescent="0.25">
      <c r="B16" s="90">
        <v>46207</v>
      </c>
      <c r="C16" s="124" t="s">
        <v>60</v>
      </c>
      <c r="D16" s="123">
        <v>238</v>
      </c>
      <c r="E16" s="124">
        <v>21</v>
      </c>
      <c r="F16" s="124">
        <v>1227</v>
      </c>
      <c r="G16" s="124">
        <v>61</v>
      </c>
      <c r="H16" s="124">
        <v>1378</v>
      </c>
      <c r="I16" s="125">
        <f t="shared" si="3"/>
        <v>22.590163934426229</v>
      </c>
      <c r="J16" s="126">
        <f t="shared" si="4"/>
        <v>4.9714751426242869E-2</v>
      </c>
      <c r="K16" s="127">
        <f t="shared" si="5"/>
        <v>179.7391304347826</v>
      </c>
      <c r="L16" s="127">
        <f t="shared" si="6"/>
        <v>1198.2608695652175</v>
      </c>
      <c r="M16" s="157">
        <v>101.56</v>
      </c>
      <c r="N16" s="129">
        <f t="shared" si="7"/>
        <v>1096.7008695652175</v>
      </c>
      <c r="O16" s="130"/>
      <c r="P16" s="46">
        <v>1525</v>
      </c>
      <c r="Q16" s="125">
        <f t="shared" si="8"/>
        <v>25</v>
      </c>
      <c r="R16" s="131">
        <v>34</v>
      </c>
      <c r="S16" s="132">
        <f t="shared" si="9"/>
        <v>0.55737704918032782</v>
      </c>
      <c r="T16" s="133">
        <f t="shared" si="10"/>
        <v>198.91304347826087</v>
      </c>
      <c r="U16" s="133">
        <f t="shared" si="11"/>
        <v>1326.086956521739</v>
      </c>
      <c r="V16" s="131">
        <v>79</v>
      </c>
      <c r="W16" s="126">
        <f t="shared" si="12"/>
        <v>1.2950819672131149</v>
      </c>
      <c r="X16" s="46">
        <v>265.89999999999998</v>
      </c>
      <c r="Y16" s="126">
        <f t="shared" si="13"/>
        <v>0.1743606557377049</v>
      </c>
      <c r="Z16" s="134"/>
      <c r="AA16" s="125">
        <f t="shared" si="14"/>
        <v>1378</v>
      </c>
      <c r="AB16" s="125">
        <f t="shared" si="15"/>
        <v>1096.7008695652175</v>
      </c>
      <c r="AC16" s="135">
        <f t="shared" si="16"/>
        <v>1525</v>
      </c>
      <c r="AD16" s="136">
        <f t="shared" si="17"/>
        <v>1326.086956521739</v>
      </c>
      <c r="AE16" s="125">
        <f t="shared" si="18"/>
        <v>2903</v>
      </c>
      <c r="AF16" s="46">
        <f t="shared" si="19"/>
        <v>2422.7878260869566</v>
      </c>
    </row>
    <row r="17" spans="2:32" ht="15" customHeight="1" x14ac:dyDescent="0.25">
      <c r="B17" s="90">
        <v>46208</v>
      </c>
      <c r="C17" s="124" t="s">
        <v>61</v>
      </c>
      <c r="D17" s="123">
        <v>238</v>
      </c>
      <c r="E17" s="124">
        <v>18</v>
      </c>
      <c r="F17" s="124">
        <v>1069</v>
      </c>
      <c r="G17" s="124">
        <v>58</v>
      </c>
      <c r="H17" s="124">
        <v>1296</v>
      </c>
      <c r="I17" s="125">
        <f t="shared" si="3"/>
        <v>22.344827586206897</v>
      </c>
      <c r="J17" s="126">
        <f t="shared" si="4"/>
        <v>5.4256314312441531E-2</v>
      </c>
      <c r="K17" s="127">
        <f t="shared" si="5"/>
        <v>169.04347826086956</v>
      </c>
      <c r="L17" s="127">
        <f t="shared" si="6"/>
        <v>1126.9565217391305</v>
      </c>
      <c r="M17" s="124">
        <v>86.44</v>
      </c>
      <c r="N17" s="129">
        <f t="shared" si="7"/>
        <v>1040.5165217391304</v>
      </c>
      <c r="O17" s="130"/>
      <c r="P17" s="124">
        <v>1979</v>
      </c>
      <c r="Q17" s="125">
        <f t="shared" si="8"/>
        <v>34.120689655172413</v>
      </c>
      <c r="R17" s="124">
        <v>37</v>
      </c>
      <c r="S17" s="132">
        <f t="shared" si="9"/>
        <v>0.63793103448275867</v>
      </c>
      <c r="T17" s="133">
        <f t="shared" si="10"/>
        <v>258.13043478260869</v>
      </c>
      <c r="U17" s="133">
        <f t="shared" si="11"/>
        <v>1720.8695652173913</v>
      </c>
      <c r="V17" s="124">
        <v>88</v>
      </c>
      <c r="W17" s="126">
        <f t="shared" si="12"/>
        <v>1.5172413793103448</v>
      </c>
      <c r="X17" s="124">
        <v>346</v>
      </c>
      <c r="Y17" s="126">
        <f t="shared" si="13"/>
        <v>0.17483577564426478</v>
      </c>
      <c r="Z17" s="134"/>
      <c r="AA17" s="125">
        <f t="shared" si="14"/>
        <v>1296</v>
      </c>
      <c r="AB17" s="125">
        <f t="shared" si="15"/>
        <v>1040.5165217391304</v>
      </c>
      <c r="AC17" s="135">
        <f t="shared" si="16"/>
        <v>1979</v>
      </c>
      <c r="AD17" s="136">
        <f t="shared" si="17"/>
        <v>1720.8695652173913</v>
      </c>
      <c r="AE17" s="125">
        <f t="shared" si="18"/>
        <v>3275</v>
      </c>
      <c r="AF17" s="46">
        <f t="shared" si="19"/>
        <v>2761.3860869565215</v>
      </c>
    </row>
    <row r="18" spans="2:32" ht="15" customHeight="1" x14ac:dyDescent="0.25">
      <c r="B18" s="90">
        <v>46209</v>
      </c>
      <c r="C18" s="124" t="s">
        <v>62</v>
      </c>
      <c r="D18" s="123">
        <v>238</v>
      </c>
      <c r="E18" s="124">
        <v>18</v>
      </c>
      <c r="F18" s="124">
        <v>1069</v>
      </c>
      <c r="G18" s="124">
        <v>58</v>
      </c>
      <c r="H18" s="124">
        <v>1152</v>
      </c>
      <c r="I18" s="125">
        <f t="shared" si="3"/>
        <v>19.862068965517242</v>
      </c>
      <c r="J18" s="126">
        <f t="shared" si="4"/>
        <v>5.4256314312441531E-2</v>
      </c>
      <c r="K18" s="127">
        <f t="shared" si="5"/>
        <v>150.2608695652174</v>
      </c>
      <c r="L18" s="127">
        <f t="shared" si="6"/>
        <v>1001.7391304347826</v>
      </c>
      <c r="M18" s="124">
        <v>65.400000000000006</v>
      </c>
      <c r="N18" s="129">
        <f t="shared" si="7"/>
        <v>936.33913043478265</v>
      </c>
      <c r="O18" s="130"/>
      <c r="P18" s="124">
        <v>1004.72</v>
      </c>
      <c r="Q18" s="125">
        <f t="shared" si="8"/>
        <v>17.322758620689655</v>
      </c>
      <c r="R18" s="124">
        <v>26</v>
      </c>
      <c r="S18" s="132">
        <f t="shared" si="9"/>
        <v>0.44827586206896552</v>
      </c>
      <c r="T18" s="133">
        <f t="shared" si="10"/>
        <v>131.0504347826087</v>
      </c>
      <c r="U18" s="133">
        <f t="shared" si="11"/>
        <v>873.66956521739132</v>
      </c>
      <c r="V18" s="124">
        <v>55</v>
      </c>
      <c r="W18" s="126">
        <f t="shared" si="12"/>
        <v>0.94827586206896552</v>
      </c>
      <c r="X18" s="124">
        <v>216.42</v>
      </c>
      <c r="Y18" s="126">
        <f t="shared" si="13"/>
        <v>0.21540329644079942</v>
      </c>
      <c r="Z18" s="134"/>
      <c r="AA18" s="125">
        <f t="shared" si="14"/>
        <v>1152</v>
      </c>
      <c r="AB18" s="125">
        <f t="shared" si="15"/>
        <v>936.33913043478265</v>
      </c>
      <c r="AC18" s="135">
        <f t="shared" si="16"/>
        <v>1004.72</v>
      </c>
      <c r="AD18" s="136">
        <f t="shared" si="17"/>
        <v>873.66956521739132</v>
      </c>
      <c r="AE18" s="125">
        <f t="shared" si="18"/>
        <v>2156.7200000000003</v>
      </c>
      <c r="AF18" s="46">
        <f t="shared" si="19"/>
        <v>1810.0086956521741</v>
      </c>
    </row>
    <row r="19" spans="2:32" ht="15" customHeight="1" x14ac:dyDescent="0.25">
      <c r="B19" s="90">
        <v>46210</v>
      </c>
      <c r="C19" s="124" t="s">
        <v>63</v>
      </c>
      <c r="D19" s="123">
        <v>238</v>
      </c>
      <c r="E19" s="124">
        <v>17</v>
      </c>
      <c r="F19" s="124">
        <v>989</v>
      </c>
      <c r="G19" s="124">
        <v>65</v>
      </c>
      <c r="H19" s="124">
        <v>1504</v>
      </c>
      <c r="I19" s="125">
        <f t="shared" si="3"/>
        <v>23.138461538461538</v>
      </c>
      <c r="J19" s="126">
        <f t="shared" si="4"/>
        <v>6.5722952477249741E-2</v>
      </c>
      <c r="K19" s="127">
        <f t="shared" si="5"/>
        <v>196.17391304347825</v>
      </c>
      <c r="L19" s="127">
        <f t="shared" si="6"/>
        <v>1307.8260869565217</v>
      </c>
      <c r="M19" s="124">
        <v>100.71</v>
      </c>
      <c r="N19" s="129">
        <f t="shared" si="7"/>
        <v>1207.1160869565217</v>
      </c>
      <c r="O19" s="130"/>
      <c r="P19" s="124">
        <v>1204</v>
      </c>
      <c r="Q19" s="125">
        <f t="shared" si="8"/>
        <v>18.523076923076925</v>
      </c>
      <c r="R19" s="124">
        <v>26</v>
      </c>
      <c r="S19" s="132">
        <f t="shared" si="9"/>
        <v>0.4</v>
      </c>
      <c r="T19" s="133">
        <f t="shared" si="10"/>
        <v>157.04347826086956</v>
      </c>
      <c r="U19" s="133">
        <f t="shared" si="11"/>
        <v>1046.9565217391305</v>
      </c>
      <c r="V19" s="124">
        <v>56</v>
      </c>
      <c r="W19" s="126">
        <f t="shared" si="12"/>
        <v>0.86153846153846159</v>
      </c>
      <c r="X19" s="124">
        <v>236.58</v>
      </c>
      <c r="Y19" s="126">
        <f t="shared" si="13"/>
        <v>0.1964950166112957</v>
      </c>
      <c r="Z19" s="134"/>
      <c r="AA19" s="125">
        <f t="shared" si="14"/>
        <v>1504</v>
      </c>
      <c r="AB19" s="125">
        <f t="shared" si="15"/>
        <v>1207.1160869565217</v>
      </c>
      <c r="AC19" s="135">
        <f t="shared" si="16"/>
        <v>1204</v>
      </c>
      <c r="AD19" s="136">
        <f t="shared" si="17"/>
        <v>1046.9565217391305</v>
      </c>
      <c r="AE19" s="125">
        <f t="shared" si="18"/>
        <v>2708</v>
      </c>
      <c r="AF19" s="46">
        <f t="shared" si="19"/>
        <v>2254.072608695652</v>
      </c>
    </row>
    <row r="20" spans="2:32" ht="15" customHeight="1" x14ac:dyDescent="0.25">
      <c r="B20" s="90">
        <v>46211</v>
      </c>
      <c r="C20" s="124" t="s">
        <v>64</v>
      </c>
      <c r="D20" s="123">
        <v>238</v>
      </c>
      <c r="E20" s="124">
        <v>18</v>
      </c>
      <c r="F20" s="124">
        <v>1069</v>
      </c>
      <c r="G20" s="124">
        <v>78</v>
      </c>
      <c r="H20" s="124">
        <v>1536</v>
      </c>
      <c r="I20" s="125">
        <f t="shared" si="3"/>
        <v>19.692307692307693</v>
      </c>
      <c r="J20" s="126">
        <f t="shared" si="4"/>
        <v>7.2965388213283439E-2</v>
      </c>
      <c r="K20" s="127">
        <f t="shared" si="5"/>
        <v>200.34782608695653</v>
      </c>
      <c r="L20" s="127">
        <f t="shared" si="6"/>
        <v>1335.6521739130435</v>
      </c>
      <c r="M20" s="124">
        <v>88.7</v>
      </c>
      <c r="N20" s="129">
        <f t="shared" si="7"/>
        <v>1246.9521739130435</v>
      </c>
      <c r="O20" s="130"/>
      <c r="P20" s="124">
        <v>1672</v>
      </c>
      <c r="Q20" s="125">
        <f t="shared" si="8"/>
        <v>21.435897435897434</v>
      </c>
      <c r="R20" s="124">
        <v>37</v>
      </c>
      <c r="S20" s="132">
        <f t="shared" si="9"/>
        <v>0.47435897435897434</v>
      </c>
      <c r="T20" s="133">
        <f t="shared" si="10"/>
        <v>218.08695652173913</v>
      </c>
      <c r="U20" s="133">
        <f t="shared" si="11"/>
        <v>1453.913043478261</v>
      </c>
      <c r="V20" s="124">
        <v>81</v>
      </c>
      <c r="W20" s="126">
        <f t="shared" si="12"/>
        <v>1.0384615384615385</v>
      </c>
      <c r="X20" s="124">
        <v>283.07</v>
      </c>
      <c r="Y20" s="126">
        <f t="shared" si="13"/>
        <v>0.16930023923444976</v>
      </c>
      <c r="Z20" s="134"/>
      <c r="AA20" s="125">
        <f t="shared" si="14"/>
        <v>1536</v>
      </c>
      <c r="AB20" s="125">
        <f t="shared" si="15"/>
        <v>1246.9521739130435</v>
      </c>
      <c r="AC20" s="135">
        <f t="shared" si="16"/>
        <v>1672</v>
      </c>
      <c r="AD20" s="136">
        <f t="shared" si="17"/>
        <v>1453.913043478261</v>
      </c>
      <c r="AE20" s="125">
        <f t="shared" si="18"/>
        <v>3208</v>
      </c>
      <c r="AF20" s="46">
        <f t="shared" si="19"/>
        <v>2700.8652173913042</v>
      </c>
    </row>
    <row r="21" spans="2:32" ht="15" customHeight="1" x14ac:dyDescent="0.25">
      <c r="B21" s="90">
        <v>46212</v>
      </c>
      <c r="C21" s="124" t="s">
        <v>57</v>
      </c>
      <c r="D21" s="123">
        <v>238</v>
      </c>
      <c r="E21" s="124">
        <v>25</v>
      </c>
      <c r="F21" s="124">
        <v>1422</v>
      </c>
      <c r="G21" s="124">
        <v>90</v>
      </c>
      <c r="H21" s="124">
        <v>1587</v>
      </c>
      <c r="I21" s="125">
        <f t="shared" si="3"/>
        <v>17.633333333333333</v>
      </c>
      <c r="J21" s="126">
        <f t="shared" si="4"/>
        <v>6.3291139240506333E-2</v>
      </c>
      <c r="K21" s="127">
        <f t="shared" si="5"/>
        <v>207</v>
      </c>
      <c r="L21" s="127">
        <f t="shared" si="6"/>
        <v>1380</v>
      </c>
      <c r="M21" s="124">
        <v>116.43</v>
      </c>
      <c r="N21" s="129">
        <f t="shared" si="7"/>
        <v>1263.57</v>
      </c>
      <c r="O21" s="130"/>
      <c r="P21" s="124">
        <v>1832</v>
      </c>
      <c r="Q21" s="125">
        <f t="shared" si="8"/>
        <v>20.355555555555554</v>
      </c>
      <c r="R21" s="124">
        <v>43</v>
      </c>
      <c r="S21" s="132">
        <f t="shared" si="9"/>
        <v>0.4777777777777778</v>
      </c>
      <c r="T21" s="133">
        <f t="shared" si="10"/>
        <v>238.95652173913044</v>
      </c>
      <c r="U21" s="133">
        <f t="shared" si="11"/>
        <v>1593.0434782608695</v>
      </c>
      <c r="V21" s="124">
        <v>69</v>
      </c>
      <c r="W21" s="126">
        <f t="shared" si="12"/>
        <v>0.76666666666666672</v>
      </c>
      <c r="X21" s="124">
        <v>362.95</v>
      </c>
      <c r="Y21" s="126">
        <f t="shared" si="13"/>
        <v>0.19811681222707422</v>
      </c>
      <c r="Z21" s="134"/>
      <c r="AA21" s="125">
        <f t="shared" si="14"/>
        <v>1587</v>
      </c>
      <c r="AB21" s="125">
        <f t="shared" si="15"/>
        <v>1263.57</v>
      </c>
      <c r="AC21" s="135">
        <f t="shared" si="16"/>
        <v>1832</v>
      </c>
      <c r="AD21" s="136">
        <f t="shared" si="17"/>
        <v>1593.0434782608695</v>
      </c>
      <c r="AE21" s="125">
        <f t="shared" si="18"/>
        <v>3419</v>
      </c>
      <c r="AF21" s="46">
        <f t="shared" si="19"/>
        <v>2856.6134782608697</v>
      </c>
    </row>
    <row r="22" spans="2:32" ht="15" customHeight="1" x14ac:dyDescent="0.25">
      <c r="B22" s="90">
        <v>46213</v>
      </c>
      <c r="C22" s="124" t="s">
        <v>59</v>
      </c>
      <c r="D22" s="123">
        <v>238</v>
      </c>
      <c r="E22" s="124">
        <v>23</v>
      </c>
      <c r="F22" s="124">
        <v>1328</v>
      </c>
      <c r="G22" s="124">
        <v>94</v>
      </c>
      <c r="H22" s="124">
        <v>1892</v>
      </c>
      <c r="I22" s="125">
        <f t="shared" si="3"/>
        <v>20.127659574468087</v>
      </c>
      <c r="J22" s="126">
        <f t="shared" si="4"/>
        <v>7.0783132530120488E-2</v>
      </c>
      <c r="K22" s="127">
        <f t="shared" si="5"/>
        <v>246.78260869565219</v>
      </c>
      <c r="L22" s="127">
        <f t="shared" si="6"/>
        <v>1645.2173913043478</v>
      </c>
      <c r="M22" s="124">
        <v>149.55000000000001</v>
      </c>
      <c r="N22" s="129">
        <f t="shared" si="7"/>
        <v>1495.6673913043478</v>
      </c>
      <c r="O22" s="130"/>
      <c r="P22" s="124">
        <v>1611</v>
      </c>
      <c r="Q22" s="125">
        <f t="shared" si="8"/>
        <v>17.138297872340427</v>
      </c>
      <c r="R22" s="124">
        <v>32</v>
      </c>
      <c r="S22" s="132">
        <f t="shared" si="9"/>
        <v>0.34042553191489361</v>
      </c>
      <c r="T22" s="133">
        <f t="shared" si="10"/>
        <v>210.13043478260869</v>
      </c>
      <c r="U22" s="133">
        <f t="shared" si="11"/>
        <v>1400.8695652173913</v>
      </c>
      <c r="V22" s="124">
        <v>71</v>
      </c>
      <c r="W22" s="126">
        <f t="shared" si="12"/>
        <v>0.75531914893617025</v>
      </c>
      <c r="X22" s="124">
        <v>283.47000000000003</v>
      </c>
      <c r="Y22" s="126">
        <f t="shared" si="13"/>
        <v>0.17595903165735569</v>
      </c>
      <c r="Z22" s="134"/>
      <c r="AA22" s="125">
        <f t="shared" si="14"/>
        <v>1892</v>
      </c>
      <c r="AB22" s="125">
        <f t="shared" si="15"/>
        <v>1495.6673913043478</v>
      </c>
      <c r="AC22" s="135">
        <f t="shared" si="16"/>
        <v>1611</v>
      </c>
      <c r="AD22" s="136">
        <f t="shared" si="17"/>
        <v>1400.8695652173913</v>
      </c>
      <c r="AE22" s="125">
        <f t="shared" si="18"/>
        <v>3503</v>
      </c>
      <c r="AF22" s="46">
        <f t="shared" si="19"/>
        <v>2896.5369565217388</v>
      </c>
    </row>
    <row r="23" spans="2:32" ht="15" customHeight="1" x14ac:dyDescent="0.25">
      <c r="B23" s="90">
        <v>46214</v>
      </c>
      <c r="C23" s="124" t="s">
        <v>60</v>
      </c>
      <c r="D23" s="123">
        <v>238</v>
      </c>
      <c r="E23" s="124">
        <v>25</v>
      </c>
      <c r="F23" s="124">
        <v>1449</v>
      </c>
      <c r="G23" s="124">
        <v>51</v>
      </c>
      <c r="H23" s="124">
        <v>1213</v>
      </c>
      <c r="I23" s="125">
        <f t="shared" si="3"/>
        <v>23.784313725490197</v>
      </c>
      <c r="J23" s="126">
        <f t="shared" si="4"/>
        <v>3.5196687370600416E-2</v>
      </c>
      <c r="K23" s="127">
        <f t="shared" si="5"/>
        <v>158.21739130434781</v>
      </c>
      <c r="L23" s="127">
        <f t="shared" si="6"/>
        <v>1054.7826086956522</v>
      </c>
      <c r="M23" s="124">
        <v>88.08</v>
      </c>
      <c r="N23" s="129">
        <f t="shared" si="7"/>
        <v>966.7026086956522</v>
      </c>
      <c r="O23" s="130"/>
      <c r="P23" s="124">
        <v>1632</v>
      </c>
      <c r="Q23" s="125">
        <f t="shared" si="8"/>
        <v>32</v>
      </c>
      <c r="R23" s="124">
        <v>29</v>
      </c>
      <c r="S23" s="132">
        <f t="shared" si="9"/>
        <v>0.56862745098039214</v>
      </c>
      <c r="T23" s="133">
        <f t="shared" si="10"/>
        <v>212.86956521739131</v>
      </c>
      <c r="U23" s="133">
        <f t="shared" si="11"/>
        <v>1419.1304347826087</v>
      </c>
      <c r="V23" s="124">
        <v>92</v>
      </c>
      <c r="W23" s="126">
        <f t="shared" si="12"/>
        <v>1.803921568627451</v>
      </c>
      <c r="X23" s="124">
        <v>283.49</v>
      </c>
      <c r="Y23" s="126">
        <f t="shared" si="13"/>
        <v>0.17370710784313725</v>
      </c>
      <c r="Z23" s="134"/>
      <c r="AA23" s="125">
        <f t="shared" si="14"/>
        <v>1213</v>
      </c>
      <c r="AB23" s="125">
        <f t="shared" si="15"/>
        <v>966.7026086956522</v>
      </c>
      <c r="AC23" s="135">
        <f t="shared" si="16"/>
        <v>1632</v>
      </c>
      <c r="AD23" s="136">
        <f t="shared" si="17"/>
        <v>1419.1304347826087</v>
      </c>
      <c r="AE23" s="125">
        <f t="shared" si="18"/>
        <v>2845</v>
      </c>
      <c r="AF23" s="46">
        <f t="shared" si="19"/>
        <v>2385.8330434782611</v>
      </c>
    </row>
    <row r="24" spans="2:32" ht="15" customHeight="1" x14ac:dyDescent="0.25">
      <c r="B24" s="90">
        <v>46215</v>
      </c>
      <c r="C24" s="124" t="s">
        <v>61</v>
      </c>
      <c r="D24" s="123">
        <v>238</v>
      </c>
      <c r="E24" s="124">
        <v>19</v>
      </c>
      <c r="F24" s="124">
        <v>1090</v>
      </c>
      <c r="G24" s="124">
        <v>58</v>
      </c>
      <c r="H24" s="124">
        <v>1148</v>
      </c>
      <c r="I24" s="125">
        <f t="shared" si="3"/>
        <v>19.793103448275861</v>
      </c>
      <c r="J24" s="126">
        <f t="shared" si="4"/>
        <v>5.321100917431193E-2</v>
      </c>
      <c r="K24" s="127">
        <f t="shared" si="5"/>
        <v>149.7391304347826</v>
      </c>
      <c r="L24" s="127">
        <f t="shared" si="6"/>
        <v>998.26086956521738</v>
      </c>
      <c r="M24" s="124">
        <v>78.27</v>
      </c>
      <c r="N24" s="129">
        <f t="shared" si="7"/>
        <v>919.99086956521739</v>
      </c>
      <c r="O24" s="130"/>
      <c r="P24" s="124">
        <v>985</v>
      </c>
      <c r="Q24" s="125">
        <f t="shared" si="8"/>
        <v>16.982758620689655</v>
      </c>
      <c r="R24" s="124">
        <v>20</v>
      </c>
      <c r="S24" s="132">
        <f t="shared" si="9"/>
        <v>0.34482758620689657</v>
      </c>
      <c r="T24" s="133">
        <f t="shared" si="10"/>
        <v>128.47826086956522</v>
      </c>
      <c r="U24" s="133">
        <f t="shared" si="11"/>
        <v>856.52173913043475</v>
      </c>
      <c r="V24" s="124">
        <v>53</v>
      </c>
      <c r="W24" s="126">
        <f t="shared" si="12"/>
        <v>0.91379310344827591</v>
      </c>
      <c r="X24" s="124">
        <v>181.06</v>
      </c>
      <c r="Y24" s="126">
        <f t="shared" si="13"/>
        <v>0.18381725888324874</v>
      </c>
      <c r="Z24" s="134"/>
      <c r="AA24" s="125">
        <f t="shared" si="14"/>
        <v>1148</v>
      </c>
      <c r="AB24" s="125">
        <f t="shared" si="15"/>
        <v>919.99086956521739</v>
      </c>
      <c r="AC24" s="135">
        <f t="shared" si="16"/>
        <v>985</v>
      </c>
      <c r="AD24" s="136">
        <f t="shared" si="17"/>
        <v>856.52173913043475</v>
      </c>
      <c r="AE24" s="125">
        <f t="shared" si="18"/>
        <v>2133</v>
      </c>
      <c r="AF24" s="46">
        <f t="shared" si="19"/>
        <v>1776.512608695652</v>
      </c>
    </row>
    <row r="25" spans="2:32" ht="15" customHeight="1" x14ac:dyDescent="0.25">
      <c r="B25" s="90">
        <v>46216</v>
      </c>
      <c r="C25" s="124" t="s">
        <v>62</v>
      </c>
      <c r="D25" s="123">
        <v>238</v>
      </c>
      <c r="E25" s="124">
        <v>19</v>
      </c>
      <c r="F25" s="124">
        <v>1090</v>
      </c>
      <c r="G25" s="124">
        <v>47</v>
      </c>
      <c r="H25" s="124">
        <v>870</v>
      </c>
      <c r="I25" s="125">
        <f t="shared" si="3"/>
        <v>18.51063829787234</v>
      </c>
      <c r="J25" s="126">
        <f t="shared" si="4"/>
        <v>4.3119266055045874E-2</v>
      </c>
      <c r="K25" s="127">
        <f t="shared" si="5"/>
        <v>113.47826086956522</v>
      </c>
      <c r="L25" s="127">
        <f t="shared" si="6"/>
        <v>756.52173913043475</v>
      </c>
      <c r="M25" s="124">
        <v>60.88</v>
      </c>
      <c r="N25" s="129">
        <f t="shared" si="7"/>
        <v>695.64173913043476</v>
      </c>
      <c r="O25" s="130"/>
      <c r="P25" s="124">
        <v>1195</v>
      </c>
      <c r="Q25" s="125">
        <f t="shared" si="8"/>
        <v>25.425531914893618</v>
      </c>
      <c r="R25" s="124">
        <v>26</v>
      </c>
      <c r="S25" s="132">
        <f t="shared" si="9"/>
        <v>0.55319148936170215</v>
      </c>
      <c r="T25" s="133">
        <f t="shared" si="10"/>
        <v>155.86956521739131</v>
      </c>
      <c r="U25" s="133">
        <f t="shared" si="11"/>
        <v>1039.1304347826087</v>
      </c>
      <c r="V25" s="124">
        <v>58</v>
      </c>
      <c r="W25" s="126">
        <f t="shared" si="12"/>
        <v>1.2340425531914894</v>
      </c>
      <c r="X25" s="124">
        <v>227.77</v>
      </c>
      <c r="Y25" s="126">
        <f t="shared" si="13"/>
        <v>0.19060251046025106</v>
      </c>
      <c r="Z25" s="134"/>
      <c r="AA25" s="125">
        <f t="shared" si="14"/>
        <v>870</v>
      </c>
      <c r="AB25" s="125">
        <f t="shared" si="15"/>
        <v>695.64173913043476</v>
      </c>
      <c r="AC25" s="135">
        <f t="shared" si="16"/>
        <v>1195</v>
      </c>
      <c r="AD25" s="136">
        <f t="shared" si="17"/>
        <v>1039.1304347826087</v>
      </c>
      <c r="AE25" s="125">
        <f t="shared" si="18"/>
        <v>2065</v>
      </c>
      <c r="AF25" s="46">
        <f t="shared" si="19"/>
        <v>1734.7721739130434</v>
      </c>
    </row>
    <row r="26" spans="2:32" ht="15" customHeight="1" x14ac:dyDescent="0.25">
      <c r="B26" s="90">
        <v>46217</v>
      </c>
      <c r="C26" s="124" t="s">
        <v>63</v>
      </c>
      <c r="D26" s="123">
        <v>238</v>
      </c>
      <c r="E26" s="124">
        <v>16</v>
      </c>
      <c r="F26" s="124">
        <v>909</v>
      </c>
      <c r="G26" s="124">
        <v>45</v>
      </c>
      <c r="H26" s="124">
        <v>711</v>
      </c>
      <c r="I26" s="125">
        <f t="shared" si="3"/>
        <v>15.8</v>
      </c>
      <c r="J26" s="126">
        <f t="shared" si="4"/>
        <v>4.9504950495049507E-2</v>
      </c>
      <c r="K26" s="127">
        <f t="shared" si="5"/>
        <v>92.739130434782609</v>
      </c>
      <c r="L26" s="127">
        <f t="shared" si="6"/>
        <v>618.26086956521738</v>
      </c>
      <c r="M26" s="124">
        <v>61.83</v>
      </c>
      <c r="N26" s="129">
        <f t="shared" si="7"/>
        <v>556.43086956521734</v>
      </c>
      <c r="O26" s="130"/>
      <c r="P26" s="124">
        <v>770</v>
      </c>
      <c r="Q26" s="125">
        <f t="shared" si="8"/>
        <v>17.111111111111111</v>
      </c>
      <c r="R26" s="124">
        <v>20</v>
      </c>
      <c r="S26" s="132">
        <f t="shared" si="9"/>
        <v>0.44444444444444442</v>
      </c>
      <c r="T26" s="133">
        <f t="shared" si="10"/>
        <v>100.43478260869566</v>
      </c>
      <c r="U26" s="133">
        <f t="shared" si="11"/>
        <v>669.56521739130437</v>
      </c>
      <c r="V26" s="124">
        <v>37</v>
      </c>
      <c r="W26" s="126">
        <f t="shared" si="12"/>
        <v>0.82222222222222219</v>
      </c>
      <c r="X26" s="124">
        <v>155.35</v>
      </c>
      <c r="Y26" s="126">
        <f t="shared" si="13"/>
        <v>0.20175324675324674</v>
      </c>
      <c r="Z26" s="134"/>
      <c r="AA26" s="125">
        <f t="shared" si="14"/>
        <v>711</v>
      </c>
      <c r="AB26" s="125">
        <f t="shared" si="15"/>
        <v>556.43086956521734</v>
      </c>
      <c r="AC26" s="135">
        <f t="shared" si="16"/>
        <v>770</v>
      </c>
      <c r="AD26" s="136">
        <f t="shared" si="17"/>
        <v>669.56521739130437</v>
      </c>
      <c r="AE26" s="125">
        <f t="shared" si="18"/>
        <v>1481</v>
      </c>
      <c r="AF26" s="46">
        <f t="shared" si="19"/>
        <v>1225.9960869565216</v>
      </c>
    </row>
    <row r="27" spans="2:32" ht="15" customHeight="1" x14ac:dyDescent="0.25">
      <c r="B27" s="90">
        <v>46218</v>
      </c>
      <c r="C27" s="124" t="s">
        <v>64</v>
      </c>
      <c r="D27" s="123">
        <v>238</v>
      </c>
      <c r="E27" s="124">
        <v>16</v>
      </c>
      <c r="F27" s="124">
        <v>909</v>
      </c>
      <c r="G27" s="124">
        <v>70</v>
      </c>
      <c r="H27" s="124">
        <v>933</v>
      </c>
      <c r="I27" s="125">
        <f t="shared" si="3"/>
        <v>13.328571428571429</v>
      </c>
      <c r="J27" s="126">
        <f t="shared" si="4"/>
        <v>7.7007700770077014E-2</v>
      </c>
      <c r="K27" s="127">
        <f t="shared" si="5"/>
        <v>121.69565217391305</v>
      </c>
      <c r="L27" s="127">
        <f t="shared" si="6"/>
        <v>811.304347826087</v>
      </c>
      <c r="M27" s="148">
        <v>77.31</v>
      </c>
      <c r="N27" s="129">
        <f t="shared" si="7"/>
        <v>733.99434782608705</v>
      </c>
      <c r="O27" s="130"/>
      <c r="P27" s="124">
        <v>1153</v>
      </c>
      <c r="Q27" s="125">
        <f t="shared" si="8"/>
        <v>16.471428571428572</v>
      </c>
      <c r="R27" s="124">
        <v>29</v>
      </c>
      <c r="S27" s="132">
        <f t="shared" si="9"/>
        <v>0.41428571428571431</v>
      </c>
      <c r="T27" s="133">
        <f t="shared" si="10"/>
        <v>150.39130434782609</v>
      </c>
      <c r="U27" s="133">
        <f t="shared" si="11"/>
        <v>1002.6086956521739</v>
      </c>
      <c r="V27" s="124">
        <v>45</v>
      </c>
      <c r="W27" s="126">
        <f t="shared" si="12"/>
        <v>0.6428571428571429</v>
      </c>
      <c r="X27" s="124">
        <v>216.93</v>
      </c>
      <c r="Y27" s="126">
        <f t="shared" si="13"/>
        <v>0.18814397224631396</v>
      </c>
      <c r="Z27" s="134"/>
      <c r="AA27" s="125">
        <f t="shared" si="14"/>
        <v>933</v>
      </c>
      <c r="AB27" s="125">
        <f t="shared" si="15"/>
        <v>733.99434782608705</v>
      </c>
      <c r="AC27" s="135">
        <f t="shared" si="16"/>
        <v>1153</v>
      </c>
      <c r="AD27" s="136">
        <f t="shared" si="17"/>
        <v>1002.6086956521739</v>
      </c>
      <c r="AE27" s="125">
        <f t="shared" si="18"/>
        <v>2086</v>
      </c>
      <c r="AF27" s="46">
        <f t="shared" si="19"/>
        <v>1736.603043478261</v>
      </c>
    </row>
    <row r="28" spans="2:32" ht="15" customHeight="1" x14ac:dyDescent="0.25">
      <c r="B28" s="90">
        <v>46219</v>
      </c>
      <c r="C28" s="124" t="s">
        <v>57</v>
      </c>
      <c r="D28" s="123">
        <v>238</v>
      </c>
      <c r="E28" s="124">
        <v>24</v>
      </c>
      <c r="F28" s="124">
        <v>1378</v>
      </c>
      <c r="G28" s="124">
        <v>78</v>
      </c>
      <c r="H28" s="124">
        <v>1629</v>
      </c>
      <c r="I28" s="125">
        <f t="shared" si="3"/>
        <v>20.884615384615383</v>
      </c>
      <c r="J28" s="126">
        <f t="shared" si="4"/>
        <v>5.6603773584905662E-2</v>
      </c>
      <c r="K28" s="127">
        <f t="shared" si="5"/>
        <v>212.47826086956522</v>
      </c>
      <c r="L28" s="149">
        <f t="shared" si="6"/>
        <v>1416.5217391304348</v>
      </c>
      <c r="M28" s="124">
        <v>135.12</v>
      </c>
      <c r="N28" s="150">
        <f t="shared" si="7"/>
        <v>1281.4017391304346</v>
      </c>
      <c r="O28" s="130"/>
      <c r="P28" s="124">
        <v>1079.21</v>
      </c>
      <c r="Q28" s="125">
        <f t="shared" si="8"/>
        <v>13.836025641025641</v>
      </c>
      <c r="R28" s="124">
        <v>30</v>
      </c>
      <c r="S28" s="132">
        <f t="shared" si="9"/>
        <v>0.38461538461538464</v>
      </c>
      <c r="T28" s="133">
        <f t="shared" si="10"/>
        <v>140.76652173913044</v>
      </c>
      <c r="U28" s="133">
        <f t="shared" si="11"/>
        <v>938.4434782608696</v>
      </c>
      <c r="V28" s="124">
        <v>56</v>
      </c>
      <c r="W28" s="126">
        <f t="shared" si="12"/>
        <v>0.71794871794871795</v>
      </c>
      <c r="X28" s="124">
        <v>217.96</v>
      </c>
      <c r="Y28" s="126">
        <f t="shared" si="13"/>
        <v>0.20196254667766236</v>
      </c>
      <c r="Z28" s="134"/>
      <c r="AA28" s="125">
        <f t="shared" si="14"/>
        <v>1629</v>
      </c>
      <c r="AB28" s="125">
        <f t="shared" si="15"/>
        <v>1281.4017391304346</v>
      </c>
      <c r="AC28" s="135">
        <f t="shared" si="16"/>
        <v>1079.21</v>
      </c>
      <c r="AD28" s="136">
        <f t="shared" si="17"/>
        <v>938.4434782608696</v>
      </c>
      <c r="AE28" s="125">
        <f t="shared" si="18"/>
        <v>2708.21</v>
      </c>
      <c r="AF28" s="46">
        <f t="shared" si="19"/>
        <v>2219.8452173913042</v>
      </c>
    </row>
    <row r="29" spans="2:32" ht="15" customHeight="1" x14ac:dyDescent="0.25">
      <c r="B29" s="90">
        <v>46220</v>
      </c>
      <c r="C29" s="124" t="s">
        <v>59</v>
      </c>
      <c r="D29" s="123">
        <v>238</v>
      </c>
      <c r="E29" s="124">
        <v>22</v>
      </c>
      <c r="F29" s="124">
        <v>1284</v>
      </c>
      <c r="G29" s="124">
        <v>123</v>
      </c>
      <c r="H29" s="124">
        <v>2693</v>
      </c>
      <c r="I29" s="125">
        <f t="shared" si="3"/>
        <v>21.894308943089431</v>
      </c>
      <c r="J29" s="126">
        <f t="shared" si="4"/>
        <v>9.5794392523364483E-2</v>
      </c>
      <c r="K29" s="127">
        <f t="shared" si="5"/>
        <v>351.26086956521738</v>
      </c>
      <c r="L29" s="149">
        <f t="shared" si="6"/>
        <v>2341.7391304347825</v>
      </c>
      <c r="M29" s="124">
        <v>231.98</v>
      </c>
      <c r="N29" s="150">
        <f t="shared" si="7"/>
        <v>2109.7591304347825</v>
      </c>
      <c r="O29" s="130"/>
      <c r="P29" s="124">
        <v>1903</v>
      </c>
      <c r="Q29" s="125">
        <f t="shared" si="8"/>
        <v>15.471544715447154</v>
      </c>
      <c r="R29" s="124">
        <v>45</v>
      </c>
      <c r="S29" s="132">
        <f t="shared" si="9"/>
        <v>0.36585365853658536</v>
      </c>
      <c r="T29" s="133">
        <f t="shared" si="10"/>
        <v>248.21739130434781</v>
      </c>
      <c r="U29" s="133">
        <f t="shared" si="11"/>
        <v>1654.7826086956522</v>
      </c>
      <c r="V29" s="124">
        <v>95</v>
      </c>
      <c r="W29" s="126">
        <f t="shared" si="12"/>
        <v>0.77235772357723576</v>
      </c>
      <c r="X29" s="124">
        <v>332.17</v>
      </c>
      <c r="Y29" s="126">
        <f t="shared" si="13"/>
        <v>0.17455070940620074</v>
      </c>
      <c r="Z29" s="134"/>
      <c r="AA29" s="125">
        <f t="shared" si="14"/>
        <v>2693</v>
      </c>
      <c r="AB29" s="125">
        <f t="shared" si="15"/>
        <v>2109.7591304347825</v>
      </c>
      <c r="AC29" s="135">
        <f t="shared" si="16"/>
        <v>1903</v>
      </c>
      <c r="AD29" s="136">
        <f t="shared" si="17"/>
        <v>1654.7826086956522</v>
      </c>
      <c r="AE29" s="125">
        <f t="shared" si="18"/>
        <v>4596</v>
      </c>
      <c r="AF29" s="46">
        <f t="shared" si="19"/>
        <v>3764.5417391304345</v>
      </c>
    </row>
    <row r="30" spans="2:32" ht="15" customHeight="1" x14ac:dyDescent="0.25">
      <c r="B30" s="90">
        <v>46221</v>
      </c>
      <c r="C30" s="124" t="s">
        <v>60</v>
      </c>
      <c r="D30" s="123">
        <v>238</v>
      </c>
      <c r="E30" s="124">
        <v>24</v>
      </c>
      <c r="F30" s="124">
        <v>1378</v>
      </c>
      <c r="G30" s="124">
        <v>75</v>
      </c>
      <c r="H30" s="124">
        <v>1390.5</v>
      </c>
      <c r="I30" s="125">
        <f t="shared" si="3"/>
        <v>18.54</v>
      </c>
      <c r="J30" s="132">
        <f t="shared" si="4"/>
        <v>5.4426705370101594E-2</v>
      </c>
      <c r="K30" s="127">
        <f t="shared" si="5"/>
        <v>181.36956521739131</v>
      </c>
      <c r="L30" s="149">
        <f t="shared" si="6"/>
        <v>1209.1304347826087</v>
      </c>
      <c r="M30" s="124">
        <v>110.03</v>
      </c>
      <c r="N30" s="150">
        <f t="shared" si="7"/>
        <v>1099.1004347826088</v>
      </c>
      <c r="O30" s="130"/>
      <c r="P30" s="124">
        <v>1216</v>
      </c>
      <c r="Q30" s="125">
        <f t="shared" si="8"/>
        <v>16.213333333333335</v>
      </c>
      <c r="R30" s="124">
        <v>34</v>
      </c>
      <c r="S30" s="132">
        <f t="shared" si="9"/>
        <v>0.45333333333333331</v>
      </c>
      <c r="T30" s="133">
        <f t="shared" si="10"/>
        <v>158.60869565217391</v>
      </c>
      <c r="U30" s="133">
        <f t="shared" si="11"/>
        <v>1057.391304347826</v>
      </c>
      <c r="V30" s="124">
        <v>56</v>
      </c>
      <c r="W30" s="126">
        <f t="shared" si="12"/>
        <v>0.7466666666666667</v>
      </c>
      <c r="X30" s="124">
        <v>207.4</v>
      </c>
      <c r="Y30" s="126">
        <f t="shared" si="13"/>
        <v>0.17055921052631579</v>
      </c>
      <c r="Z30" s="134"/>
      <c r="AA30" s="125">
        <f t="shared" si="14"/>
        <v>1390.5</v>
      </c>
      <c r="AB30" s="125">
        <f t="shared" si="15"/>
        <v>1099.1004347826088</v>
      </c>
      <c r="AC30" s="135">
        <f t="shared" si="16"/>
        <v>1216</v>
      </c>
      <c r="AD30" s="136">
        <f t="shared" si="17"/>
        <v>1057.391304347826</v>
      </c>
      <c r="AE30" s="125">
        <f t="shared" si="18"/>
        <v>2606.5</v>
      </c>
      <c r="AF30" s="46">
        <f t="shared" si="19"/>
        <v>2156.4917391304348</v>
      </c>
    </row>
    <row r="31" spans="2:32" ht="15" customHeight="1" x14ac:dyDescent="0.25">
      <c r="B31" s="90">
        <v>46222</v>
      </c>
      <c r="C31" s="124" t="s">
        <v>61</v>
      </c>
      <c r="D31" s="123">
        <v>238</v>
      </c>
      <c r="E31" s="124">
        <v>17</v>
      </c>
      <c r="F31" s="124">
        <v>966</v>
      </c>
      <c r="G31" s="124">
        <v>152</v>
      </c>
      <c r="H31" s="124">
        <v>2532</v>
      </c>
      <c r="I31" s="125">
        <f t="shared" si="3"/>
        <v>16.657894736842106</v>
      </c>
      <c r="J31" s="126">
        <f t="shared" si="4"/>
        <v>0.15734989648033126</v>
      </c>
      <c r="K31" s="127">
        <f t="shared" si="5"/>
        <v>330.26086956521738</v>
      </c>
      <c r="L31" s="149">
        <f t="shared" si="6"/>
        <v>2201.7391304347825</v>
      </c>
      <c r="M31" s="124">
        <v>215.84</v>
      </c>
      <c r="N31" s="150">
        <f t="shared" si="7"/>
        <v>1985.8991304347826</v>
      </c>
      <c r="O31" s="130"/>
      <c r="P31" s="124">
        <v>1190.3399999999999</v>
      </c>
      <c r="Q31" s="125">
        <f t="shared" si="8"/>
        <v>7.831184210526315</v>
      </c>
      <c r="R31" s="124">
        <v>24</v>
      </c>
      <c r="S31" s="132">
        <f t="shared" si="9"/>
        <v>0.15789473684210525</v>
      </c>
      <c r="T31" s="133">
        <f t="shared" si="10"/>
        <v>155.26173913043476</v>
      </c>
      <c r="U31" s="133">
        <f t="shared" si="11"/>
        <v>1035.0782608695652</v>
      </c>
      <c r="V31" s="124">
        <v>101</v>
      </c>
      <c r="W31" s="126">
        <f t="shared" si="12"/>
        <v>0.66447368421052633</v>
      </c>
      <c r="X31" s="124">
        <v>489.5</v>
      </c>
      <c r="Y31" s="126">
        <f t="shared" si="13"/>
        <v>0.41122704437387642</v>
      </c>
      <c r="Z31" s="134"/>
      <c r="AA31" s="125">
        <f t="shared" si="14"/>
        <v>2532</v>
      </c>
      <c r="AB31" s="125">
        <f t="shared" si="15"/>
        <v>1985.8991304347826</v>
      </c>
      <c r="AC31" s="135">
        <f t="shared" si="16"/>
        <v>1190.3399999999999</v>
      </c>
      <c r="AD31" s="136">
        <f t="shared" si="17"/>
        <v>1035.0782608695652</v>
      </c>
      <c r="AE31" s="125">
        <f t="shared" si="18"/>
        <v>3722.34</v>
      </c>
      <c r="AF31" s="46">
        <f t="shared" si="19"/>
        <v>3020.9773913043477</v>
      </c>
    </row>
    <row r="32" spans="2:32" ht="15" customHeight="1" x14ac:dyDescent="0.25">
      <c r="B32" s="90">
        <v>46223</v>
      </c>
      <c r="C32" s="155" t="s">
        <v>62</v>
      </c>
      <c r="D32" s="123">
        <v>238</v>
      </c>
      <c r="E32" s="124">
        <v>16</v>
      </c>
      <c r="F32" s="124">
        <v>902</v>
      </c>
      <c r="G32" s="124">
        <v>19</v>
      </c>
      <c r="H32" s="124">
        <v>360</v>
      </c>
      <c r="I32" s="125">
        <f t="shared" si="3"/>
        <v>18.94736842105263</v>
      </c>
      <c r="J32" s="126">
        <f t="shared" si="4"/>
        <v>2.1064301552106431E-2</v>
      </c>
      <c r="K32" s="127">
        <f t="shared" si="5"/>
        <v>46.956521739130437</v>
      </c>
      <c r="L32" s="149">
        <f t="shared" si="6"/>
        <v>313.04347826086956</v>
      </c>
      <c r="M32" s="124">
        <v>31.31</v>
      </c>
      <c r="N32" s="150">
        <f t="shared" si="7"/>
        <v>281.73347826086956</v>
      </c>
      <c r="O32" s="130"/>
      <c r="P32" s="124">
        <v>451</v>
      </c>
      <c r="Q32" s="125">
        <f t="shared" si="8"/>
        <v>23.736842105263158</v>
      </c>
      <c r="R32" s="124">
        <v>13</v>
      </c>
      <c r="S32" s="132">
        <f t="shared" si="9"/>
        <v>0.68421052631578949</v>
      </c>
      <c r="T32" s="133">
        <f t="shared" si="10"/>
        <v>58.826086956521742</v>
      </c>
      <c r="U32" s="133">
        <f t="shared" si="11"/>
        <v>392.17391304347825</v>
      </c>
      <c r="V32" s="124">
        <v>19</v>
      </c>
      <c r="W32" s="126">
        <f t="shared" si="12"/>
        <v>1</v>
      </c>
      <c r="X32" s="124">
        <v>80.67</v>
      </c>
      <c r="Y32" s="126">
        <f t="shared" si="13"/>
        <v>0.17886917960088691</v>
      </c>
      <c r="Z32" s="134"/>
      <c r="AA32" s="125">
        <f t="shared" si="14"/>
        <v>360</v>
      </c>
      <c r="AB32" s="125">
        <f t="shared" si="15"/>
        <v>281.73347826086956</v>
      </c>
      <c r="AC32" s="135">
        <f t="shared" si="16"/>
        <v>451</v>
      </c>
      <c r="AD32" s="136">
        <f t="shared" si="17"/>
        <v>392.17391304347825</v>
      </c>
      <c r="AE32" s="125">
        <f t="shared" si="18"/>
        <v>811</v>
      </c>
      <c r="AF32" s="46">
        <f t="shared" si="19"/>
        <v>673.90739130434781</v>
      </c>
    </row>
    <row r="33" spans="2:32" ht="15" customHeight="1" x14ac:dyDescent="0.25">
      <c r="B33" s="90">
        <v>46224</v>
      </c>
      <c r="C33" s="155" t="s">
        <v>63</v>
      </c>
      <c r="D33" s="123">
        <v>238</v>
      </c>
      <c r="E33" s="124">
        <v>16</v>
      </c>
      <c r="F33" s="124">
        <v>902</v>
      </c>
      <c r="G33" s="124">
        <v>57</v>
      </c>
      <c r="H33" s="124">
        <v>1024</v>
      </c>
      <c r="I33" s="125">
        <f t="shared" si="3"/>
        <v>17.964912280701753</v>
      </c>
      <c r="J33" s="126">
        <f t="shared" si="4"/>
        <v>6.3192904656319285E-2</v>
      </c>
      <c r="K33" s="127">
        <f t="shared" si="5"/>
        <v>133.56521739130434</v>
      </c>
      <c r="L33" s="149">
        <f t="shared" si="6"/>
        <v>890.43478260869563</v>
      </c>
      <c r="M33" s="124">
        <v>80.36</v>
      </c>
      <c r="N33" s="150">
        <f t="shared" si="7"/>
        <v>810.07478260869561</v>
      </c>
      <c r="O33" s="130"/>
      <c r="P33" s="124">
        <v>1148</v>
      </c>
      <c r="Q33" s="125">
        <f t="shared" si="8"/>
        <v>20.140350877192983</v>
      </c>
      <c r="R33" s="124">
        <v>25</v>
      </c>
      <c r="S33" s="132">
        <f t="shared" si="9"/>
        <v>0.43859649122807015</v>
      </c>
      <c r="T33" s="133">
        <f t="shared" si="10"/>
        <v>149.7391304347826</v>
      </c>
      <c r="U33" s="133">
        <f t="shared" si="11"/>
        <v>998.26086956521738</v>
      </c>
      <c r="V33" s="124">
        <v>59</v>
      </c>
      <c r="W33" s="126">
        <f t="shared" si="12"/>
        <v>1.0350877192982457</v>
      </c>
      <c r="X33" s="124">
        <v>206.79</v>
      </c>
      <c r="Y33" s="126">
        <f t="shared" si="13"/>
        <v>0.18013066202090591</v>
      </c>
      <c r="Z33" s="134"/>
      <c r="AA33" s="125">
        <f t="shared" si="14"/>
        <v>1024</v>
      </c>
      <c r="AB33" s="125">
        <f t="shared" si="15"/>
        <v>810.07478260869561</v>
      </c>
      <c r="AC33" s="135">
        <f t="shared" si="16"/>
        <v>1148</v>
      </c>
      <c r="AD33" s="136">
        <f t="shared" si="17"/>
        <v>998.26086956521738</v>
      </c>
      <c r="AE33" s="125">
        <f t="shared" si="18"/>
        <v>2172</v>
      </c>
      <c r="AF33" s="46">
        <f t="shared" si="19"/>
        <v>1808.3356521739129</v>
      </c>
    </row>
    <row r="34" spans="2:32" ht="15" customHeight="1" x14ac:dyDescent="0.25">
      <c r="B34" s="90">
        <v>46225</v>
      </c>
      <c r="C34" s="155" t="s">
        <v>64</v>
      </c>
      <c r="D34" s="123">
        <v>238</v>
      </c>
      <c r="E34" s="124">
        <v>16</v>
      </c>
      <c r="F34" s="124">
        <v>902</v>
      </c>
      <c r="G34" s="124">
        <v>39</v>
      </c>
      <c r="H34" s="124">
        <v>781</v>
      </c>
      <c r="I34" s="125">
        <f t="shared" si="3"/>
        <v>20.025641025641026</v>
      </c>
      <c r="J34" s="126">
        <f t="shared" si="4"/>
        <v>4.3237250554323724E-2</v>
      </c>
      <c r="K34" s="127">
        <f t="shared" si="5"/>
        <v>101.8695652173913</v>
      </c>
      <c r="L34" s="149">
        <f t="shared" si="6"/>
        <v>679.13043478260875</v>
      </c>
      <c r="M34" s="151">
        <v>61.4</v>
      </c>
      <c r="N34" s="150">
        <f t="shared" si="7"/>
        <v>617.73043478260877</v>
      </c>
      <c r="O34" s="130"/>
      <c r="P34" s="124">
        <v>821</v>
      </c>
      <c r="Q34" s="125">
        <f t="shared" si="8"/>
        <v>21.051282051282051</v>
      </c>
      <c r="R34" s="124">
        <v>17</v>
      </c>
      <c r="S34" s="132">
        <f t="shared" si="9"/>
        <v>0.4358974358974359</v>
      </c>
      <c r="T34" s="133">
        <f t="shared" si="10"/>
        <v>107.08695652173913</v>
      </c>
      <c r="U34" s="133">
        <f t="shared" si="11"/>
        <v>713.91304347826087</v>
      </c>
      <c r="V34" s="124">
        <v>38</v>
      </c>
      <c r="W34" s="126">
        <f t="shared" si="12"/>
        <v>0.97435897435897434</v>
      </c>
      <c r="X34" s="124">
        <v>156.68</v>
      </c>
      <c r="Y34" s="126">
        <f t="shared" si="13"/>
        <v>0.19084043848964677</v>
      </c>
      <c r="Z34" s="134"/>
      <c r="AA34" s="125">
        <f t="shared" si="14"/>
        <v>781</v>
      </c>
      <c r="AB34" s="125">
        <f t="shared" si="15"/>
        <v>617.73043478260877</v>
      </c>
      <c r="AC34" s="135">
        <f t="shared" si="16"/>
        <v>821</v>
      </c>
      <c r="AD34" s="136">
        <f t="shared" si="17"/>
        <v>713.91304347826087</v>
      </c>
      <c r="AE34" s="125">
        <f t="shared" si="18"/>
        <v>1602</v>
      </c>
      <c r="AF34" s="46">
        <f t="shared" si="19"/>
        <v>1331.6434782608696</v>
      </c>
    </row>
    <row r="35" spans="2:32" ht="15" customHeight="1" x14ac:dyDescent="0.25">
      <c r="B35" s="90">
        <v>46226</v>
      </c>
      <c r="C35" s="124" t="s">
        <v>57</v>
      </c>
      <c r="D35" s="123">
        <v>238</v>
      </c>
      <c r="E35" s="64">
        <v>25</v>
      </c>
      <c r="F35" s="124">
        <v>1458</v>
      </c>
      <c r="G35" s="124">
        <v>63</v>
      </c>
      <c r="H35" s="124">
        <v>1712</v>
      </c>
      <c r="I35" s="125">
        <f t="shared" si="3"/>
        <v>27.174603174603174</v>
      </c>
      <c r="J35" s="126">
        <f t="shared" si="4"/>
        <v>4.3209876543209874E-2</v>
      </c>
      <c r="K35" s="127">
        <f t="shared" si="5"/>
        <v>223.30434782608697</v>
      </c>
      <c r="L35" s="149">
        <f t="shared" si="6"/>
        <v>1488.695652173913</v>
      </c>
      <c r="M35" s="151">
        <v>148.87</v>
      </c>
      <c r="N35" s="150">
        <f t="shared" si="7"/>
        <v>1339.8256521739131</v>
      </c>
      <c r="O35" s="130"/>
      <c r="P35" s="124">
        <v>1331</v>
      </c>
      <c r="Q35" s="125">
        <f t="shared" si="8"/>
        <v>21.126984126984127</v>
      </c>
      <c r="R35" s="124">
        <v>22</v>
      </c>
      <c r="S35" s="132">
        <f t="shared" si="9"/>
        <v>0.34920634920634919</v>
      </c>
      <c r="T35" s="133">
        <f t="shared" si="10"/>
        <v>173.60869565217391</v>
      </c>
      <c r="U35" s="133">
        <f t="shared" si="11"/>
        <v>1157.391304347826</v>
      </c>
      <c r="V35" s="124">
        <v>70</v>
      </c>
      <c r="W35" s="126">
        <f t="shared" si="12"/>
        <v>1.1111111111111112</v>
      </c>
      <c r="X35" s="124">
        <v>289.95999999999998</v>
      </c>
      <c r="Y35" s="126">
        <f t="shared" si="13"/>
        <v>0.21785123966942146</v>
      </c>
      <c r="Z35" s="134"/>
      <c r="AA35" s="125">
        <f t="shared" si="14"/>
        <v>1712</v>
      </c>
      <c r="AB35" s="125">
        <f t="shared" si="15"/>
        <v>1339.8256521739131</v>
      </c>
      <c r="AC35" s="135">
        <f t="shared" si="16"/>
        <v>1331</v>
      </c>
      <c r="AD35" s="136">
        <f t="shared" si="17"/>
        <v>1157.391304347826</v>
      </c>
      <c r="AE35" s="125">
        <f t="shared" si="18"/>
        <v>3043</v>
      </c>
      <c r="AF35" s="46">
        <f t="shared" si="19"/>
        <v>2497.2169565217391</v>
      </c>
    </row>
    <row r="36" spans="2:32" ht="15" customHeight="1" x14ac:dyDescent="0.25">
      <c r="B36" s="90">
        <v>46227</v>
      </c>
      <c r="C36" s="124" t="s">
        <v>59</v>
      </c>
      <c r="D36" s="123">
        <v>238</v>
      </c>
      <c r="E36" s="124">
        <v>21</v>
      </c>
      <c r="F36" s="124">
        <v>1247</v>
      </c>
      <c r="G36" s="124">
        <v>91</v>
      </c>
      <c r="H36" s="124">
        <v>2098</v>
      </c>
      <c r="I36" s="125">
        <f t="shared" si="3"/>
        <v>23.054945054945055</v>
      </c>
      <c r="J36" s="126">
        <f t="shared" si="4"/>
        <v>7.2975140336808339E-2</v>
      </c>
      <c r="K36" s="127">
        <f t="shared" si="5"/>
        <v>273.6521739130435</v>
      </c>
      <c r="L36" s="149">
        <f t="shared" si="6"/>
        <v>1824.3478260869565</v>
      </c>
      <c r="M36" s="151">
        <v>182.42</v>
      </c>
      <c r="N36" s="150">
        <f t="shared" si="7"/>
        <v>1641.9278260869564</v>
      </c>
      <c r="O36" s="130"/>
      <c r="P36" s="124">
        <v>1453</v>
      </c>
      <c r="Q36" s="125">
        <f t="shared" si="8"/>
        <v>15.967032967032967</v>
      </c>
      <c r="R36" s="124">
        <v>34</v>
      </c>
      <c r="S36" s="132">
        <f t="shared" si="9"/>
        <v>0.37362637362637363</v>
      </c>
      <c r="T36" s="133">
        <f t="shared" si="10"/>
        <v>189.52173913043478</v>
      </c>
      <c r="U36" s="133">
        <f t="shared" si="11"/>
        <v>1263.4782608695652</v>
      </c>
      <c r="V36" s="124">
        <v>65</v>
      </c>
      <c r="W36" s="126">
        <f t="shared" si="12"/>
        <v>0.7142857142857143</v>
      </c>
      <c r="X36" s="124">
        <v>257.88</v>
      </c>
      <c r="Y36" s="126">
        <f t="shared" si="13"/>
        <v>0.17748107364074328</v>
      </c>
      <c r="Z36" s="134"/>
      <c r="AA36" s="125">
        <f t="shared" si="14"/>
        <v>2098</v>
      </c>
      <c r="AB36" s="125">
        <f t="shared" si="15"/>
        <v>1641.9278260869564</v>
      </c>
      <c r="AC36" s="135">
        <f t="shared" si="16"/>
        <v>1453</v>
      </c>
      <c r="AD36" s="136">
        <f t="shared" si="17"/>
        <v>1263.4782608695652</v>
      </c>
      <c r="AE36" s="125">
        <f t="shared" si="18"/>
        <v>3551</v>
      </c>
      <c r="AF36" s="46">
        <f t="shared" si="19"/>
        <v>2905.4060869565219</v>
      </c>
    </row>
    <row r="37" spans="2:32" ht="15" customHeight="1" x14ac:dyDescent="0.25">
      <c r="B37" s="90">
        <v>46228</v>
      </c>
      <c r="C37" s="124" t="s">
        <v>60</v>
      </c>
      <c r="D37" s="123">
        <v>238</v>
      </c>
      <c r="E37" s="124">
        <v>24</v>
      </c>
      <c r="F37" s="124">
        <v>1421</v>
      </c>
      <c r="G37" s="124">
        <v>21</v>
      </c>
      <c r="H37" s="124">
        <v>438</v>
      </c>
      <c r="I37" s="125">
        <f t="shared" si="3"/>
        <v>20.857142857142858</v>
      </c>
      <c r="J37" s="126">
        <f t="shared" si="4"/>
        <v>1.4778325123152709E-2</v>
      </c>
      <c r="K37" s="127">
        <f t="shared" si="5"/>
        <v>57.130434782608695</v>
      </c>
      <c r="L37" s="127">
        <f t="shared" si="6"/>
        <v>380.86956521739131</v>
      </c>
      <c r="M37" s="152">
        <v>38.08</v>
      </c>
      <c r="N37" s="129">
        <f t="shared" si="7"/>
        <v>342.78956521739133</v>
      </c>
      <c r="O37" s="130"/>
      <c r="P37" s="124">
        <v>807</v>
      </c>
      <c r="Q37" s="125">
        <f t="shared" si="8"/>
        <v>38.428571428571431</v>
      </c>
      <c r="R37" s="124">
        <v>20</v>
      </c>
      <c r="S37" s="132">
        <f t="shared" si="9"/>
        <v>0.95238095238095233</v>
      </c>
      <c r="T37" s="133">
        <f t="shared" si="10"/>
        <v>105.26086956521739</v>
      </c>
      <c r="U37" s="133">
        <f t="shared" si="11"/>
        <v>701.73913043478262</v>
      </c>
      <c r="V37" s="124">
        <v>37</v>
      </c>
      <c r="W37" s="126">
        <f t="shared" si="12"/>
        <v>1.7619047619047619</v>
      </c>
      <c r="X37" s="124">
        <v>155.54</v>
      </c>
      <c r="Y37" s="126">
        <f t="shared" si="13"/>
        <v>0.19273853779429986</v>
      </c>
      <c r="Z37" s="134"/>
      <c r="AA37" s="125">
        <f t="shared" si="14"/>
        <v>438</v>
      </c>
      <c r="AB37" s="125">
        <f t="shared" si="15"/>
        <v>342.78956521739133</v>
      </c>
      <c r="AC37" s="135">
        <f t="shared" si="16"/>
        <v>807</v>
      </c>
      <c r="AD37" s="136">
        <f t="shared" si="17"/>
        <v>701.73913043478262</v>
      </c>
      <c r="AE37" s="125">
        <f t="shared" si="18"/>
        <v>1245</v>
      </c>
      <c r="AF37" s="46">
        <f t="shared" si="19"/>
        <v>1044.5286956521741</v>
      </c>
    </row>
    <row r="38" spans="2:32" ht="15" customHeight="1" x14ac:dyDescent="0.25">
      <c r="B38" s="90">
        <v>46229</v>
      </c>
      <c r="C38" s="124" t="s">
        <v>61</v>
      </c>
      <c r="D38" s="123">
        <v>238</v>
      </c>
      <c r="E38" s="124">
        <v>16</v>
      </c>
      <c r="F38" s="124">
        <v>952</v>
      </c>
      <c r="G38" s="124">
        <v>48</v>
      </c>
      <c r="H38" s="153">
        <v>968</v>
      </c>
      <c r="I38" s="125">
        <f t="shared" si="3"/>
        <v>20.166666666666668</v>
      </c>
      <c r="J38" s="126">
        <f t="shared" si="4"/>
        <v>5.0420168067226892E-2</v>
      </c>
      <c r="K38" s="127">
        <f t="shared" si="5"/>
        <v>126.26086956521739</v>
      </c>
      <c r="L38" s="127">
        <f t="shared" si="6"/>
        <v>841.73913043478262</v>
      </c>
      <c r="M38" s="5">
        <v>84.18</v>
      </c>
      <c r="N38" s="129">
        <f t="shared" si="7"/>
        <v>757.55913043478267</v>
      </c>
      <c r="O38" s="130"/>
      <c r="P38" s="124">
        <v>1247</v>
      </c>
      <c r="Q38" s="125">
        <f t="shared" si="8"/>
        <v>25.979166666666668</v>
      </c>
      <c r="R38" s="124">
        <v>32</v>
      </c>
      <c r="S38" s="132">
        <f t="shared" si="9"/>
        <v>0.66666666666666663</v>
      </c>
      <c r="T38" s="133">
        <f t="shared" si="10"/>
        <v>162.65217391304347</v>
      </c>
      <c r="U38" s="133">
        <f t="shared" si="11"/>
        <v>1084.3478260869565</v>
      </c>
      <c r="V38" s="124">
        <v>49</v>
      </c>
      <c r="W38" s="126">
        <f t="shared" si="12"/>
        <v>1.0208333333333333</v>
      </c>
      <c r="X38" s="124">
        <v>226.96</v>
      </c>
      <c r="Y38" s="126">
        <f t="shared" si="13"/>
        <v>0.18200481154771453</v>
      </c>
      <c r="Z38" s="134"/>
      <c r="AA38" s="125">
        <f t="shared" si="14"/>
        <v>968</v>
      </c>
      <c r="AB38" s="125">
        <f t="shared" si="15"/>
        <v>757.55913043478267</v>
      </c>
      <c r="AC38" s="135">
        <f t="shared" si="16"/>
        <v>1247</v>
      </c>
      <c r="AD38" s="136">
        <f t="shared" si="17"/>
        <v>1084.3478260869565</v>
      </c>
      <c r="AE38" s="125">
        <f t="shared" si="18"/>
        <v>2215</v>
      </c>
      <c r="AF38" s="46">
        <f t="shared" si="19"/>
        <v>1841.9069565217392</v>
      </c>
    </row>
    <row r="39" spans="2:32" ht="15" customHeight="1" x14ac:dyDescent="0.25">
      <c r="B39" s="90">
        <v>46230</v>
      </c>
      <c r="C39" s="124" t="s">
        <v>62</v>
      </c>
      <c r="D39" s="123">
        <v>238</v>
      </c>
      <c r="E39" s="124">
        <v>16</v>
      </c>
      <c r="F39" s="124">
        <v>952</v>
      </c>
      <c r="G39" s="124">
        <v>103</v>
      </c>
      <c r="H39" s="124">
        <v>2102</v>
      </c>
      <c r="I39" s="125">
        <f t="shared" si="3"/>
        <v>20.407766990291261</v>
      </c>
      <c r="J39" s="126">
        <f t="shared" si="4"/>
        <v>0.10819327731092437</v>
      </c>
      <c r="K39" s="127">
        <f t="shared" si="5"/>
        <v>274.17391304347825</v>
      </c>
      <c r="L39" s="127">
        <f t="shared" si="6"/>
        <v>1827.8260869565217</v>
      </c>
      <c r="M39" s="5">
        <v>182.8</v>
      </c>
      <c r="N39" s="129">
        <f t="shared" si="7"/>
        <v>1645.0260869565218</v>
      </c>
      <c r="O39" s="130"/>
      <c r="P39" s="124">
        <v>3065</v>
      </c>
      <c r="Q39" s="125">
        <f t="shared" si="8"/>
        <v>29.757281553398059</v>
      </c>
      <c r="R39" s="124">
        <v>57</v>
      </c>
      <c r="S39" s="132">
        <f t="shared" si="9"/>
        <v>0.55339805825242716</v>
      </c>
      <c r="T39" s="133">
        <f t="shared" si="10"/>
        <v>399.78260869565219</v>
      </c>
      <c r="U39" s="133">
        <f t="shared" si="11"/>
        <v>2665.217391304348</v>
      </c>
      <c r="V39" s="124">
        <v>127</v>
      </c>
      <c r="W39" s="126">
        <f t="shared" si="12"/>
        <v>1.233009708737864</v>
      </c>
      <c r="X39" s="154">
        <v>563.73</v>
      </c>
      <c r="Y39" s="126">
        <f t="shared" si="13"/>
        <v>0.18392495921696575</v>
      </c>
      <c r="Z39" s="134"/>
      <c r="AA39" s="125">
        <f t="shared" si="14"/>
        <v>2102</v>
      </c>
      <c r="AB39" s="125">
        <f t="shared" si="15"/>
        <v>1645.0260869565218</v>
      </c>
      <c r="AC39" s="135">
        <f t="shared" si="16"/>
        <v>3065</v>
      </c>
      <c r="AD39" s="136">
        <f t="shared" si="17"/>
        <v>2665.217391304348</v>
      </c>
      <c r="AE39" s="125">
        <f t="shared" si="18"/>
        <v>5167</v>
      </c>
      <c r="AF39" s="46">
        <f t="shared" si="19"/>
        <v>4310.2434782608698</v>
      </c>
    </row>
    <row r="40" spans="2:32" ht="15" customHeight="1" x14ac:dyDescent="0.25">
      <c r="B40" s="90">
        <v>46231</v>
      </c>
      <c r="C40" s="124" t="s">
        <v>63</v>
      </c>
      <c r="D40" s="123">
        <v>238</v>
      </c>
      <c r="E40" s="124">
        <v>16</v>
      </c>
      <c r="F40" s="124">
        <v>952</v>
      </c>
      <c r="G40" s="124">
        <v>78</v>
      </c>
      <c r="H40" s="124">
        <v>1690</v>
      </c>
      <c r="I40" s="125">
        <f t="shared" si="3"/>
        <v>21.666666666666668</v>
      </c>
      <c r="J40" s="126">
        <f t="shared" si="4"/>
        <v>8.1932773109243698E-2</v>
      </c>
      <c r="K40" s="127">
        <f t="shared" si="5"/>
        <v>220.43478260869566</v>
      </c>
      <c r="L40" s="127">
        <f t="shared" si="6"/>
        <v>1469.5652173913043</v>
      </c>
      <c r="M40" s="124">
        <v>146.97</v>
      </c>
      <c r="N40" s="129">
        <f t="shared" si="7"/>
        <v>1322.5952173913042</v>
      </c>
      <c r="O40" s="5"/>
      <c r="P40" s="124">
        <v>2697</v>
      </c>
      <c r="Q40" s="125">
        <f t="shared" si="8"/>
        <v>34.57692307692308</v>
      </c>
      <c r="R40" s="124">
        <v>57</v>
      </c>
      <c r="S40" s="132">
        <f t="shared" si="9"/>
        <v>0.73076923076923073</v>
      </c>
      <c r="T40" s="133">
        <f t="shared" si="10"/>
        <v>351.78260869565219</v>
      </c>
      <c r="U40" s="133">
        <f t="shared" si="11"/>
        <v>2345.217391304348</v>
      </c>
      <c r="V40" s="124">
        <v>110</v>
      </c>
      <c r="W40" s="126">
        <f t="shared" si="12"/>
        <v>1.4102564102564104</v>
      </c>
      <c r="X40" s="124">
        <v>530.96</v>
      </c>
      <c r="Y40" s="126">
        <f t="shared" si="13"/>
        <v>0.19687059695958473</v>
      </c>
      <c r="Z40" s="134"/>
      <c r="AA40" s="125">
        <f t="shared" si="14"/>
        <v>1690</v>
      </c>
      <c r="AB40" s="125">
        <f t="shared" si="15"/>
        <v>1322.5952173913042</v>
      </c>
      <c r="AC40" s="135">
        <f t="shared" si="16"/>
        <v>2697</v>
      </c>
      <c r="AD40" s="136">
        <f t="shared" si="17"/>
        <v>2345.217391304348</v>
      </c>
      <c r="AE40" s="125">
        <f t="shared" si="18"/>
        <v>4387</v>
      </c>
      <c r="AF40" s="46">
        <f t="shared" si="19"/>
        <v>3667.8126086956522</v>
      </c>
    </row>
    <row r="41" spans="2:32" ht="15" customHeight="1" x14ac:dyDescent="0.25">
      <c r="B41" s="90">
        <v>46232</v>
      </c>
      <c r="C41" s="124" t="s">
        <v>64</v>
      </c>
      <c r="D41" s="123">
        <v>238</v>
      </c>
      <c r="E41" s="124">
        <v>16</v>
      </c>
      <c r="F41" s="124">
        <v>952</v>
      </c>
      <c r="G41" s="124">
        <v>102</v>
      </c>
      <c r="H41" s="124">
        <v>2502</v>
      </c>
      <c r="I41" s="125">
        <f t="shared" si="3"/>
        <v>24.529411764705884</v>
      </c>
      <c r="J41" s="126">
        <f t="shared" si="4"/>
        <v>0.10714285714285714</v>
      </c>
      <c r="K41" s="127">
        <f t="shared" si="5"/>
        <v>326.3478260869565</v>
      </c>
      <c r="L41" s="127">
        <f t="shared" si="6"/>
        <v>2175.6521739130435</v>
      </c>
      <c r="M41" s="124">
        <v>217.57</v>
      </c>
      <c r="N41" s="129">
        <f t="shared" si="7"/>
        <v>1958.0821739130436</v>
      </c>
      <c r="O41" s="130"/>
      <c r="P41" s="124">
        <v>2163</v>
      </c>
      <c r="Q41" s="125">
        <f t="shared" si="8"/>
        <v>21.205882352941178</v>
      </c>
      <c r="R41" s="124">
        <v>44</v>
      </c>
      <c r="S41" s="132">
        <f t="shared" si="9"/>
        <v>0.43137254901960786</v>
      </c>
      <c r="T41" s="133">
        <f t="shared" si="10"/>
        <v>282.13043478260869</v>
      </c>
      <c r="U41" s="133">
        <f t="shared" si="11"/>
        <v>1880.8695652173913</v>
      </c>
      <c r="V41" s="124">
        <v>95</v>
      </c>
      <c r="W41" s="126">
        <f t="shared" si="12"/>
        <v>0.93137254901960786</v>
      </c>
      <c r="X41" s="124">
        <v>410.74</v>
      </c>
      <c r="Y41" s="126">
        <f t="shared" si="13"/>
        <v>0.18989366620434581</v>
      </c>
      <c r="Z41" s="134"/>
      <c r="AA41" s="125">
        <f t="shared" si="14"/>
        <v>2502</v>
      </c>
      <c r="AB41" s="125">
        <f t="shared" si="15"/>
        <v>1958.0821739130436</v>
      </c>
      <c r="AC41" s="135">
        <f t="shared" si="16"/>
        <v>2163</v>
      </c>
      <c r="AD41" s="136">
        <f t="shared" si="17"/>
        <v>1880.8695652173913</v>
      </c>
      <c r="AE41" s="125">
        <f t="shared" si="18"/>
        <v>4665</v>
      </c>
      <c r="AF41" s="46">
        <f t="shared" si="19"/>
        <v>3838.9517391304348</v>
      </c>
    </row>
    <row r="42" spans="2:32" ht="15" customHeight="1" x14ac:dyDescent="0.25">
      <c r="B42" s="90">
        <v>46233</v>
      </c>
      <c r="C42" s="124" t="s">
        <v>57</v>
      </c>
      <c r="D42" s="123">
        <v>238</v>
      </c>
      <c r="E42" s="124">
        <v>21</v>
      </c>
      <c r="F42" s="124">
        <v>1247</v>
      </c>
      <c r="G42" s="124">
        <v>101</v>
      </c>
      <c r="H42" s="124">
        <v>3950</v>
      </c>
      <c r="I42" s="125">
        <f t="shared" si="3"/>
        <v>39.10891089108911</v>
      </c>
      <c r="J42" s="126">
        <f t="shared" si="4"/>
        <v>8.0994386527666398E-2</v>
      </c>
      <c r="K42" s="127">
        <f t="shared" si="5"/>
        <v>515.21739130434787</v>
      </c>
      <c r="L42" s="127">
        <f t="shared" si="6"/>
        <v>3434.782608695652</v>
      </c>
      <c r="M42" s="124">
        <v>343.45</v>
      </c>
      <c r="N42" s="129">
        <f t="shared" si="7"/>
        <v>3091.3326086956522</v>
      </c>
      <c r="O42" s="130"/>
      <c r="P42" s="124">
        <v>1682.8</v>
      </c>
      <c r="Q42" s="125">
        <f t="shared" si="8"/>
        <v>16.66138613861386</v>
      </c>
      <c r="R42" s="124">
        <v>48</v>
      </c>
      <c r="S42" s="132">
        <f t="shared" si="9"/>
        <v>0.47524752475247523</v>
      </c>
      <c r="T42" s="133">
        <f t="shared" si="10"/>
        <v>219.49565217391304</v>
      </c>
      <c r="U42" s="133">
        <f t="shared" si="11"/>
        <v>1463.304347826087</v>
      </c>
      <c r="V42" s="124">
        <v>69</v>
      </c>
      <c r="W42" s="126">
        <f t="shared" si="12"/>
        <v>0.68316831683168322</v>
      </c>
      <c r="X42" s="124">
        <v>328.85</v>
      </c>
      <c r="Y42" s="126">
        <f t="shared" si="13"/>
        <v>0.19541835036843358</v>
      </c>
      <c r="Z42" s="134"/>
      <c r="AA42" s="125">
        <f t="shared" si="14"/>
        <v>3950</v>
      </c>
      <c r="AB42" s="125">
        <f t="shared" si="15"/>
        <v>3091.3326086956522</v>
      </c>
      <c r="AC42" s="135">
        <f t="shared" si="16"/>
        <v>1682.8</v>
      </c>
      <c r="AD42" s="136">
        <f t="shared" si="17"/>
        <v>1463.304347826087</v>
      </c>
      <c r="AE42" s="125">
        <f t="shared" si="18"/>
        <v>5632.8</v>
      </c>
      <c r="AF42" s="46">
        <f t="shared" si="19"/>
        <v>4554.6369565217392</v>
      </c>
    </row>
    <row r="43" spans="2:32" ht="15" customHeight="1" x14ac:dyDescent="0.25">
      <c r="B43" s="90">
        <v>46234</v>
      </c>
      <c r="C43" s="124" t="s">
        <v>59</v>
      </c>
      <c r="D43" s="123">
        <v>238</v>
      </c>
      <c r="E43" s="124">
        <v>18</v>
      </c>
      <c r="F43" s="124">
        <v>1089</v>
      </c>
      <c r="G43" s="124">
        <v>97</v>
      </c>
      <c r="H43" s="124">
        <v>3886</v>
      </c>
      <c r="I43" s="125">
        <f t="shared" si="3"/>
        <v>40.061855670103093</v>
      </c>
      <c r="J43" s="126">
        <f t="shared" si="4"/>
        <v>8.9072543617998157E-2</v>
      </c>
      <c r="K43" s="127">
        <f t="shared" si="5"/>
        <v>506.86956521739131</v>
      </c>
      <c r="L43" s="127">
        <f t="shared" si="6"/>
        <v>3379.1304347826085</v>
      </c>
      <c r="M43" s="124">
        <v>337.89</v>
      </c>
      <c r="N43" s="129">
        <f t="shared" si="7"/>
        <v>3041.2404347826086</v>
      </c>
      <c r="O43" s="130"/>
      <c r="P43" s="124">
        <v>1599</v>
      </c>
      <c r="Q43" s="125">
        <f t="shared" si="8"/>
        <v>16.484536082474225</v>
      </c>
      <c r="R43" s="124">
        <v>38</v>
      </c>
      <c r="S43" s="132">
        <f t="shared" si="9"/>
        <v>0.39175257731958762</v>
      </c>
      <c r="T43" s="133">
        <f t="shared" si="10"/>
        <v>208.56521739130434</v>
      </c>
      <c r="U43" s="133">
        <f t="shared" si="11"/>
        <v>1390.4347826086957</v>
      </c>
      <c r="V43" s="124">
        <v>66</v>
      </c>
      <c r="W43" s="126">
        <f t="shared" si="12"/>
        <v>0.68041237113402064</v>
      </c>
      <c r="X43" s="124">
        <v>331.16</v>
      </c>
      <c r="Y43" s="126">
        <f t="shared" si="13"/>
        <v>0.207104440275172</v>
      </c>
      <c r="Z43" s="134"/>
      <c r="AA43" s="125">
        <f t="shared" si="14"/>
        <v>3886</v>
      </c>
      <c r="AB43" s="125">
        <f t="shared" si="15"/>
        <v>3041.2404347826086</v>
      </c>
      <c r="AC43" s="135">
        <f t="shared" si="16"/>
        <v>1599</v>
      </c>
      <c r="AD43" s="136">
        <f t="shared" si="17"/>
        <v>1390.4347826086957</v>
      </c>
      <c r="AE43" s="125">
        <f t="shared" si="18"/>
        <v>5485</v>
      </c>
      <c r="AF43" s="46">
        <f t="shared" si="19"/>
        <v>4431.6752173913046</v>
      </c>
    </row>
    <row r="44" spans="2:32" ht="15" customHeight="1" x14ac:dyDescent="0.25">
      <c r="B44" s="184" t="s">
        <v>27</v>
      </c>
      <c r="C44" s="184"/>
      <c r="D44" s="137">
        <f>AVERAGE(D13:D43)</f>
        <v>238</v>
      </c>
      <c r="E44" s="137">
        <f>SUM(E13:E43)</f>
        <v>603</v>
      </c>
      <c r="F44" s="137">
        <f>SUM(F13:F43)</f>
        <v>35215</v>
      </c>
      <c r="G44" s="137">
        <f>SUM(G13:G43)</f>
        <v>2303</v>
      </c>
      <c r="H44" s="138">
        <f>SUM(H13:H43)</f>
        <v>51129.5</v>
      </c>
      <c r="I44" s="139">
        <f t="shared" si="3"/>
        <v>22.201259227095093</v>
      </c>
      <c r="J44" s="140">
        <f>IFERROR((G44/F44),0)</f>
        <v>6.5398267783614933E-2</v>
      </c>
      <c r="K44" s="141">
        <f>SUM(K13:K43)</f>
        <v>6669.0652173913031</v>
      </c>
      <c r="L44" s="141">
        <f>SUM(L13:L43)</f>
        <v>44460.434782608689</v>
      </c>
      <c r="M44" s="142">
        <f>SUM(M13:M43)</f>
        <v>4025.3299999999995</v>
      </c>
      <c r="N44" s="138">
        <f>SUM(N13:N43)</f>
        <v>40435.104782608694</v>
      </c>
      <c r="O44" s="8"/>
      <c r="P44" s="139">
        <f>SUM(P13:P43)</f>
        <v>46102.47</v>
      </c>
      <c r="Q44" s="139">
        <f t="shared" si="8"/>
        <v>20.018441163699524</v>
      </c>
      <c r="R44" s="137">
        <f>SUM(R13:R43)</f>
        <v>1031</v>
      </c>
      <c r="S44" s="132">
        <f t="shared" si="9"/>
        <v>0.44767694311767259</v>
      </c>
      <c r="T44" s="141">
        <f>SUM(T13:T43)</f>
        <v>6013.3656521739113</v>
      </c>
      <c r="U44" s="142">
        <f>SUM(U13:U43)</f>
        <v>40089.104347826098</v>
      </c>
      <c r="V44" s="143">
        <f>SUM(V13:V43)</f>
        <v>2156</v>
      </c>
      <c r="W44" s="141">
        <f t="shared" si="12"/>
        <v>0.93617021276595747</v>
      </c>
      <c r="X44" s="139">
        <f>SUM(X13:X43)</f>
        <v>8934.74</v>
      </c>
      <c r="Y44" s="140">
        <f t="shared" si="13"/>
        <v>0.19380176376667019</v>
      </c>
      <c r="Z44" s="144"/>
      <c r="AA44" s="139">
        <f t="shared" ref="AA44:AF44" si="20">SUM(AA13:AA43)</f>
        <v>51129.5</v>
      </c>
      <c r="AB44" s="139">
        <f t="shared" si="20"/>
        <v>40435.104782608694</v>
      </c>
      <c r="AC44" s="139">
        <f t="shared" si="20"/>
        <v>46102.47</v>
      </c>
      <c r="AD44" s="145">
        <f t="shared" si="20"/>
        <v>40089.104347826098</v>
      </c>
      <c r="AE44" s="139">
        <f t="shared" si="20"/>
        <v>97231.97</v>
      </c>
      <c r="AF44" s="139">
        <f t="shared" si="20"/>
        <v>80524.209130434785</v>
      </c>
    </row>
    <row r="58" spans="21:22" ht="15" customHeight="1" x14ac:dyDescent="0.25">
      <c r="U58" s="5"/>
      <c r="V58" s="5"/>
    </row>
    <row r="59" spans="21:22" ht="15" customHeight="1" x14ac:dyDescent="0.25">
      <c r="U59" s="5"/>
      <c r="V59" s="5"/>
    </row>
    <row r="60" spans="21:22" ht="15" customHeight="1" x14ac:dyDescent="0.25">
      <c r="U60" s="5"/>
      <c r="V60" s="5"/>
    </row>
    <row r="61" spans="21:22" ht="15" customHeight="1" x14ac:dyDescent="0.25">
      <c r="U61" s="5"/>
      <c r="V61" s="5"/>
    </row>
    <row r="62" spans="21:22" ht="15" customHeight="1" x14ac:dyDescent="0.25">
      <c r="U62" s="5"/>
      <c r="V62" s="5"/>
    </row>
    <row r="63" spans="21:22" ht="15" customHeight="1" x14ac:dyDescent="0.25">
      <c r="U63" s="5"/>
      <c r="V63" s="5"/>
    </row>
    <row r="64" spans="21:22" ht="15" customHeight="1" x14ac:dyDescent="0.25">
      <c r="U64" s="5"/>
      <c r="V64" s="5"/>
    </row>
    <row r="65" spans="21:22" ht="15" customHeight="1" x14ac:dyDescent="0.25">
      <c r="U65" s="5"/>
      <c r="V65" s="5"/>
    </row>
    <row r="66" spans="21:22" ht="15" customHeight="1" x14ac:dyDescent="0.25">
      <c r="U66" s="5"/>
      <c r="V66" s="5"/>
    </row>
    <row r="67" spans="21:22" ht="15" customHeight="1" x14ac:dyDescent="0.25">
      <c r="U67" s="5"/>
      <c r="V67" s="5"/>
    </row>
    <row r="68" spans="21:22" ht="15" customHeight="1" x14ac:dyDescent="0.25">
      <c r="U68" s="5"/>
      <c r="V68" s="5"/>
    </row>
    <row r="69" spans="21:22" ht="15" customHeight="1" x14ac:dyDescent="0.25">
      <c r="U69" s="5"/>
      <c r="V69" s="5"/>
    </row>
    <row r="70" spans="21:22" ht="15" customHeight="1" x14ac:dyDescent="0.25">
      <c r="U70" s="5"/>
      <c r="V70" s="5"/>
    </row>
    <row r="71" spans="21:22" ht="15" customHeight="1" x14ac:dyDescent="0.25">
      <c r="U71" s="5"/>
      <c r="V71" s="5"/>
    </row>
    <row r="72" spans="21:22" ht="15" customHeight="1" x14ac:dyDescent="0.25">
      <c r="U72" s="5"/>
      <c r="V72" s="5"/>
    </row>
    <row r="73" spans="21:22" ht="15" customHeight="1" x14ac:dyDescent="0.25">
      <c r="U73" s="5"/>
      <c r="V73" s="5"/>
    </row>
    <row r="74" spans="21:22" ht="15" customHeight="1" x14ac:dyDescent="0.25">
      <c r="U74" s="5"/>
      <c r="V74" s="5"/>
    </row>
    <row r="75" spans="21:22" ht="15" customHeight="1" x14ac:dyDescent="0.25">
      <c r="U75" s="5"/>
      <c r="V75" s="5"/>
    </row>
    <row r="76" spans="21:22" ht="15" customHeight="1" x14ac:dyDescent="0.25">
      <c r="U76" s="5"/>
      <c r="V76" s="5"/>
    </row>
    <row r="77" spans="21:22" ht="15" customHeight="1" x14ac:dyDescent="0.25">
      <c r="U77" s="5"/>
      <c r="V77" s="5"/>
    </row>
    <row r="78" spans="21:22" ht="15" customHeight="1" x14ac:dyDescent="0.25">
      <c r="U78" s="5"/>
      <c r="V78" s="5"/>
    </row>
    <row r="79" spans="21:22" ht="15" customHeight="1" x14ac:dyDescent="0.25">
      <c r="U79" s="5"/>
      <c r="V79" s="5"/>
    </row>
    <row r="80" spans="21:22" ht="15" customHeight="1" x14ac:dyDescent="0.25">
      <c r="U80" s="5"/>
      <c r="V80" s="5"/>
    </row>
    <row r="81" spans="21:22" ht="15" customHeight="1" x14ac:dyDescent="0.25">
      <c r="U81" s="5"/>
      <c r="V81" s="5"/>
    </row>
    <row r="82" spans="21:22" ht="15" customHeight="1" x14ac:dyDescent="0.25">
      <c r="U82" s="5"/>
      <c r="V82" s="5"/>
    </row>
    <row r="83" spans="21:22" ht="15" customHeight="1" x14ac:dyDescent="0.25">
      <c r="U83" s="5"/>
      <c r="V83" s="5"/>
    </row>
    <row r="84" spans="21:22" ht="15" customHeight="1" x14ac:dyDescent="0.25">
      <c r="U84" s="5"/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4:C44"/>
    <mergeCell ref="G10:N10"/>
    <mergeCell ref="P10:Y10"/>
    <mergeCell ref="AA10:AB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F84"/>
  <sheetViews>
    <sheetView topLeftCell="A31" zoomScaleNormal="100" workbookViewId="0">
      <selection activeCell="C49" sqref="C49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8" width="10" style="58" customWidth="1"/>
    <col min="9" max="9" width="9.7109375" style="58" customWidth="1"/>
    <col min="10" max="10" width="9.7109375" style="59" customWidth="1"/>
    <col min="11" max="11" width="10.28515625" style="60" customWidth="1"/>
    <col min="12" max="12" width="11.2851562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3" width="9.7109375" style="58" customWidth="1"/>
    <col min="24" max="24" width="11.5703125" style="58" customWidth="1"/>
    <col min="25" max="25" width="9.7109375" style="58" customWidth="1"/>
    <col min="26" max="26" width="1.7109375" style="58" customWidth="1"/>
    <col min="27" max="27" width="10.28515625" style="58" customWidth="1"/>
    <col min="28" max="30" width="9.7109375" style="58" customWidth="1"/>
    <col min="31" max="32" width="10.28515625" style="58" customWidth="1"/>
    <col min="33" max="16384" width="13.5703125" style="58"/>
  </cols>
  <sheetData>
    <row r="2" spans="2:32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2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2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2" s="64" customFormat="1" ht="14.25" customHeight="1" x14ac:dyDescent="0.25">
      <c r="B5" s="193" t="s">
        <v>2</v>
      </c>
      <c r="C5" s="193"/>
      <c r="D5" s="196" t="s">
        <v>3</v>
      </c>
      <c r="E5" s="196"/>
      <c r="F5" s="196"/>
      <c r="G5" s="193" t="s">
        <v>12</v>
      </c>
      <c r="H5" s="193"/>
      <c r="I5" s="194">
        <v>46235</v>
      </c>
      <c r="J5" s="194"/>
      <c r="K5" s="3"/>
      <c r="L5" s="3"/>
      <c r="M5" s="3"/>
      <c r="S5" s="101"/>
    </row>
    <row r="6" spans="2:32" s="64" customFormat="1" ht="14.25" customHeight="1" x14ac:dyDescent="0.25">
      <c r="B6" s="193" t="s">
        <v>6</v>
      </c>
      <c r="C6" s="193"/>
      <c r="D6" s="195" t="s">
        <v>32</v>
      </c>
      <c r="E6" s="195"/>
      <c r="F6" s="195"/>
      <c r="G6" s="193" t="s">
        <v>33</v>
      </c>
      <c r="H6" s="193"/>
      <c r="I6" s="193">
        <v>2026</v>
      </c>
      <c r="J6" s="193"/>
      <c r="K6" s="3"/>
      <c r="L6" s="3"/>
      <c r="M6" s="3"/>
      <c r="S6" s="101"/>
    </row>
    <row r="7" spans="2:32" s="64" customFormat="1" ht="14.25" customHeight="1" x14ac:dyDescent="0.25">
      <c r="B7" s="193" t="s">
        <v>9</v>
      </c>
      <c r="C7" s="193"/>
      <c r="D7" s="195">
        <v>4</v>
      </c>
      <c r="E7" s="195"/>
      <c r="F7" s="195"/>
      <c r="G7" s="193" t="s">
        <v>8</v>
      </c>
      <c r="H7" s="193"/>
      <c r="I7" s="191">
        <v>0.15</v>
      </c>
      <c r="J7" s="191"/>
      <c r="K7" s="3"/>
      <c r="L7" s="3"/>
      <c r="M7" s="3"/>
      <c r="S7" s="101"/>
    </row>
    <row r="8" spans="2:32" s="64" customFormat="1" ht="15.75" customHeight="1" x14ac:dyDescent="0.25">
      <c r="B8" s="193" t="s">
        <v>11</v>
      </c>
      <c r="C8" s="193"/>
      <c r="D8" s="195">
        <v>238</v>
      </c>
      <c r="E8" s="195"/>
      <c r="F8" s="195"/>
      <c r="G8" s="193" t="s">
        <v>10</v>
      </c>
      <c r="H8" s="193"/>
      <c r="I8" s="191">
        <v>0.1</v>
      </c>
      <c r="J8" s="191"/>
      <c r="K8" s="3"/>
      <c r="L8" s="3"/>
      <c r="M8" s="3"/>
      <c r="S8" s="101"/>
    </row>
    <row r="9" spans="2:32" ht="15.75" customHeight="1" x14ac:dyDescent="0.25">
      <c r="B9" s="197"/>
      <c r="C9" s="197"/>
      <c r="D9" s="197"/>
      <c r="E9" s="197"/>
      <c r="F9" s="67"/>
    </row>
    <row r="10" spans="2:32" ht="49.5" customHeight="1" x14ac:dyDescent="0.25">
      <c r="B10" s="102"/>
      <c r="C10" s="103"/>
      <c r="D10" s="104"/>
      <c r="E10" s="104"/>
      <c r="F10" s="105"/>
      <c r="G10" s="187" t="s">
        <v>34</v>
      </c>
      <c r="H10" s="187"/>
      <c r="I10" s="187"/>
      <c r="J10" s="187"/>
      <c r="K10" s="187"/>
      <c r="L10" s="187"/>
      <c r="M10" s="187"/>
      <c r="N10" s="187"/>
      <c r="O10" s="147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06" customFormat="1" ht="57.75" customHeight="1" x14ac:dyDescent="0.25">
      <c r="B11" s="146" t="s">
        <v>29</v>
      </c>
      <c r="C11" s="146" t="s">
        <v>39</v>
      </c>
      <c r="D11" s="146" t="s">
        <v>11</v>
      </c>
      <c r="E11" s="146" t="s">
        <v>40</v>
      </c>
      <c r="F11" s="146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2" s="106" customFormat="1" ht="14.25" customHeight="1" x14ac:dyDescent="0.25">
      <c r="B12" s="183" t="s">
        <v>56</v>
      </c>
      <c r="C12" s="183"/>
      <c r="D12" s="1">
        <f t="shared" ref="D12:N12" si="0">D44</f>
        <v>238</v>
      </c>
      <c r="E12" s="114">
        <f t="shared" si="0"/>
        <v>563</v>
      </c>
      <c r="F12" s="114">
        <f t="shared" si="0"/>
        <v>33311</v>
      </c>
      <c r="G12" s="114">
        <f t="shared" si="0"/>
        <v>4624</v>
      </c>
      <c r="H12" s="115">
        <f t="shared" si="0"/>
        <v>142046.72</v>
      </c>
      <c r="I12" s="115">
        <f t="shared" si="0"/>
        <v>30.719446366782009</v>
      </c>
      <c r="J12" s="116">
        <f t="shared" si="0"/>
        <v>0.13881300471315783</v>
      </c>
      <c r="K12" s="115">
        <f t="shared" si="0"/>
        <v>18527.833043478258</v>
      </c>
      <c r="L12" s="115">
        <f t="shared" si="0"/>
        <v>123518.88695652172</v>
      </c>
      <c r="M12" s="115">
        <f t="shared" si="0"/>
        <v>11220.85</v>
      </c>
      <c r="N12" s="115">
        <f t="shared" si="0"/>
        <v>112298.03695652177</v>
      </c>
      <c r="O12" s="110"/>
      <c r="P12" s="117">
        <f t="shared" ref="P12:Y12" si="1">P44</f>
        <v>60976.94</v>
      </c>
      <c r="Q12" s="117">
        <f t="shared" si="1"/>
        <v>13.187054498269896</v>
      </c>
      <c r="R12" s="118">
        <f t="shared" si="1"/>
        <v>1526</v>
      </c>
      <c r="S12" s="119">
        <f t="shared" si="1"/>
        <v>0.33001730103806226</v>
      </c>
      <c r="T12" s="117">
        <f t="shared" si="1"/>
        <v>7953.5139130434791</v>
      </c>
      <c r="U12" s="117">
        <f t="shared" si="1"/>
        <v>53023.426086956533</v>
      </c>
      <c r="V12" s="118">
        <f t="shared" si="1"/>
        <v>2648</v>
      </c>
      <c r="W12" s="116">
        <f t="shared" si="1"/>
        <v>0.5726643598615917</v>
      </c>
      <c r="X12" s="117">
        <f t="shared" si="1"/>
        <v>11368.46</v>
      </c>
      <c r="Y12" s="116">
        <f t="shared" si="1"/>
        <v>0.1864386766538301</v>
      </c>
      <c r="Z12" s="110"/>
      <c r="AA12" s="117">
        <f t="shared" ref="AA12:AF12" si="2">AA44</f>
        <v>142046.72</v>
      </c>
      <c r="AB12" s="117">
        <f t="shared" si="2"/>
        <v>112298.03695652177</v>
      </c>
      <c r="AC12" s="117">
        <f t="shared" si="2"/>
        <v>60976.94</v>
      </c>
      <c r="AD12" s="120">
        <f t="shared" si="2"/>
        <v>53023.426086956533</v>
      </c>
      <c r="AE12" s="117">
        <f t="shared" si="2"/>
        <v>203023.65999999997</v>
      </c>
      <c r="AF12" s="117">
        <f t="shared" si="2"/>
        <v>165321.46304347826</v>
      </c>
    </row>
    <row r="13" spans="2:32" ht="15" customHeight="1" x14ac:dyDescent="0.25">
      <c r="B13" s="90">
        <v>46235</v>
      </c>
      <c r="C13" s="124" t="s">
        <v>60</v>
      </c>
      <c r="D13" s="123">
        <v>238</v>
      </c>
      <c r="E13" s="124">
        <v>21</v>
      </c>
      <c r="F13" s="124">
        <v>1247</v>
      </c>
      <c r="G13" s="124">
        <v>76</v>
      </c>
      <c r="H13" s="124">
        <v>2912.39</v>
      </c>
      <c r="I13" s="125">
        <f t="shared" ref="I13:I44" si="3">IFERROR(H13/G13,0)</f>
        <v>38.320921052631576</v>
      </c>
      <c r="J13" s="126">
        <f t="shared" ref="J13:J43" si="4">IFERROR(G13/F13,0)</f>
        <v>6.094627105052125E-2</v>
      </c>
      <c r="K13" s="127">
        <f t="shared" ref="K13:K43" si="5">H13*15/115</f>
        <v>379.87695652173915</v>
      </c>
      <c r="L13" s="127">
        <f t="shared" ref="L13:L43" si="6">H13-K13</f>
        <v>2532.5130434782609</v>
      </c>
      <c r="M13" s="128">
        <v>253.23</v>
      </c>
      <c r="N13" s="129">
        <f t="shared" ref="N13:N43" si="7">L13-M13</f>
        <v>2279.2830434782609</v>
      </c>
      <c r="O13" s="130"/>
      <c r="P13" s="46">
        <v>1514.39</v>
      </c>
      <c r="Q13" s="125">
        <f t="shared" ref="Q13:Q44" si="8">IFERROR(P13/G13,0)</f>
        <v>19.926184210526316</v>
      </c>
      <c r="R13" s="131">
        <v>36</v>
      </c>
      <c r="S13" s="132">
        <f t="shared" ref="S13:S44" si="9">IFERROR((R13/G13),0)</f>
        <v>0.47368421052631576</v>
      </c>
      <c r="T13" s="133">
        <f t="shared" ref="T13:T43" si="10">P13*15/115</f>
        <v>197.52913043478262</v>
      </c>
      <c r="U13" s="133">
        <f t="shared" ref="U13:U43" si="11">P13-T13</f>
        <v>1316.8608695652174</v>
      </c>
      <c r="V13" s="131">
        <v>56</v>
      </c>
      <c r="W13" s="126">
        <f t="shared" ref="W13:W44" si="12">IFERROR(V13/G13,0)</f>
        <v>0.73684210526315785</v>
      </c>
      <c r="X13" s="46">
        <v>301.92</v>
      </c>
      <c r="Y13" s="126">
        <f t="shared" ref="Y13:Y44" si="13">IFERROR((X13/P13),0)</f>
        <v>0.19936740205627348</v>
      </c>
      <c r="Z13" s="134"/>
      <c r="AA13" s="125">
        <f t="shared" ref="AA13:AA43" si="14">H13</f>
        <v>2912.39</v>
      </c>
      <c r="AB13" s="125">
        <f t="shared" ref="AB13:AB43" si="15">N13</f>
        <v>2279.2830434782609</v>
      </c>
      <c r="AC13" s="135">
        <f t="shared" ref="AC13:AC43" si="16">P13</f>
        <v>1514.39</v>
      </c>
      <c r="AD13" s="136">
        <f t="shared" ref="AD13:AD43" si="17">U13</f>
        <v>1316.8608695652174</v>
      </c>
      <c r="AE13" s="125">
        <f t="shared" ref="AE13:AE43" si="18">AA13+AC13</f>
        <v>4426.78</v>
      </c>
      <c r="AF13" s="46">
        <f t="shared" ref="AF13:AF43" si="19">AB13+AD13</f>
        <v>3596.1439130434783</v>
      </c>
    </row>
    <row r="14" spans="2:32" ht="15" customHeight="1" x14ac:dyDescent="0.25">
      <c r="B14" s="90">
        <v>46236</v>
      </c>
      <c r="C14" s="124" t="s">
        <v>61</v>
      </c>
      <c r="D14" s="123">
        <v>238</v>
      </c>
      <c r="E14" s="124">
        <v>14</v>
      </c>
      <c r="F14" s="124">
        <v>808</v>
      </c>
      <c r="G14" s="124">
        <v>153</v>
      </c>
      <c r="H14" s="124">
        <v>3423.21</v>
      </c>
      <c r="I14" s="125">
        <f t="shared" si="3"/>
        <v>22.373921568627452</v>
      </c>
      <c r="J14" s="126">
        <f t="shared" si="4"/>
        <v>0.18935643564356436</v>
      </c>
      <c r="K14" s="127">
        <f t="shared" si="5"/>
        <v>446.50565217391306</v>
      </c>
      <c r="L14" s="127">
        <f t="shared" si="6"/>
        <v>2976.7043478260871</v>
      </c>
      <c r="M14" s="128">
        <v>297.7</v>
      </c>
      <c r="N14" s="129">
        <f t="shared" si="7"/>
        <v>2679.0043478260873</v>
      </c>
      <c r="O14" s="130"/>
      <c r="P14" s="46">
        <v>3004.2</v>
      </c>
      <c r="Q14" s="125">
        <f t="shared" si="8"/>
        <v>19.635294117647057</v>
      </c>
      <c r="R14" s="131">
        <v>74</v>
      </c>
      <c r="S14" s="132">
        <f t="shared" si="9"/>
        <v>0.48366013071895425</v>
      </c>
      <c r="T14" s="133">
        <f t="shared" si="10"/>
        <v>391.85217391304349</v>
      </c>
      <c r="U14" s="133">
        <f t="shared" si="11"/>
        <v>2612.3478260869565</v>
      </c>
      <c r="V14" s="131">
        <v>124</v>
      </c>
      <c r="W14" s="126">
        <f t="shared" si="12"/>
        <v>0.81045751633986929</v>
      </c>
      <c r="X14" s="46">
        <v>582.07000000000005</v>
      </c>
      <c r="Y14" s="126">
        <f t="shared" si="13"/>
        <v>0.19375208042074432</v>
      </c>
      <c r="Z14" s="134"/>
      <c r="AA14" s="125">
        <f t="shared" si="14"/>
        <v>3423.21</v>
      </c>
      <c r="AB14" s="125">
        <f t="shared" si="15"/>
        <v>2679.0043478260873</v>
      </c>
      <c r="AC14" s="135">
        <f t="shared" si="16"/>
        <v>3004.2</v>
      </c>
      <c r="AD14" s="136">
        <f t="shared" si="17"/>
        <v>2612.3478260869565</v>
      </c>
      <c r="AE14" s="125">
        <f t="shared" si="18"/>
        <v>6427.41</v>
      </c>
      <c r="AF14" s="46">
        <f t="shared" si="19"/>
        <v>5291.3521739130438</v>
      </c>
    </row>
    <row r="15" spans="2:32" ht="15" customHeight="1" x14ac:dyDescent="0.25">
      <c r="B15" s="90">
        <v>46237</v>
      </c>
      <c r="C15" s="124" t="s">
        <v>62</v>
      </c>
      <c r="D15" s="123">
        <v>238</v>
      </c>
      <c r="E15" s="124">
        <v>14</v>
      </c>
      <c r="F15" s="124">
        <v>808</v>
      </c>
      <c r="G15" s="124">
        <v>164</v>
      </c>
      <c r="H15" s="124">
        <v>3386</v>
      </c>
      <c r="I15" s="125">
        <f t="shared" si="3"/>
        <v>20.646341463414632</v>
      </c>
      <c r="J15" s="126">
        <f t="shared" si="4"/>
        <v>0.20297029702970298</v>
      </c>
      <c r="K15" s="127">
        <f t="shared" si="5"/>
        <v>441.6521739130435</v>
      </c>
      <c r="L15" s="127">
        <f t="shared" si="6"/>
        <v>2944.3478260869565</v>
      </c>
      <c r="M15" s="128">
        <v>294.47000000000003</v>
      </c>
      <c r="N15" s="129">
        <f t="shared" si="7"/>
        <v>2649.8778260869567</v>
      </c>
      <c r="O15" s="130"/>
      <c r="P15" s="46">
        <v>3258</v>
      </c>
      <c r="Q15" s="125">
        <f t="shared" si="8"/>
        <v>19.865853658536587</v>
      </c>
      <c r="R15" s="131">
        <v>70</v>
      </c>
      <c r="S15" s="132">
        <f t="shared" si="9"/>
        <v>0.42682926829268292</v>
      </c>
      <c r="T15" s="133">
        <f t="shared" si="10"/>
        <v>424.95652173913044</v>
      </c>
      <c r="U15" s="133">
        <f t="shared" si="11"/>
        <v>2833.0434782608695</v>
      </c>
      <c r="V15" s="131">
        <v>120</v>
      </c>
      <c r="W15" s="126">
        <f t="shared" si="12"/>
        <v>0.73170731707317072</v>
      </c>
      <c r="X15" s="46">
        <v>626.54</v>
      </c>
      <c r="Y15" s="126">
        <f t="shared" si="13"/>
        <v>0.19230816451810925</v>
      </c>
      <c r="Z15" s="134"/>
      <c r="AA15" s="125">
        <f t="shared" si="14"/>
        <v>3386</v>
      </c>
      <c r="AB15" s="125">
        <f t="shared" si="15"/>
        <v>2649.8778260869567</v>
      </c>
      <c r="AC15" s="135">
        <f t="shared" si="16"/>
        <v>3258</v>
      </c>
      <c r="AD15" s="136">
        <f t="shared" si="17"/>
        <v>2833.0434782608695</v>
      </c>
      <c r="AE15" s="125">
        <f t="shared" si="18"/>
        <v>6644</v>
      </c>
      <c r="AF15" s="46">
        <f t="shared" si="19"/>
        <v>5482.9213043478267</v>
      </c>
    </row>
    <row r="16" spans="2:32" ht="15" customHeight="1" x14ac:dyDescent="0.25">
      <c r="B16" s="90">
        <v>46238</v>
      </c>
      <c r="C16" s="124" t="s">
        <v>63</v>
      </c>
      <c r="D16" s="123">
        <v>238</v>
      </c>
      <c r="E16" s="124">
        <v>14</v>
      </c>
      <c r="F16" s="124">
        <v>808</v>
      </c>
      <c r="G16" s="124">
        <v>118</v>
      </c>
      <c r="H16" s="124">
        <v>2344</v>
      </c>
      <c r="I16" s="125">
        <f t="shared" si="3"/>
        <v>19.864406779661017</v>
      </c>
      <c r="J16" s="126">
        <f t="shared" si="4"/>
        <v>0.14603960396039603</v>
      </c>
      <c r="K16" s="127">
        <f t="shared" si="5"/>
        <v>305.73913043478262</v>
      </c>
      <c r="L16" s="127">
        <f t="shared" si="6"/>
        <v>2038.2608695652175</v>
      </c>
      <c r="M16" s="124">
        <v>203.85</v>
      </c>
      <c r="N16" s="129">
        <f t="shared" si="7"/>
        <v>1834.4108695652176</v>
      </c>
      <c r="O16" s="130"/>
      <c r="P16" s="46">
        <v>1810</v>
      </c>
      <c r="Q16" s="125">
        <f t="shared" si="8"/>
        <v>15.338983050847459</v>
      </c>
      <c r="R16" s="131">
        <v>46</v>
      </c>
      <c r="S16" s="132">
        <f t="shared" si="9"/>
        <v>0.38983050847457629</v>
      </c>
      <c r="T16" s="133">
        <f t="shared" si="10"/>
        <v>236.08695652173913</v>
      </c>
      <c r="U16" s="133">
        <f t="shared" si="11"/>
        <v>1573.913043478261</v>
      </c>
      <c r="V16" s="131">
        <v>75</v>
      </c>
      <c r="W16" s="126">
        <f t="shared" si="12"/>
        <v>0.63559322033898302</v>
      </c>
      <c r="X16" s="46">
        <v>360.19</v>
      </c>
      <c r="Y16" s="126">
        <f t="shared" si="13"/>
        <v>0.19900000000000001</v>
      </c>
      <c r="Z16" s="134"/>
      <c r="AA16" s="125">
        <f t="shared" si="14"/>
        <v>2344</v>
      </c>
      <c r="AB16" s="125">
        <f t="shared" si="15"/>
        <v>1834.4108695652176</v>
      </c>
      <c r="AC16" s="135">
        <f t="shared" si="16"/>
        <v>1810</v>
      </c>
      <c r="AD16" s="136">
        <f t="shared" si="17"/>
        <v>1573.913043478261</v>
      </c>
      <c r="AE16" s="125">
        <f t="shared" si="18"/>
        <v>4154</v>
      </c>
      <c r="AF16" s="46">
        <f t="shared" si="19"/>
        <v>3408.3239130434786</v>
      </c>
    </row>
    <row r="17" spans="2:32" ht="15" customHeight="1" x14ac:dyDescent="0.25">
      <c r="B17" s="90">
        <v>46239</v>
      </c>
      <c r="C17" s="124" t="s">
        <v>64</v>
      </c>
      <c r="D17" s="123">
        <v>238</v>
      </c>
      <c r="E17" s="124">
        <v>14</v>
      </c>
      <c r="F17" s="124">
        <v>808</v>
      </c>
      <c r="G17" s="124">
        <v>164</v>
      </c>
      <c r="H17" s="124">
        <v>3490</v>
      </c>
      <c r="I17" s="125">
        <f t="shared" si="3"/>
        <v>21.280487804878049</v>
      </c>
      <c r="J17" s="126">
        <f t="shared" si="4"/>
        <v>0.20297029702970298</v>
      </c>
      <c r="K17" s="127">
        <f t="shared" si="5"/>
        <v>455.21739130434781</v>
      </c>
      <c r="L17" s="127">
        <f t="shared" si="6"/>
        <v>3034.782608695652</v>
      </c>
      <c r="M17" s="124">
        <v>303.51</v>
      </c>
      <c r="N17" s="129">
        <f t="shared" si="7"/>
        <v>2731.2726086956518</v>
      </c>
      <c r="O17" s="130"/>
      <c r="P17" s="124">
        <v>3493</v>
      </c>
      <c r="Q17" s="125">
        <f t="shared" si="8"/>
        <v>21.298780487804876</v>
      </c>
      <c r="R17" s="124">
        <v>67</v>
      </c>
      <c r="S17" s="132">
        <f t="shared" si="9"/>
        <v>0.40853658536585363</v>
      </c>
      <c r="T17" s="133">
        <f t="shared" si="10"/>
        <v>455.60869565217394</v>
      </c>
      <c r="U17" s="133">
        <f t="shared" si="11"/>
        <v>3037.391304347826</v>
      </c>
      <c r="V17" s="124">
        <v>156</v>
      </c>
      <c r="W17" s="126">
        <f t="shared" si="12"/>
        <v>0.95121951219512191</v>
      </c>
      <c r="X17" s="124">
        <v>656.67</v>
      </c>
      <c r="Y17" s="126">
        <f t="shared" si="13"/>
        <v>0.18799599198396794</v>
      </c>
      <c r="Z17" s="134"/>
      <c r="AA17" s="125">
        <f t="shared" si="14"/>
        <v>3490</v>
      </c>
      <c r="AB17" s="125">
        <f t="shared" si="15"/>
        <v>2731.2726086956518</v>
      </c>
      <c r="AC17" s="135">
        <f t="shared" si="16"/>
        <v>3493</v>
      </c>
      <c r="AD17" s="136">
        <f t="shared" si="17"/>
        <v>3037.391304347826</v>
      </c>
      <c r="AE17" s="125">
        <f t="shared" si="18"/>
        <v>6983</v>
      </c>
      <c r="AF17" s="46">
        <f t="shared" si="19"/>
        <v>5768.6639130434778</v>
      </c>
    </row>
    <row r="18" spans="2:32" ht="15" customHeight="1" x14ac:dyDescent="0.25">
      <c r="B18" s="90">
        <v>46240</v>
      </c>
      <c r="C18" s="124" t="s">
        <v>57</v>
      </c>
      <c r="D18" s="123">
        <v>238</v>
      </c>
      <c r="E18" s="124">
        <v>22</v>
      </c>
      <c r="F18" s="124">
        <v>1311</v>
      </c>
      <c r="G18" s="124">
        <v>137</v>
      </c>
      <c r="H18" s="124">
        <v>5440.78</v>
      </c>
      <c r="I18" s="125">
        <f t="shared" si="3"/>
        <v>39.713722627737226</v>
      </c>
      <c r="J18" s="126">
        <f t="shared" si="4"/>
        <v>0.10450038138825324</v>
      </c>
      <c r="K18" s="127">
        <f t="shared" si="5"/>
        <v>709.66695652173905</v>
      </c>
      <c r="L18" s="149">
        <f t="shared" si="6"/>
        <v>4731.1130434782608</v>
      </c>
      <c r="M18" s="124">
        <v>473.08</v>
      </c>
      <c r="N18" s="150">
        <f t="shared" si="7"/>
        <v>4258.0330434782609</v>
      </c>
      <c r="O18" s="130"/>
      <c r="P18" s="124">
        <v>2975</v>
      </c>
      <c r="Q18" s="125">
        <f t="shared" si="8"/>
        <v>21.715328467153284</v>
      </c>
      <c r="R18" s="124">
        <v>72</v>
      </c>
      <c r="S18" s="132">
        <f t="shared" si="9"/>
        <v>0.52554744525547448</v>
      </c>
      <c r="T18" s="133">
        <f t="shared" si="10"/>
        <v>388.04347826086956</v>
      </c>
      <c r="U18" s="133">
        <f t="shared" si="11"/>
        <v>2586.9565217391305</v>
      </c>
      <c r="V18" s="124">
        <v>117</v>
      </c>
      <c r="W18" s="126">
        <f t="shared" si="12"/>
        <v>0.85401459854014594</v>
      </c>
      <c r="X18" s="124">
        <v>563.19000000000005</v>
      </c>
      <c r="Y18" s="126">
        <f t="shared" si="13"/>
        <v>0.1893075630252101</v>
      </c>
      <c r="Z18" s="134"/>
      <c r="AA18" s="125">
        <f t="shared" si="14"/>
        <v>5440.78</v>
      </c>
      <c r="AB18" s="125">
        <f t="shared" si="15"/>
        <v>4258.0330434782609</v>
      </c>
      <c r="AC18" s="135">
        <f t="shared" si="16"/>
        <v>2975</v>
      </c>
      <c r="AD18" s="136">
        <f t="shared" si="17"/>
        <v>2586.9565217391305</v>
      </c>
      <c r="AE18" s="125">
        <f t="shared" si="18"/>
        <v>8415.7799999999988</v>
      </c>
      <c r="AF18" s="46">
        <f t="shared" si="19"/>
        <v>6844.9895652173909</v>
      </c>
    </row>
    <row r="19" spans="2:32" ht="15" customHeight="1" x14ac:dyDescent="0.25">
      <c r="B19" s="90">
        <v>46241</v>
      </c>
      <c r="C19" s="124" t="s">
        <v>59</v>
      </c>
      <c r="D19" s="123">
        <v>238</v>
      </c>
      <c r="E19" s="124">
        <v>20</v>
      </c>
      <c r="F19" s="124">
        <v>1190</v>
      </c>
      <c r="G19" s="124">
        <v>225</v>
      </c>
      <c r="H19" s="124">
        <v>8659.56</v>
      </c>
      <c r="I19" s="125">
        <f t="shared" si="3"/>
        <v>38.486933333333333</v>
      </c>
      <c r="J19" s="126">
        <f t="shared" si="4"/>
        <v>0.18907563025210083</v>
      </c>
      <c r="K19" s="127">
        <f t="shared" si="5"/>
        <v>1129.5078260869566</v>
      </c>
      <c r="L19" s="149">
        <f t="shared" si="6"/>
        <v>7530.0521739130427</v>
      </c>
      <c r="M19" s="124">
        <v>752.94</v>
      </c>
      <c r="N19" s="150">
        <f t="shared" si="7"/>
        <v>6777.1121739130431</v>
      </c>
      <c r="O19" s="130"/>
      <c r="P19" s="124">
        <v>2469</v>
      </c>
      <c r="Q19" s="125">
        <f t="shared" si="8"/>
        <v>10.973333333333333</v>
      </c>
      <c r="R19" s="124">
        <v>62</v>
      </c>
      <c r="S19" s="132">
        <f t="shared" si="9"/>
        <v>0.27555555555555555</v>
      </c>
      <c r="T19" s="133">
        <f t="shared" si="10"/>
        <v>322.04347826086956</v>
      </c>
      <c r="U19" s="133">
        <f t="shared" si="11"/>
        <v>2146.9565217391305</v>
      </c>
      <c r="V19" s="124">
        <v>95</v>
      </c>
      <c r="W19" s="126">
        <f t="shared" si="12"/>
        <v>0.42222222222222222</v>
      </c>
      <c r="X19" s="124">
        <v>473.83</v>
      </c>
      <c r="Y19" s="126">
        <f t="shared" si="13"/>
        <v>0.19191170514378289</v>
      </c>
      <c r="Z19" s="134"/>
      <c r="AA19" s="125">
        <f t="shared" si="14"/>
        <v>8659.56</v>
      </c>
      <c r="AB19" s="125">
        <f t="shared" si="15"/>
        <v>6777.1121739130431</v>
      </c>
      <c r="AC19" s="135">
        <f t="shared" si="16"/>
        <v>2469</v>
      </c>
      <c r="AD19" s="136">
        <f t="shared" si="17"/>
        <v>2146.9565217391305</v>
      </c>
      <c r="AE19" s="125">
        <f t="shared" si="18"/>
        <v>11128.56</v>
      </c>
      <c r="AF19" s="46">
        <f t="shared" si="19"/>
        <v>8924.0686956521731</v>
      </c>
    </row>
    <row r="20" spans="2:32" ht="15" customHeight="1" x14ac:dyDescent="0.25">
      <c r="B20" s="90">
        <v>46242</v>
      </c>
      <c r="C20" s="124" t="s">
        <v>60</v>
      </c>
      <c r="D20" s="123">
        <v>238</v>
      </c>
      <c r="E20" s="124">
        <v>21</v>
      </c>
      <c r="F20" s="124">
        <v>1247</v>
      </c>
      <c r="G20" s="124">
        <v>193</v>
      </c>
      <c r="H20" s="124">
        <v>7608</v>
      </c>
      <c r="I20" s="125">
        <f t="shared" si="3"/>
        <v>39.419689119170982</v>
      </c>
      <c r="J20" s="126">
        <f t="shared" si="4"/>
        <v>0.15477145148356056</v>
      </c>
      <c r="K20" s="127">
        <f t="shared" si="5"/>
        <v>992.3478260869565</v>
      </c>
      <c r="L20" s="149">
        <f t="shared" si="6"/>
        <v>6615.652173913044</v>
      </c>
      <c r="M20" s="124">
        <v>661.51</v>
      </c>
      <c r="N20" s="150">
        <f t="shared" si="7"/>
        <v>5954.1421739130437</v>
      </c>
      <c r="O20" s="130"/>
      <c r="P20" s="124">
        <v>2323</v>
      </c>
      <c r="Q20" s="125">
        <f t="shared" si="8"/>
        <v>12.036269430051814</v>
      </c>
      <c r="R20" s="124">
        <v>67</v>
      </c>
      <c r="S20" s="132">
        <f t="shared" si="9"/>
        <v>0.34715025906735753</v>
      </c>
      <c r="T20" s="133">
        <f t="shared" si="10"/>
        <v>303</v>
      </c>
      <c r="U20" s="133">
        <f t="shared" si="11"/>
        <v>2020</v>
      </c>
      <c r="V20" s="124">
        <v>94</v>
      </c>
      <c r="W20" s="126">
        <f t="shared" si="12"/>
        <v>0.48704663212435234</v>
      </c>
      <c r="X20" s="124">
        <v>433.98</v>
      </c>
      <c r="Y20" s="126">
        <f t="shared" si="13"/>
        <v>0.18681876883340509</v>
      </c>
      <c r="Z20" s="134"/>
      <c r="AA20" s="125">
        <f t="shared" si="14"/>
        <v>7608</v>
      </c>
      <c r="AB20" s="125">
        <f t="shared" si="15"/>
        <v>5954.1421739130437</v>
      </c>
      <c r="AC20" s="135">
        <f t="shared" si="16"/>
        <v>2323</v>
      </c>
      <c r="AD20" s="136">
        <f t="shared" si="17"/>
        <v>2020</v>
      </c>
      <c r="AE20" s="125">
        <f t="shared" si="18"/>
        <v>9931</v>
      </c>
      <c r="AF20" s="46">
        <f t="shared" si="19"/>
        <v>7974.1421739130437</v>
      </c>
    </row>
    <row r="21" spans="2:32" ht="15" customHeight="1" x14ac:dyDescent="0.25">
      <c r="B21" s="90">
        <v>46243</v>
      </c>
      <c r="C21" s="124" t="s">
        <v>61</v>
      </c>
      <c r="D21" s="123">
        <v>238</v>
      </c>
      <c r="E21" s="124">
        <v>16</v>
      </c>
      <c r="F21" s="124">
        <v>952</v>
      </c>
      <c r="G21" s="124">
        <v>182</v>
      </c>
      <c r="H21" s="124">
        <v>4298</v>
      </c>
      <c r="I21" s="125">
        <f t="shared" si="3"/>
        <v>23.615384615384617</v>
      </c>
      <c r="J21" s="126">
        <f t="shared" si="4"/>
        <v>0.19117647058823528</v>
      </c>
      <c r="K21" s="127">
        <f t="shared" si="5"/>
        <v>560.60869565217388</v>
      </c>
      <c r="L21" s="149">
        <f t="shared" si="6"/>
        <v>3737.391304347826</v>
      </c>
      <c r="M21" s="124">
        <v>373.78</v>
      </c>
      <c r="N21" s="150">
        <f t="shared" si="7"/>
        <v>3363.6113043478263</v>
      </c>
      <c r="O21" s="130"/>
      <c r="P21" s="124">
        <v>2400</v>
      </c>
      <c r="Q21" s="125">
        <f t="shared" si="8"/>
        <v>13.186813186813186</v>
      </c>
      <c r="R21" s="124">
        <v>65</v>
      </c>
      <c r="S21" s="132">
        <f t="shared" si="9"/>
        <v>0.35714285714285715</v>
      </c>
      <c r="T21" s="133">
        <f t="shared" si="10"/>
        <v>313.04347826086956</v>
      </c>
      <c r="U21" s="133">
        <f t="shared" si="11"/>
        <v>2086.9565217391305</v>
      </c>
      <c r="V21" s="124">
        <v>110</v>
      </c>
      <c r="W21" s="126">
        <f t="shared" si="12"/>
        <v>0.60439560439560436</v>
      </c>
      <c r="X21" s="124">
        <v>441.55</v>
      </c>
      <c r="Y21" s="126">
        <f t="shared" si="13"/>
        <v>0.18397916666666667</v>
      </c>
      <c r="Z21" s="134"/>
      <c r="AA21" s="125">
        <f t="shared" si="14"/>
        <v>4298</v>
      </c>
      <c r="AB21" s="125">
        <f t="shared" si="15"/>
        <v>3363.6113043478263</v>
      </c>
      <c r="AC21" s="135">
        <f t="shared" si="16"/>
        <v>2400</v>
      </c>
      <c r="AD21" s="136">
        <f t="shared" si="17"/>
        <v>2086.9565217391305</v>
      </c>
      <c r="AE21" s="125">
        <f t="shared" si="18"/>
        <v>6698</v>
      </c>
      <c r="AF21" s="46">
        <f t="shared" si="19"/>
        <v>5450.5678260869572</v>
      </c>
    </row>
    <row r="22" spans="2:32" ht="15" customHeight="1" x14ac:dyDescent="0.25">
      <c r="B22" s="90">
        <v>46244</v>
      </c>
      <c r="C22" s="124" t="s">
        <v>62</v>
      </c>
      <c r="D22" s="123">
        <v>238</v>
      </c>
      <c r="E22" s="124">
        <v>16</v>
      </c>
      <c r="F22" s="124">
        <v>952</v>
      </c>
      <c r="G22" s="124">
        <v>135</v>
      </c>
      <c r="H22" s="124">
        <v>2734</v>
      </c>
      <c r="I22" s="125">
        <f t="shared" si="3"/>
        <v>20.251851851851853</v>
      </c>
      <c r="J22" s="126">
        <f t="shared" si="4"/>
        <v>0.14180672268907563</v>
      </c>
      <c r="K22" s="127">
        <f t="shared" si="5"/>
        <v>356.60869565217394</v>
      </c>
      <c r="L22" s="149">
        <f t="shared" si="6"/>
        <v>2377.391304347826</v>
      </c>
      <c r="M22" s="124">
        <v>237.77</v>
      </c>
      <c r="N22" s="150">
        <f t="shared" si="7"/>
        <v>2139.621304347826</v>
      </c>
      <c r="O22" s="130"/>
      <c r="P22" s="124">
        <v>1614</v>
      </c>
      <c r="Q22" s="125">
        <f t="shared" si="8"/>
        <v>11.955555555555556</v>
      </c>
      <c r="R22" s="124">
        <v>44</v>
      </c>
      <c r="S22" s="132">
        <f t="shared" si="9"/>
        <v>0.32592592592592595</v>
      </c>
      <c r="T22" s="133">
        <f t="shared" si="10"/>
        <v>210.52173913043478</v>
      </c>
      <c r="U22" s="133">
        <f t="shared" si="11"/>
        <v>1403.4782608695652</v>
      </c>
      <c r="V22" s="124">
        <v>68</v>
      </c>
      <c r="W22" s="126">
        <f t="shared" si="12"/>
        <v>0.50370370370370365</v>
      </c>
      <c r="X22" s="124">
        <v>297.94</v>
      </c>
      <c r="Y22" s="126">
        <f t="shared" si="13"/>
        <v>0.18459727385377944</v>
      </c>
      <c r="Z22" s="134"/>
      <c r="AA22" s="125">
        <f t="shared" si="14"/>
        <v>2734</v>
      </c>
      <c r="AB22" s="125">
        <f t="shared" si="15"/>
        <v>2139.621304347826</v>
      </c>
      <c r="AC22" s="135">
        <f t="shared" si="16"/>
        <v>1614</v>
      </c>
      <c r="AD22" s="136">
        <f t="shared" si="17"/>
        <v>1403.4782608695652</v>
      </c>
      <c r="AE22" s="125">
        <f t="shared" si="18"/>
        <v>4348</v>
      </c>
      <c r="AF22" s="46">
        <f t="shared" si="19"/>
        <v>3543.0995652173915</v>
      </c>
    </row>
    <row r="23" spans="2:32" ht="15" customHeight="1" x14ac:dyDescent="0.25">
      <c r="B23" s="90">
        <v>46245</v>
      </c>
      <c r="C23" s="124" t="s">
        <v>63</v>
      </c>
      <c r="D23" s="123">
        <v>238</v>
      </c>
      <c r="E23" s="124">
        <v>16</v>
      </c>
      <c r="F23" s="124">
        <v>952</v>
      </c>
      <c r="G23" s="124">
        <v>125</v>
      </c>
      <c r="H23" s="124">
        <v>2672</v>
      </c>
      <c r="I23" s="125">
        <f t="shared" si="3"/>
        <v>21.376000000000001</v>
      </c>
      <c r="J23" s="126">
        <f t="shared" si="4"/>
        <v>0.13130252100840337</v>
      </c>
      <c r="K23" s="127">
        <f t="shared" si="5"/>
        <v>348.52173913043481</v>
      </c>
      <c r="L23" s="149">
        <f t="shared" si="6"/>
        <v>2323.478260869565</v>
      </c>
      <c r="M23" s="124">
        <v>232.37</v>
      </c>
      <c r="N23" s="150">
        <f t="shared" si="7"/>
        <v>2091.1082608695651</v>
      </c>
      <c r="O23" s="130"/>
      <c r="P23" s="124">
        <v>2767</v>
      </c>
      <c r="Q23" s="125">
        <f t="shared" si="8"/>
        <v>22.135999999999999</v>
      </c>
      <c r="R23" s="124">
        <v>64</v>
      </c>
      <c r="S23" s="132">
        <f t="shared" si="9"/>
        <v>0.51200000000000001</v>
      </c>
      <c r="T23" s="133">
        <f t="shared" si="10"/>
        <v>360.91304347826087</v>
      </c>
      <c r="U23" s="133">
        <f t="shared" si="11"/>
        <v>2406.086956521739</v>
      </c>
      <c r="V23" s="124">
        <v>123</v>
      </c>
      <c r="W23" s="126">
        <f t="shared" si="12"/>
        <v>0.98399999999999999</v>
      </c>
      <c r="X23" s="124">
        <v>488.49</v>
      </c>
      <c r="Y23" s="126">
        <f t="shared" si="13"/>
        <v>0.17654138055655946</v>
      </c>
      <c r="Z23" s="134"/>
      <c r="AA23" s="125">
        <f t="shared" si="14"/>
        <v>2672</v>
      </c>
      <c r="AB23" s="125">
        <f t="shared" si="15"/>
        <v>2091.1082608695651</v>
      </c>
      <c r="AC23" s="135">
        <f t="shared" si="16"/>
        <v>2767</v>
      </c>
      <c r="AD23" s="136">
        <f t="shared" si="17"/>
        <v>2406.086956521739</v>
      </c>
      <c r="AE23" s="125">
        <f t="shared" si="18"/>
        <v>5439</v>
      </c>
      <c r="AF23" s="46">
        <f t="shared" si="19"/>
        <v>4497.1952173913041</v>
      </c>
    </row>
    <row r="24" spans="2:32" ht="15" customHeight="1" x14ac:dyDescent="0.25">
      <c r="B24" s="90">
        <v>46246</v>
      </c>
      <c r="C24" s="124" t="s">
        <v>64</v>
      </c>
      <c r="D24" s="123">
        <v>238</v>
      </c>
      <c r="E24" s="124">
        <v>16</v>
      </c>
      <c r="F24" s="124">
        <v>952</v>
      </c>
      <c r="G24" s="124">
        <v>119</v>
      </c>
      <c r="H24" s="124">
        <v>2282</v>
      </c>
      <c r="I24" s="125">
        <f t="shared" si="3"/>
        <v>19.176470588235293</v>
      </c>
      <c r="J24" s="126">
        <f t="shared" si="4"/>
        <v>0.125</v>
      </c>
      <c r="K24" s="127">
        <f t="shared" si="5"/>
        <v>297.6521739130435</v>
      </c>
      <c r="L24" s="149">
        <f t="shared" si="6"/>
        <v>1984.3478260869565</v>
      </c>
      <c r="M24" s="124">
        <v>160.37</v>
      </c>
      <c r="N24" s="150">
        <f t="shared" si="7"/>
        <v>1823.9778260869566</v>
      </c>
      <c r="O24" s="130"/>
      <c r="P24" s="124">
        <v>1831</v>
      </c>
      <c r="Q24" s="125">
        <f t="shared" si="8"/>
        <v>15.38655462184874</v>
      </c>
      <c r="R24" s="124">
        <v>52</v>
      </c>
      <c r="S24" s="132">
        <f t="shared" si="9"/>
        <v>0.43697478991596639</v>
      </c>
      <c r="T24" s="133">
        <f t="shared" si="10"/>
        <v>238.82608695652175</v>
      </c>
      <c r="U24" s="133">
        <f t="shared" si="11"/>
        <v>1592.1739130434783</v>
      </c>
      <c r="V24" s="124">
        <v>74</v>
      </c>
      <c r="W24" s="126">
        <f t="shared" si="12"/>
        <v>0.62184873949579833</v>
      </c>
      <c r="X24" s="124">
        <v>348</v>
      </c>
      <c r="Y24" s="126">
        <f t="shared" si="13"/>
        <v>0.1900600764609503</v>
      </c>
      <c r="Z24" s="134"/>
      <c r="AA24" s="125">
        <f t="shared" si="14"/>
        <v>2282</v>
      </c>
      <c r="AB24" s="125">
        <f t="shared" si="15"/>
        <v>1823.9778260869566</v>
      </c>
      <c r="AC24" s="135">
        <f t="shared" si="16"/>
        <v>1831</v>
      </c>
      <c r="AD24" s="136">
        <f t="shared" si="17"/>
        <v>1592.1739130434783</v>
      </c>
      <c r="AE24" s="125">
        <f t="shared" si="18"/>
        <v>4113</v>
      </c>
      <c r="AF24" s="46">
        <f t="shared" si="19"/>
        <v>3416.1517391304351</v>
      </c>
    </row>
    <row r="25" spans="2:32" ht="15" customHeight="1" x14ac:dyDescent="0.25">
      <c r="B25" s="90">
        <v>46247</v>
      </c>
      <c r="C25" s="124" t="s">
        <v>57</v>
      </c>
      <c r="D25" s="123">
        <v>238</v>
      </c>
      <c r="E25" s="124">
        <v>23</v>
      </c>
      <c r="F25" s="124">
        <v>1368</v>
      </c>
      <c r="G25" s="124">
        <v>143</v>
      </c>
      <c r="H25" s="124">
        <v>5558.78</v>
      </c>
      <c r="I25" s="125">
        <f t="shared" si="3"/>
        <v>38.872587412587414</v>
      </c>
      <c r="J25" s="126">
        <f t="shared" si="4"/>
        <v>0.10453216374269006</v>
      </c>
      <c r="K25" s="127">
        <f t="shared" si="5"/>
        <v>725.05826086956517</v>
      </c>
      <c r="L25" s="149">
        <f t="shared" si="6"/>
        <v>4833.7217391304348</v>
      </c>
      <c r="M25" s="124">
        <v>408.73</v>
      </c>
      <c r="N25" s="150">
        <f t="shared" si="7"/>
        <v>4424.9917391304352</v>
      </c>
      <c r="O25" s="130"/>
      <c r="P25" s="124">
        <v>2029</v>
      </c>
      <c r="Q25" s="125">
        <f t="shared" si="8"/>
        <v>14.188811188811188</v>
      </c>
      <c r="R25" s="124">
        <v>52</v>
      </c>
      <c r="S25" s="132">
        <f t="shared" si="9"/>
        <v>0.36363636363636365</v>
      </c>
      <c r="T25" s="133">
        <f t="shared" si="10"/>
        <v>264.6521739130435</v>
      </c>
      <c r="U25" s="133">
        <f t="shared" si="11"/>
        <v>1764.3478260869565</v>
      </c>
      <c r="V25" s="124">
        <v>84</v>
      </c>
      <c r="W25" s="126">
        <f t="shared" si="12"/>
        <v>0.58741258741258739</v>
      </c>
      <c r="X25" s="124">
        <v>376.15</v>
      </c>
      <c r="Y25" s="126">
        <f t="shared" si="13"/>
        <v>0.18538689009364218</v>
      </c>
      <c r="Z25" s="134"/>
      <c r="AA25" s="125">
        <f t="shared" si="14"/>
        <v>5558.78</v>
      </c>
      <c r="AB25" s="125">
        <f t="shared" si="15"/>
        <v>4424.9917391304352</v>
      </c>
      <c r="AC25" s="135">
        <f t="shared" si="16"/>
        <v>2029</v>
      </c>
      <c r="AD25" s="136">
        <f t="shared" si="17"/>
        <v>1764.3478260869565</v>
      </c>
      <c r="AE25" s="125">
        <f t="shared" si="18"/>
        <v>7587.78</v>
      </c>
      <c r="AF25" s="46">
        <f t="shared" si="19"/>
        <v>6189.3395652173913</v>
      </c>
    </row>
    <row r="26" spans="2:32" ht="15" customHeight="1" x14ac:dyDescent="0.25">
      <c r="B26" s="90">
        <v>46248</v>
      </c>
      <c r="C26" s="124" t="s">
        <v>59</v>
      </c>
      <c r="D26" s="123">
        <v>238</v>
      </c>
      <c r="E26" s="5">
        <v>21</v>
      </c>
      <c r="F26" s="124">
        <v>1204</v>
      </c>
      <c r="G26" s="158">
        <v>178</v>
      </c>
      <c r="H26" s="159">
        <v>7194</v>
      </c>
      <c r="I26" s="125">
        <f t="shared" si="3"/>
        <v>40.415730337078649</v>
      </c>
      <c r="J26" s="126">
        <f t="shared" si="4"/>
        <v>0.14784053156146179</v>
      </c>
      <c r="K26" s="127">
        <f t="shared" si="5"/>
        <v>938.3478260869565</v>
      </c>
      <c r="L26" s="149">
        <f t="shared" si="6"/>
        <v>6255.652173913044</v>
      </c>
      <c r="M26" s="158">
        <v>486.92</v>
      </c>
      <c r="N26" s="150">
        <f t="shared" si="7"/>
        <v>5768.7321739130439</v>
      </c>
      <c r="O26" s="130"/>
      <c r="P26" s="159">
        <v>2417.67</v>
      </c>
      <c r="Q26" s="125">
        <f t="shared" si="8"/>
        <v>13.582415730337079</v>
      </c>
      <c r="R26" s="5">
        <v>59</v>
      </c>
      <c r="S26" s="132">
        <f t="shared" si="9"/>
        <v>0.33146067415730335</v>
      </c>
      <c r="T26" s="133">
        <f t="shared" si="10"/>
        <v>315.34826086956525</v>
      </c>
      <c r="U26" s="133">
        <f t="shared" si="11"/>
        <v>2102.3217391304347</v>
      </c>
      <c r="V26" s="5">
        <v>129</v>
      </c>
      <c r="W26" s="126">
        <f t="shared" si="12"/>
        <v>0.7247191011235955</v>
      </c>
      <c r="X26" s="158">
        <v>489.55</v>
      </c>
      <c r="Y26" s="126">
        <f t="shared" si="13"/>
        <v>0.20248834621763931</v>
      </c>
      <c r="Z26" s="134"/>
      <c r="AA26" s="125">
        <f t="shared" si="14"/>
        <v>7194</v>
      </c>
      <c r="AB26" s="125">
        <f t="shared" si="15"/>
        <v>5768.7321739130439</v>
      </c>
      <c r="AC26" s="135">
        <f t="shared" si="16"/>
        <v>2417.67</v>
      </c>
      <c r="AD26" s="136">
        <f t="shared" si="17"/>
        <v>2102.3217391304347</v>
      </c>
      <c r="AE26" s="125">
        <f t="shared" si="18"/>
        <v>9611.67</v>
      </c>
      <c r="AF26" s="46">
        <f t="shared" si="19"/>
        <v>7871.053913043479</v>
      </c>
    </row>
    <row r="27" spans="2:32" ht="15" customHeight="1" x14ac:dyDescent="0.25">
      <c r="B27" s="90">
        <v>46249</v>
      </c>
      <c r="C27" s="124" t="s">
        <v>60</v>
      </c>
      <c r="D27" s="123">
        <v>238</v>
      </c>
      <c r="E27" s="124">
        <v>22</v>
      </c>
      <c r="F27" s="124">
        <v>1311</v>
      </c>
      <c r="G27" s="124">
        <v>172</v>
      </c>
      <c r="H27" s="124">
        <v>6474</v>
      </c>
      <c r="I27" s="125">
        <f t="shared" si="3"/>
        <v>37.639534883720927</v>
      </c>
      <c r="J27" s="126">
        <f t="shared" si="4"/>
        <v>0.13119755911517925</v>
      </c>
      <c r="K27" s="127">
        <f t="shared" si="5"/>
        <v>844.43478260869563</v>
      </c>
      <c r="L27" s="149">
        <f t="shared" si="6"/>
        <v>5629.565217391304</v>
      </c>
      <c r="M27" s="124">
        <v>264.32</v>
      </c>
      <c r="N27" s="150">
        <f t="shared" si="7"/>
        <v>5365.2452173913043</v>
      </c>
      <c r="O27" s="130"/>
      <c r="P27" s="124">
        <v>2143</v>
      </c>
      <c r="Q27" s="125">
        <f t="shared" si="8"/>
        <v>12.459302325581396</v>
      </c>
      <c r="R27" s="124">
        <v>54</v>
      </c>
      <c r="S27" s="132">
        <f t="shared" si="9"/>
        <v>0.31395348837209303</v>
      </c>
      <c r="T27" s="133">
        <f t="shared" si="10"/>
        <v>279.52173913043481</v>
      </c>
      <c r="U27" s="133">
        <f t="shared" si="11"/>
        <v>1863.4782608695652</v>
      </c>
      <c r="V27" s="124">
        <v>95</v>
      </c>
      <c r="W27" s="126">
        <f t="shared" si="12"/>
        <v>0.55232558139534882</v>
      </c>
      <c r="X27" s="124">
        <v>402.98</v>
      </c>
      <c r="Y27" s="126">
        <f t="shared" si="13"/>
        <v>0.18804479701353244</v>
      </c>
      <c r="Z27" s="134"/>
      <c r="AA27" s="125">
        <f t="shared" si="14"/>
        <v>6474</v>
      </c>
      <c r="AB27" s="125">
        <f t="shared" si="15"/>
        <v>5365.2452173913043</v>
      </c>
      <c r="AC27" s="135">
        <f t="shared" si="16"/>
        <v>2143</v>
      </c>
      <c r="AD27" s="136">
        <f t="shared" si="17"/>
        <v>1863.4782608695652</v>
      </c>
      <c r="AE27" s="125">
        <f t="shared" si="18"/>
        <v>8617</v>
      </c>
      <c r="AF27" s="46">
        <f t="shared" si="19"/>
        <v>7228.7234782608693</v>
      </c>
    </row>
    <row r="28" spans="2:32" ht="15" customHeight="1" x14ac:dyDescent="0.25">
      <c r="B28" s="90">
        <v>46250</v>
      </c>
      <c r="C28" s="124" t="s">
        <v>61</v>
      </c>
      <c r="D28" s="123">
        <v>238</v>
      </c>
      <c r="E28" s="124">
        <v>16</v>
      </c>
      <c r="F28" s="124">
        <v>952</v>
      </c>
      <c r="G28" s="124">
        <v>89</v>
      </c>
      <c r="H28" s="124">
        <v>1952</v>
      </c>
      <c r="I28" s="125">
        <f t="shared" si="3"/>
        <v>21.932584269662922</v>
      </c>
      <c r="J28" s="126">
        <f t="shared" si="4"/>
        <v>9.3487394957983194E-2</v>
      </c>
      <c r="K28" s="127">
        <f t="shared" si="5"/>
        <v>254.60869565217391</v>
      </c>
      <c r="L28" s="149">
        <f t="shared" si="6"/>
        <v>1697.391304347826</v>
      </c>
      <c r="M28" s="124">
        <v>118.97</v>
      </c>
      <c r="N28" s="150">
        <f t="shared" si="7"/>
        <v>1578.421304347826</v>
      </c>
      <c r="O28" s="130"/>
      <c r="P28" s="124">
        <v>1211</v>
      </c>
      <c r="Q28" s="125">
        <f t="shared" si="8"/>
        <v>13.606741573033707</v>
      </c>
      <c r="R28" s="124">
        <v>33</v>
      </c>
      <c r="S28" s="132">
        <f t="shared" si="9"/>
        <v>0.3707865168539326</v>
      </c>
      <c r="T28" s="133">
        <f t="shared" si="10"/>
        <v>157.95652173913044</v>
      </c>
      <c r="U28" s="133">
        <f t="shared" si="11"/>
        <v>1053.0434782608695</v>
      </c>
      <c r="V28" s="124">
        <v>44</v>
      </c>
      <c r="W28" s="126">
        <f t="shared" si="12"/>
        <v>0.4943820224719101</v>
      </c>
      <c r="X28" s="124">
        <v>229.09</v>
      </c>
      <c r="Y28" s="126">
        <f t="shared" si="13"/>
        <v>0.18917423616845583</v>
      </c>
      <c r="Z28" s="134"/>
      <c r="AA28" s="125">
        <f t="shared" si="14"/>
        <v>1952</v>
      </c>
      <c r="AB28" s="125">
        <f t="shared" si="15"/>
        <v>1578.421304347826</v>
      </c>
      <c r="AC28" s="135">
        <f t="shared" si="16"/>
        <v>1211</v>
      </c>
      <c r="AD28" s="136">
        <f t="shared" si="17"/>
        <v>1053.0434782608695</v>
      </c>
      <c r="AE28" s="125">
        <f t="shared" si="18"/>
        <v>3163</v>
      </c>
      <c r="AF28" s="46">
        <f t="shared" si="19"/>
        <v>2631.4647826086957</v>
      </c>
    </row>
    <row r="29" spans="2:32" ht="15" customHeight="1" x14ac:dyDescent="0.25">
      <c r="B29" s="90">
        <v>46251</v>
      </c>
      <c r="C29" s="124" t="s">
        <v>62</v>
      </c>
      <c r="D29" s="123">
        <v>238</v>
      </c>
      <c r="E29" s="124">
        <v>16</v>
      </c>
      <c r="F29" s="124">
        <v>952</v>
      </c>
      <c r="G29" s="124">
        <v>92</v>
      </c>
      <c r="H29" s="124">
        <v>1886</v>
      </c>
      <c r="I29" s="125">
        <f t="shared" si="3"/>
        <v>20.5</v>
      </c>
      <c r="J29" s="126">
        <f t="shared" si="4"/>
        <v>9.6638655462184878E-2</v>
      </c>
      <c r="K29" s="127">
        <f t="shared" si="5"/>
        <v>246</v>
      </c>
      <c r="L29" s="149">
        <f t="shared" si="6"/>
        <v>1640</v>
      </c>
      <c r="M29" s="158">
        <v>132.71</v>
      </c>
      <c r="N29" s="150">
        <f t="shared" si="7"/>
        <v>1507.29</v>
      </c>
      <c r="O29" s="130"/>
      <c r="P29" s="159">
        <v>1521</v>
      </c>
      <c r="Q29" s="125">
        <f t="shared" si="8"/>
        <v>16.532608695652176</v>
      </c>
      <c r="R29" s="5">
        <v>39</v>
      </c>
      <c r="S29" s="132">
        <f t="shared" si="9"/>
        <v>0.42391304347826086</v>
      </c>
      <c r="T29" s="133">
        <f t="shared" si="10"/>
        <v>198.39130434782609</v>
      </c>
      <c r="U29" s="133">
        <f t="shared" si="11"/>
        <v>1322.608695652174</v>
      </c>
      <c r="V29" s="5">
        <v>64</v>
      </c>
      <c r="W29" s="126">
        <f t="shared" si="12"/>
        <v>0.69565217391304346</v>
      </c>
      <c r="X29" s="158">
        <v>269.82</v>
      </c>
      <c r="Y29" s="126">
        <f t="shared" si="13"/>
        <v>0.17739644970414201</v>
      </c>
      <c r="Z29" s="134"/>
      <c r="AA29" s="125">
        <f t="shared" si="14"/>
        <v>1886</v>
      </c>
      <c r="AB29" s="125">
        <f t="shared" si="15"/>
        <v>1507.29</v>
      </c>
      <c r="AC29" s="135">
        <f t="shared" si="16"/>
        <v>1521</v>
      </c>
      <c r="AD29" s="136">
        <f t="shared" si="17"/>
        <v>1322.608695652174</v>
      </c>
      <c r="AE29" s="125">
        <f t="shared" si="18"/>
        <v>3407</v>
      </c>
      <c r="AF29" s="46">
        <f t="shared" si="19"/>
        <v>2829.898695652174</v>
      </c>
    </row>
    <row r="30" spans="2:32" ht="15" customHeight="1" x14ac:dyDescent="0.25">
      <c r="B30" s="90">
        <v>46252</v>
      </c>
      <c r="C30" s="124" t="s">
        <v>63</v>
      </c>
      <c r="D30" s="123">
        <v>238</v>
      </c>
      <c r="E30" s="124">
        <v>16</v>
      </c>
      <c r="F30" s="124">
        <v>952</v>
      </c>
      <c r="G30" s="124">
        <v>75</v>
      </c>
      <c r="H30" s="124">
        <v>1528</v>
      </c>
      <c r="I30" s="125">
        <f t="shared" si="3"/>
        <v>20.373333333333335</v>
      </c>
      <c r="J30" s="132">
        <f t="shared" si="4"/>
        <v>7.8781512605042014E-2</v>
      </c>
      <c r="K30" s="127">
        <f t="shared" si="5"/>
        <v>199.30434782608697</v>
      </c>
      <c r="L30" s="149">
        <f t="shared" si="6"/>
        <v>1328.695652173913</v>
      </c>
      <c r="M30" s="124">
        <v>69.400000000000006</v>
      </c>
      <c r="N30" s="150">
        <f t="shared" si="7"/>
        <v>1259.2956521739129</v>
      </c>
      <c r="O30" s="130"/>
      <c r="P30" s="124">
        <v>2002</v>
      </c>
      <c r="Q30" s="125">
        <f t="shared" si="8"/>
        <v>26.693333333333332</v>
      </c>
      <c r="R30" s="124">
        <v>52</v>
      </c>
      <c r="S30" s="132">
        <f t="shared" si="9"/>
        <v>0.69333333333333336</v>
      </c>
      <c r="T30" s="133">
        <f t="shared" si="10"/>
        <v>261.13043478260869</v>
      </c>
      <c r="U30" s="133">
        <f t="shared" si="11"/>
        <v>1740.8695652173913</v>
      </c>
      <c r="V30" s="124">
        <v>96</v>
      </c>
      <c r="W30" s="126">
        <f t="shared" si="12"/>
        <v>1.28</v>
      </c>
      <c r="X30" s="158">
        <v>333.54</v>
      </c>
      <c r="Y30" s="126">
        <f t="shared" si="13"/>
        <v>0.16660339660339663</v>
      </c>
      <c r="Z30" s="134"/>
      <c r="AA30" s="125">
        <f t="shared" si="14"/>
        <v>1528</v>
      </c>
      <c r="AB30" s="125">
        <f t="shared" si="15"/>
        <v>1259.2956521739129</v>
      </c>
      <c r="AC30" s="135">
        <f t="shared" si="16"/>
        <v>2002</v>
      </c>
      <c r="AD30" s="136">
        <f t="shared" si="17"/>
        <v>1740.8695652173913</v>
      </c>
      <c r="AE30" s="125">
        <f t="shared" si="18"/>
        <v>3530</v>
      </c>
      <c r="AF30" s="46">
        <f t="shared" si="19"/>
        <v>3000.1652173913044</v>
      </c>
    </row>
    <row r="31" spans="2:32" ht="15" customHeight="1" x14ac:dyDescent="0.25">
      <c r="B31" s="90">
        <v>46253</v>
      </c>
      <c r="C31" s="124" t="s">
        <v>64</v>
      </c>
      <c r="D31" s="123">
        <v>238</v>
      </c>
      <c r="E31" s="124">
        <v>16</v>
      </c>
      <c r="F31" s="124">
        <v>952</v>
      </c>
      <c r="G31" s="124">
        <v>117</v>
      </c>
      <c r="H31" s="124">
        <v>2370</v>
      </c>
      <c r="I31" s="125">
        <f t="shared" si="3"/>
        <v>20.256410256410255</v>
      </c>
      <c r="J31" s="126">
        <f t="shared" si="4"/>
        <v>0.12289915966386554</v>
      </c>
      <c r="K31" s="127">
        <f t="shared" si="5"/>
        <v>309.13043478260869</v>
      </c>
      <c r="L31" s="149">
        <f t="shared" si="6"/>
        <v>2060.8695652173915</v>
      </c>
      <c r="M31" s="124">
        <v>133.75</v>
      </c>
      <c r="N31" s="150">
        <f t="shared" si="7"/>
        <v>1927.1195652173915</v>
      </c>
      <c r="O31" s="130"/>
      <c r="P31" s="124">
        <v>2254</v>
      </c>
      <c r="Q31" s="125">
        <f t="shared" si="8"/>
        <v>19.264957264957264</v>
      </c>
      <c r="R31" s="124">
        <v>54</v>
      </c>
      <c r="S31" s="132">
        <f t="shared" si="9"/>
        <v>0.46153846153846156</v>
      </c>
      <c r="T31" s="133">
        <f t="shared" si="10"/>
        <v>294</v>
      </c>
      <c r="U31" s="133">
        <f t="shared" si="11"/>
        <v>1960</v>
      </c>
      <c r="V31" s="124">
        <v>88</v>
      </c>
      <c r="W31" s="126">
        <f t="shared" si="12"/>
        <v>0.75213675213675213</v>
      </c>
      <c r="X31" s="124">
        <v>440.12</v>
      </c>
      <c r="Y31" s="126">
        <f t="shared" si="13"/>
        <v>0.19526175687666372</v>
      </c>
      <c r="Z31" s="134"/>
      <c r="AA31" s="125">
        <f t="shared" si="14"/>
        <v>2370</v>
      </c>
      <c r="AB31" s="125">
        <f t="shared" si="15"/>
        <v>1927.1195652173915</v>
      </c>
      <c r="AC31" s="135">
        <f t="shared" si="16"/>
        <v>2254</v>
      </c>
      <c r="AD31" s="136">
        <f t="shared" si="17"/>
        <v>1960</v>
      </c>
      <c r="AE31" s="125">
        <f t="shared" si="18"/>
        <v>4624</v>
      </c>
      <c r="AF31" s="46">
        <f t="shared" si="19"/>
        <v>3887.1195652173915</v>
      </c>
    </row>
    <row r="32" spans="2:32" ht="15" customHeight="1" x14ac:dyDescent="0.25">
      <c r="B32" s="90">
        <v>46254</v>
      </c>
      <c r="C32" s="155" t="s">
        <v>57</v>
      </c>
      <c r="D32" s="123">
        <v>238</v>
      </c>
      <c r="E32" s="124">
        <v>25</v>
      </c>
      <c r="F32" s="124">
        <v>1492</v>
      </c>
      <c r="G32" s="124">
        <v>205</v>
      </c>
      <c r="H32" s="124">
        <v>8300</v>
      </c>
      <c r="I32" s="125">
        <f t="shared" si="3"/>
        <v>40.487804878048777</v>
      </c>
      <c r="J32" s="126">
        <f t="shared" si="4"/>
        <v>0.13739946380697052</v>
      </c>
      <c r="K32" s="127">
        <f t="shared" si="5"/>
        <v>1082.608695652174</v>
      </c>
      <c r="L32" s="149">
        <f t="shared" si="6"/>
        <v>7217.391304347826</v>
      </c>
      <c r="M32" s="124">
        <v>673.69</v>
      </c>
      <c r="N32" s="150">
        <f t="shared" si="7"/>
        <v>6543.7013043478255</v>
      </c>
      <c r="O32" s="130"/>
      <c r="P32" s="124">
        <v>1879</v>
      </c>
      <c r="Q32" s="125">
        <f t="shared" si="8"/>
        <v>9.1658536585365855</v>
      </c>
      <c r="R32" s="124">
        <v>49</v>
      </c>
      <c r="S32" s="132">
        <f t="shared" si="9"/>
        <v>0.23902439024390243</v>
      </c>
      <c r="T32" s="133">
        <f t="shared" si="10"/>
        <v>245.08695652173913</v>
      </c>
      <c r="U32" s="133">
        <f t="shared" si="11"/>
        <v>1633.913043478261</v>
      </c>
      <c r="V32" s="124">
        <v>100</v>
      </c>
      <c r="W32" s="126">
        <f t="shared" si="12"/>
        <v>0.48780487804878048</v>
      </c>
      <c r="X32" s="124">
        <v>372.15</v>
      </c>
      <c r="Y32" s="126">
        <f t="shared" si="13"/>
        <v>0.19805747738158594</v>
      </c>
      <c r="Z32" s="134"/>
      <c r="AA32" s="125">
        <f t="shared" si="14"/>
        <v>8300</v>
      </c>
      <c r="AB32" s="125">
        <f t="shared" si="15"/>
        <v>6543.7013043478255</v>
      </c>
      <c r="AC32" s="135">
        <f t="shared" si="16"/>
        <v>1879</v>
      </c>
      <c r="AD32" s="136">
        <f t="shared" si="17"/>
        <v>1633.913043478261</v>
      </c>
      <c r="AE32" s="125">
        <f t="shared" si="18"/>
        <v>10179</v>
      </c>
      <c r="AF32" s="46">
        <f t="shared" si="19"/>
        <v>8177.6143478260865</v>
      </c>
    </row>
    <row r="33" spans="2:32" ht="15" customHeight="1" x14ac:dyDescent="0.25">
      <c r="B33" s="90">
        <v>46255</v>
      </c>
      <c r="C33" s="155" t="s">
        <v>59</v>
      </c>
      <c r="D33" s="123">
        <v>238</v>
      </c>
      <c r="E33" s="124">
        <v>21</v>
      </c>
      <c r="F33" s="124">
        <v>1254</v>
      </c>
      <c r="G33" s="124">
        <v>261</v>
      </c>
      <c r="H33" s="124">
        <v>10368</v>
      </c>
      <c r="I33" s="125">
        <f t="shared" si="3"/>
        <v>39.724137931034484</v>
      </c>
      <c r="J33" s="126">
        <f t="shared" si="4"/>
        <v>0.20813397129186603</v>
      </c>
      <c r="K33" s="127">
        <f t="shared" si="5"/>
        <v>1352.3478260869565</v>
      </c>
      <c r="L33" s="149">
        <f t="shared" si="6"/>
        <v>9015.652173913044</v>
      </c>
      <c r="M33" s="124">
        <v>866.71</v>
      </c>
      <c r="N33" s="150">
        <f t="shared" si="7"/>
        <v>8148.9421739130439</v>
      </c>
      <c r="O33" s="130"/>
      <c r="P33" s="124">
        <v>2095</v>
      </c>
      <c r="Q33" s="125">
        <f t="shared" si="8"/>
        <v>8.0268199233716473</v>
      </c>
      <c r="R33" s="124">
        <v>51</v>
      </c>
      <c r="S33" s="132">
        <f t="shared" si="9"/>
        <v>0.19540229885057472</v>
      </c>
      <c r="T33" s="133">
        <f t="shared" si="10"/>
        <v>273.26086956521738</v>
      </c>
      <c r="U33" s="133">
        <f t="shared" si="11"/>
        <v>1821.7391304347825</v>
      </c>
      <c r="V33" s="124">
        <v>90</v>
      </c>
      <c r="W33" s="126">
        <f t="shared" si="12"/>
        <v>0.34482758620689657</v>
      </c>
      <c r="X33" s="124">
        <v>397.99</v>
      </c>
      <c r="Y33" s="126">
        <f t="shared" si="13"/>
        <v>0.18997136038186158</v>
      </c>
      <c r="Z33" s="134"/>
      <c r="AA33" s="125">
        <f t="shared" si="14"/>
        <v>10368</v>
      </c>
      <c r="AB33" s="125">
        <f t="shared" si="15"/>
        <v>8148.9421739130439</v>
      </c>
      <c r="AC33" s="135">
        <f t="shared" si="16"/>
        <v>2095</v>
      </c>
      <c r="AD33" s="136">
        <f t="shared" si="17"/>
        <v>1821.7391304347825</v>
      </c>
      <c r="AE33" s="125">
        <f t="shared" si="18"/>
        <v>12463</v>
      </c>
      <c r="AF33" s="46">
        <f t="shared" si="19"/>
        <v>9970.6813043478269</v>
      </c>
    </row>
    <row r="34" spans="2:32" ht="15" customHeight="1" x14ac:dyDescent="0.25">
      <c r="B34" s="90">
        <v>46256</v>
      </c>
      <c r="C34" s="155" t="s">
        <v>60</v>
      </c>
      <c r="D34" s="123">
        <v>238</v>
      </c>
      <c r="E34" s="124">
        <v>25</v>
      </c>
      <c r="F34" s="124">
        <v>1492</v>
      </c>
      <c r="G34" s="124">
        <v>116</v>
      </c>
      <c r="H34" s="124">
        <v>4658</v>
      </c>
      <c r="I34" s="125">
        <f t="shared" si="3"/>
        <v>40.155172413793103</v>
      </c>
      <c r="J34" s="126">
        <f t="shared" si="4"/>
        <v>7.7747989276139406E-2</v>
      </c>
      <c r="K34" s="127">
        <f t="shared" si="5"/>
        <v>607.56521739130437</v>
      </c>
      <c r="L34" s="149">
        <f t="shared" si="6"/>
        <v>4050.4347826086955</v>
      </c>
      <c r="M34" s="151">
        <v>391.8</v>
      </c>
      <c r="N34" s="150">
        <f t="shared" si="7"/>
        <v>3658.6347826086953</v>
      </c>
      <c r="O34" s="130"/>
      <c r="P34" s="124">
        <v>1312</v>
      </c>
      <c r="Q34" s="125">
        <f t="shared" si="8"/>
        <v>11.310344827586206</v>
      </c>
      <c r="R34" s="124">
        <v>37</v>
      </c>
      <c r="S34" s="132">
        <f t="shared" si="9"/>
        <v>0.31896551724137934</v>
      </c>
      <c r="T34" s="133">
        <f t="shared" si="10"/>
        <v>171.13043478260869</v>
      </c>
      <c r="U34" s="133">
        <f t="shared" si="11"/>
        <v>1140.8695652173913</v>
      </c>
      <c r="V34" s="124">
        <v>56</v>
      </c>
      <c r="W34" s="126">
        <f t="shared" si="12"/>
        <v>0.48275862068965519</v>
      </c>
      <c r="X34" s="124">
        <v>233.83</v>
      </c>
      <c r="Y34" s="126">
        <f t="shared" si="13"/>
        <v>0.17822408536585366</v>
      </c>
      <c r="Z34" s="134"/>
      <c r="AA34" s="125">
        <f t="shared" si="14"/>
        <v>4658</v>
      </c>
      <c r="AB34" s="125">
        <f t="shared" si="15"/>
        <v>3658.6347826086953</v>
      </c>
      <c r="AC34" s="135">
        <f t="shared" si="16"/>
        <v>1312</v>
      </c>
      <c r="AD34" s="136">
        <f t="shared" si="17"/>
        <v>1140.8695652173913</v>
      </c>
      <c r="AE34" s="125">
        <f t="shared" si="18"/>
        <v>5970</v>
      </c>
      <c r="AF34" s="46">
        <f t="shared" si="19"/>
        <v>4799.5043478260868</v>
      </c>
    </row>
    <row r="35" spans="2:32" ht="15" customHeight="1" x14ac:dyDescent="0.25">
      <c r="B35" s="90">
        <v>46257</v>
      </c>
      <c r="C35" s="124" t="s">
        <v>61</v>
      </c>
      <c r="D35" s="123">
        <v>238</v>
      </c>
      <c r="E35" s="64">
        <v>16</v>
      </c>
      <c r="F35" s="124">
        <v>952</v>
      </c>
      <c r="G35" s="124">
        <v>169</v>
      </c>
      <c r="H35" s="124">
        <v>4336</v>
      </c>
      <c r="I35" s="125">
        <f t="shared" si="3"/>
        <v>25.65680473372781</v>
      </c>
      <c r="J35" s="126">
        <f t="shared" si="4"/>
        <v>0.17752100840336135</v>
      </c>
      <c r="K35" s="127">
        <f t="shared" si="5"/>
        <v>565.56521739130437</v>
      </c>
      <c r="L35" s="149">
        <f t="shared" si="6"/>
        <v>3770.4347826086955</v>
      </c>
      <c r="M35" s="151">
        <v>361.43</v>
      </c>
      <c r="N35" s="150">
        <f t="shared" si="7"/>
        <v>3409.0047826086957</v>
      </c>
      <c r="O35" s="130"/>
      <c r="P35" s="124">
        <v>1067.68</v>
      </c>
      <c r="Q35" s="125">
        <f t="shared" si="8"/>
        <v>6.3176331360946749</v>
      </c>
      <c r="R35" s="124">
        <v>35</v>
      </c>
      <c r="S35" s="132">
        <f t="shared" si="9"/>
        <v>0.20710059171597633</v>
      </c>
      <c r="T35" s="133">
        <f t="shared" si="10"/>
        <v>139.26260869565218</v>
      </c>
      <c r="U35" s="133">
        <f t="shared" si="11"/>
        <v>928.41739130434792</v>
      </c>
      <c r="V35" s="124">
        <v>58</v>
      </c>
      <c r="W35" s="126">
        <f t="shared" si="12"/>
        <v>0.34319526627218933</v>
      </c>
      <c r="X35" s="124">
        <v>226.35</v>
      </c>
      <c r="Y35" s="126">
        <f t="shared" si="13"/>
        <v>0.21200172336280532</v>
      </c>
      <c r="Z35" s="134"/>
      <c r="AA35" s="125">
        <f t="shared" si="14"/>
        <v>4336</v>
      </c>
      <c r="AB35" s="125">
        <f t="shared" si="15"/>
        <v>3409.0047826086957</v>
      </c>
      <c r="AC35" s="135">
        <f t="shared" si="16"/>
        <v>1067.68</v>
      </c>
      <c r="AD35" s="136">
        <f t="shared" si="17"/>
        <v>928.41739130434792</v>
      </c>
      <c r="AE35" s="125">
        <f t="shared" si="18"/>
        <v>5403.68</v>
      </c>
      <c r="AF35" s="46">
        <f t="shared" si="19"/>
        <v>4337.4221739130435</v>
      </c>
    </row>
    <row r="36" spans="2:32" ht="15" customHeight="1" x14ac:dyDescent="0.25">
      <c r="B36" s="90">
        <v>46258</v>
      </c>
      <c r="C36" s="124" t="s">
        <v>62</v>
      </c>
      <c r="D36" s="123">
        <v>238</v>
      </c>
      <c r="E36" s="124">
        <v>16</v>
      </c>
      <c r="F36" s="124">
        <v>952</v>
      </c>
      <c r="G36" s="124">
        <v>84</v>
      </c>
      <c r="H36" s="124">
        <v>2096</v>
      </c>
      <c r="I36" s="125">
        <f t="shared" si="3"/>
        <v>24.952380952380953</v>
      </c>
      <c r="J36" s="126">
        <f t="shared" si="4"/>
        <v>8.8235294117647065E-2</v>
      </c>
      <c r="K36" s="127">
        <f t="shared" si="5"/>
        <v>273.39130434782606</v>
      </c>
      <c r="L36" s="149">
        <f t="shared" si="6"/>
        <v>1822.608695652174</v>
      </c>
      <c r="M36" s="151">
        <v>175.5</v>
      </c>
      <c r="N36" s="150">
        <f t="shared" si="7"/>
        <v>1647.108695652174</v>
      </c>
      <c r="O36" s="130"/>
      <c r="P36" s="124">
        <v>657</v>
      </c>
      <c r="Q36" s="125">
        <f t="shared" si="8"/>
        <v>7.8214285714285712</v>
      </c>
      <c r="R36" s="124">
        <v>19</v>
      </c>
      <c r="S36" s="132">
        <f t="shared" si="9"/>
        <v>0.22619047619047619</v>
      </c>
      <c r="T36" s="133">
        <f t="shared" si="10"/>
        <v>85.695652173913047</v>
      </c>
      <c r="U36" s="133">
        <f t="shared" si="11"/>
        <v>571.304347826087</v>
      </c>
      <c r="V36" s="124">
        <v>34</v>
      </c>
      <c r="W36" s="126">
        <f t="shared" si="12"/>
        <v>0.40476190476190477</v>
      </c>
      <c r="X36" s="124">
        <v>110.1</v>
      </c>
      <c r="Y36" s="126">
        <f t="shared" si="13"/>
        <v>0.16757990867579908</v>
      </c>
      <c r="Z36" s="134"/>
      <c r="AA36" s="125">
        <f t="shared" si="14"/>
        <v>2096</v>
      </c>
      <c r="AB36" s="125">
        <f t="shared" si="15"/>
        <v>1647.108695652174</v>
      </c>
      <c r="AC36" s="135">
        <f t="shared" si="16"/>
        <v>657</v>
      </c>
      <c r="AD36" s="136">
        <f t="shared" si="17"/>
        <v>571.304347826087</v>
      </c>
      <c r="AE36" s="125">
        <f t="shared" si="18"/>
        <v>2753</v>
      </c>
      <c r="AF36" s="46">
        <f t="shared" si="19"/>
        <v>2218.413043478261</v>
      </c>
    </row>
    <row r="37" spans="2:32" ht="15" customHeight="1" x14ac:dyDescent="0.25">
      <c r="B37" s="90">
        <v>46259</v>
      </c>
      <c r="C37" s="124" t="s">
        <v>63</v>
      </c>
      <c r="D37" s="123">
        <v>238</v>
      </c>
      <c r="E37" s="124">
        <v>16</v>
      </c>
      <c r="F37" s="124">
        <v>952</v>
      </c>
      <c r="G37" s="124">
        <v>155</v>
      </c>
      <c r="H37" s="124">
        <v>3704</v>
      </c>
      <c r="I37" s="125">
        <f t="shared" si="3"/>
        <v>23.896774193548389</v>
      </c>
      <c r="J37" s="126">
        <f t="shared" si="4"/>
        <v>0.16281512605042017</v>
      </c>
      <c r="K37" s="127">
        <f t="shared" si="5"/>
        <v>483.13043478260869</v>
      </c>
      <c r="L37" s="127">
        <f t="shared" si="6"/>
        <v>3220.8695652173915</v>
      </c>
      <c r="M37" s="152">
        <v>309.42</v>
      </c>
      <c r="N37" s="129">
        <f t="shared" si="7"/>
        <v>2911.4495652173914</v>
      </c>
      <c r="O37" s="130"/>
      <c r="P37" s="124">
        <v>1040</v>
      </c>
      <c r="Q37" s="125">
        <f t="shared" si="8"/>
        <v>6.709677419354839</v>
      </c>
      <c r="R37" s="124">
        <v>24</v>
      </c>
      <c r="S37" s="132">
        <f t="shared" si="9"/>
        <v>0.15483870967741936</v>
      </c>
      <c r="T37" s="133">
        <f t="shared" si="10"/>
        <v>135.65217391304347</v>
      </c>
      <c r="U37" s="133">
        <f t="shared" si="11"/>
        <v>904.3478260869565</v>
      </c>
      <c r="V37" s="124">
        <v>47</v>
      </c>
      <c r="W37" s="126">
        <f t="shared" si="12"/>
        <v>0.3032258064516129</v>
      </c>
      <c r="X37" s="124">
        <v>166.25</v>
      </c>
      <c r="Y37" s="126">
        <f t="shared" si="13"/>
        <v>0.15985576923076922</v>
      </c>
      <c r="Z37" s="134"/>
      <c r="AA37" s="125">
        <f t="shared" si="14"/>
        <v>3704</v>
      </c>
      <c r="AB37" s="125">
        <f t="shared" si="15"/>
        <v>2911.4495652173914</v>
      </c>
      <c r="AC37" s="135">
        <f t="shared" si="16"/>
        <v>1040</v>
      </c>
      <c r="AD37" s="136">
        <f t="shared" si="17"/>
        <v>904.3478260869565</v>
      </c>
      <c r="AE37" s="125">
        <f t="shared" si="18"/>
        <v>4744</v>
      </c>
      <c r="AF37" s="46">
        <f t="shared" si="19"/>
        <v>3815.7973913043479</v>
      </c>
    </row>
    <row r="38" spans="2:32" ht="15" customHeight="1" x14ac:dyDescent="0.25">
      <c r="B38" s="90">
        <v>46260</v>
      </c>
      <c r="C38" s="124" t="s">
        <v>64</v>
      </c>
      <c r="D38" s="123">
        <v>238</v>
      </c>
      <c r="E38" s="124">
        <v>16</v>
      </c>
      <c r="F38" s="124">
        <v>952</v>
      </c>
      <c r="G38" s="124">
        <v>210</v>
      </c>
      <c r="H38" s="153">
        <v>4768</v>
      </c>
      <c r="I38" s="125">
        <f t="shared" si="3"/>
        <v>22.704761904761906</v>
      </c>
      <c r="J38" s="126">
        <f t="shared" si="4"/>
        <v>0.22058823529411764</v>
      </c>
      <c r="K38" s="127">
        <f t="shared" si="5"/>
        <v>621.91304347826087</v>
      </c>
      <c r="L38" s="127">
        <f t="shared" si="6"/>
        <v>4146.086956521739</v>
      </c>
      <c r="M38" s="5">
        <v>408.74</v>
      </c>
      <c r="N38" s="129">
        <f t="shared" si="7"/>
        <v>3737.3469565217392</v>
      </c>
      <c r="O38" s="130"/>
      <c r="P38" s="124">
        <v>1587</v>
      </c>
      <c r="Q38" s="125">
        <f t="shared" si="8"/>
        <v>7.5571428571428569</v>
      </c>
      <c r="R38" s="124">
        <v>43</v>
      </c>
      <c r="S38" s="132">
        <f t="shared" si="9"/>
        <v>0.20476190476190476</v>
      </c>
      <c r="T38" s="133">
        <f t="shared" si="10"/>
        <v>207</v>
      </c>
      <c r="U38" s="133">
        <f t="shared" si="11"/>
        <v>1380</v>
      </c>
      <c r="V38" s="124">
        <v>74</v>
      </c>
      <c r="W38" s="126">
        <f t="shared" si="12"/>
        <v>0.35238095238095241</v>
      </c>
      <c r="X38" s="124">
        <v>302.36</v>
      </c>
      <c r="Y38" s="126">
        <f t="shared" si="13"/>
        <v>0.19052299936988029</v>
      </c>
      <c r="Z38" s="134"/>
      <c r="AA38" s="125">
        <f t="shared" si="14"/>
        <v>4768</v>
      </c>
      <c r="AB38" s="125">
        <f t="shared" si="15"/>
        <v>3737.3469565217392</v>
      </c>
      <c r="AC38" s="135">
        <f t="shared" si="16"/>
        <v>1587</v>
      </c>
      <c r="AD38" s="136">
        <f t="shared" si="17"/>
        <v>1380</v>
      </c>
      <c r="AE38" s="125">
        <f t="shared" si="18"/>
        <v>6355</v>
      </c>
      <c r="AF38" s="46">
        <f t="shared" si="19"/>
        <v>5117.3469565217392</v>
      </c>
    </row>
    <row r="39" spans="2:32" ht="15" customHeight="1" x14ac:dyDescent="0.25">
      <c r="B39" s="90">
        <v>46261</v>
      </c>
      <c r="C39" s="124" t="s">
        <v>57</v>
      </c>
      <c r="D39" s="123">
        <v>238</v>
      </c>
      <c r="E39" s="124">
        <v>22</v>
      </c>
      <c r="F39" s="124">
        <v>1291</v>
      </c>
      <c r="G39" s="124">
        <v>214</v>
      </c>
      <c r="H39" s="124">
        <v>8592</v>
      </c>
      <c r="I39" s="125">
        <f t="shared" si="3"/>
        <v>40.149532710280376</v>
      </c>
      <c r="J39" s="126">
        <f t="shared" si="4"/>
        <v>0.16576297443841984</v>
      </c>
      <c r="K39" s="127">
        <f t="shared" si="5"/>
        <v>1120.695652173913</v>
      </c>
      <c r="L39" s="127">
        <f t="shared" si="6"/>
        <v>7471.304347826087</v>
      </c>
      <c r="M39" s="5">
        <v>680.13</v>
      </c>
      <c r="N39" s="129">
        <f t="shared" si="7"/>
        <v>6791.1743478260869</v>
      </c>
      <c r="O39" s="130"/>
      <c r="P39" s="124">
        <v>1838</v>
      </c>
      <c r="Q39" s="125">
        <f t="shared" si="8"/>
        <v>8.5887850467289724</v>
      </c>
      <c r="R39" s="124">
        <v>47</v>
      </c>
      <c r="S39" s="132">
        <f t="shared" si="9"/>
        <v>0.21962616822429906</v>
      </c>
      <c r="T39" s="133">
        <f t="shared" si="10"/>
        <v>239.7391304347826</v>
      </c>
      <c r="U39" s="133">
        <f t="shared" si="11"/>
        <v>1598.2608695652175</v>
      </c>
      <c r="V39" s="124">
        <v>82</v>
      </c>
      <c r="W39" s="126">
        <f t="shared" si="12"/>
        <v>0.38317757009345793</v>
      </c>
      <c r="X39" s="154">
        <v>298.23</v>
      </c>
      <c r="Y39" s="126">
        <f t="shared" si="13"/>
        <v>0.16225788900979327</v>
      </c>
      <c r="Z39" s="134"/>
      <c r="AA39" s="125">
        <f t="shared" si="14"/>
        <v>8592</v>
      </c>
      <c r="AB39" s="125">
        <f t="shared" si="15"/>
        <v>6791.1743478260869</v>
      </c>
      <c r="AC39" s="135">
        <f t="shared" si="16"/>
        <v>1838</v>
      </c>
      <c r="AD39" s="136">
        <f t="shared" si="17"/>
        <v>1598.2608695652175</v>
      </c>
      <c r="AE39" s="125">
        <f t="shared" si="18"/>
        <v>10430</v>
      </c>
      <c r="AF39" s="46">
        <f t="shared" si="19"/>
        <v>8389.4352173913048</v>
      </c>
    </row>
    <row r="40" spans="2:32" ht="15" customHeight="1" x14ac:dyDescent="0.25">
      <c r="B40" s="90">
        <v>46262</v>
      </c>
      <c r="C40" s="124" t="s">
        <v>59</v>
      </c>
      <c r="D40" s="123">
        <v>238</v>
      </c>
      <c r="E40" s="124">
        <v>18</v>
      </c>
      <c r="F40" s="124">
        <v>1053</v>
      </c>
      <c r="G40" s="124">
        <v>233</v>
      </c>
      <c r="H40" s="124">
        <v>9304</v>
      </c>
      <c r="I40" s="125">
        <f t="shared" si="3"/>
        <v>39.931330472103006</v>
      </c>
      <c r="J40" s="126">
        <f t="shared" si="4"/>
        <v>0.22127255460588793</v>
      </c>
      <c r="K40" s="127">
        <f t="shared" si="5"/>
        <v>1213.5652173913043</v>
      </c>
      <c r="L40" s="127">
        <f t="shared" si="6"/>
        <v>8090.434782608696</v>
      </c>
      <c r="M40" s="124">
        <v>717.86</v>
      </c>
      <c r="N40" s="129">
        <f t="shared" si="7"/>
        <v>7372.5747826086963</v>
      </c>
      <c r="O40" s="5"/>
      <c r="P40" s="124">
        <v>2965</v>
      </c>
      <c r="Q40" s="125">
        <f t="shared" si="8"/>
        <v>12.725321888412017</v>
      </c>
      <c r="R40" s="124">
        <v>76</v>
      </c>
      <c r="S40" s="132">
        <f t="shared" si="9"/>
        <v>0.3261802575107296</v>
      </c>
      <c r="T40" s="133">
        <f t="shared" si="10"/>
        <v>386.73913043478262</v>
      </c>
      <c r="U40" s="133">
        <f t="shared" si="11"/>
        <v>2578.2608695652175</v>
      </c>
      <c r="V40" s="124">
        <v>138</v>
      </c>
      <c r="W40" s="126">
        <f t="shared" si="12"/>
        <v>0.59227467811158796</v>
      </c>
      <c r="X40" s="124">
        <v>529.97</v>
      </c>
      <c r="Y40" s="126">
        <f t="shared" si="13"/>
        <v>0.17874198988195616</v>
      </c>
      <c r="Z40" s="134"/>
      <c r="AA40" s="125">
        <f t="shared" si="14"/>
        <v>9304</v>
      </c>
      <c r="AB40" s="125">
        <f t="shared" si="15"/>
        <v>7372.5747826086963</v>
      </c>
      <c r="AC40" s="135">
        <f t="shared" si="16"/>
        <v>2965</v>
      </c>
      <c r="AD40" s="136">
        <f t="shared" si="17"/>
        <v>2578.2608695652175</v>
      </c>
      <c r="AE40" s="125">
        <f t="shared" si="18"/>
        <v>12269</v>
      </c>
      <c r="AF40" s="46">
        <f t="shared" si="19"/>
        <v>9950.8356521739133</v>
      </c>
    </row>
    <row r="41" spans="2:32" ht="15" customHeight="1" x14ac:dyDescent="0.25">
      <c r="B41" s="90">
        <v>46263</v>
      </c>
      <c r="C41" s="124" t="s">
        <v>60</v>
      </c>
      <c r="D41" s="123">
        <v>238</v>
      </c>
      <c r="E41" s="124">
        <v>22</v>
      </c>
      <c r="F41" s="124">
        <v>1291</v>
      </c>
      <c r="G41" s="124">
        <v>134</v>
      </c>
      <c r="H41" s="124">
        <v>5364</v>
      </c>
      <c r="I41" s="125">
        <f t="shared" si="3"/>
        <v>40.029850746268657</v>
      </c>
      <c r="J41" s="126">
        <f t="shared" si="4"/>
        <v>0.10379550735863671</v>
      </c>
      <c r="K41" s="127">
        <f t="shared" si="5"/>
        <v>699.6521739130435</v>
      </c>
      <c r="L41" s="127">
        <f t="shared" si="6"/>
        <v>4664.347826086956</v>
      </c>
      <c r="M41" s="124">
        <v>431.45</v>
      </c>
      <c r="N41" s="129">
        <f t="shared" si="7"/>
        <v>4232.8978260869562</v>
      </c>
      <c r="O41" s="130"/>
      <c r="P41" s="124">
        <v>1273</v>
      </c>
      <c r="Q41" s="125">
        <f t="shared" si="8"/>
        <v>9.5</v>
      </c>
      <c r="R41" s="124">
        <v>36</v>
      </c>
      <c r="S41" s="132">
        <f t="shared" si="9"/>
        <v>0.26865671641791045</v>
      </c>
      <c r="T41" s="133">
        <f t="shared" si="10"/>
        <v>166.04347826086956</v>
      </c>
      <c r="U41" s="133">
        <f t="shared" si="11"/>
        <v>1106.9565217391305</v>
      </c>
      <c r="V41" s="124">
        <v>57</v>
      </c>
      <c r="W41" s="126">
        <f t="shared" si="12"/>
        <v>0.42537313432835822</v>
      </c>
      <c r="X41" s="124">
        <v>211.7</v>
      </c>
      <c r="Y41" s="126">
        <f t="shared" si="13"/>
        <v>0.16630007855459544</v>
      </c>
      <c r="Z41" s="134"/>
      <c r="AA41" s="125">
        <f t="shared" si="14"/>
        <v>5364</v>
      </c>
      <c r="AB41" s="125">
        <f t="shared" si="15"/>
        <v>4232.8978260869562</v>
      </c>
      <c r="AC41" s="135">
        <f t="shared" si="16"/>
        <v>1273</v>
      </c>
      <c r="AD41" s="136">
        <f t="shared" si="17"/>
        <v>1106.9565217391305</v>
      </c>
      <c r="AE41" s="125">
        <f t="shared" si="18"/>
        <v>6637</v>
      </c>
      <c r="AF41" s="46">
        <f t="shared" si="19"/>
        <v>5339.8543478260872</v>
      </c>
    </row>
    <row r="42" spans="2:32" ht="15" customHeight="1" x14ac:dyDescent="0.25">
      <c r="B42" s="90">
        <v>46264</v>
      </c>
      <c r="C42" s="124" t="s">
        <v>61</v>
      </c>
      <c r="D42" s="123">
        <v>238</v>
      </c>
      <c r="E42" s="124">
        <v>16</v>
      </c>
      <c r="F42" s="124">
        <v>952</v>
      </c>
      <c r="G42" s="124">
        <v>81</v>
      </c>
      <c r="H42" s="124">
        <v>1960</v>
      </c>
      <c r="I42" s="125">
        <f t="shared" si="3"/>
        <v>24.197530864197532</v>
      </c>
      <c r="J42" s="126">
        <f t="shared" si="4"/>
        <v>8.5084033613445381E-2</v>
      </c>
      <c r="K42" s="127">
        <f t="shared" si="5"/>
        <v>255.65217391304347</v>
      </c>
      <c r="L42" s="127">
        <f t="shared" si="6"/>
        <v>1704.3478260869565</v>
      </c>
      <c r="M42" s="124">
        <v>160.72</v>
      </c>
      <c r="N42" s="129">
        <f t="shared" si="7"/>
        <v>1543.6278260869565</v>
      </c>
      <c r="O42" s="130"/>
      <c r="P42" s="124">
        <v>1097</v>
      </c>
      <c r="Q42" s="125">
        <f t="shared" si="8"/>
        <v>13.543209876543211</v>
      </c>
      <c r="R42" s="124">
        <v>24</v>
      </c>
      <c r="S42" s="132">
        <f t="shared" si="9"/>
        <v>0.29629629629629628</v>
      </c>
      <c r="T42" s="133">
        <f t="shared" si="10"/>
        <v>143.08695652173913</v>
      </c>
      <c r="U42" s="133">
        <f t="shared" si="11"/>
        <v>953.91304347826087</v>
      </c>
      <c r="V42" s="124">
        <v>50</v>
      </c>
      <c r="W42" s="126">
        <f t="shared" si="12"/>
        <v>0.61728395061728392</v>
      </c>
      <c r="X42" s="124">
        <v>196.53</v>
      </c>
      <c r="Y42" s="126">
        <f t="shared" si="13"/>
        <v>0.17915223336371924</v>
      </c>
      <c r="Z42" s="134"/>
      <c r="AA42" s="125">
        <f t="shared" si="14"/>
        <v>1960</v>
      </c>
      <c r="AB42" s="125">
        <f t="shared" si="15"/>
        <v>1543.6278260869565</v>
      </c>
      <c r="AC42" s="135">
        <f t="shared" si="16"/>
        <v>1097</v>
      </c>
      <c r="AD42" s="136">
        <f t="shared" si="17"/>
        <v>953.91304347826087</v>
      </c>
      <c r="AE42" s="125">
        <f t="shared" si="18"/>
        <v>3057</v>
      </c>
      <c r="AF42" s="46">
        <f t="shared" si="19"/>
        <v>2497.5408695652172</v>
      </c>
    </row>
    <row r="43" spans="2:32" ht="15" customHeight="1" x14ac:dyDescent="0.25">
      <c r="B43" s="90">
        <v>46265</v>
      </c>
      <c r="C43" s="124" t="s">
        <v>62</v>
      </c>
      <c r="D43" s="123">
        <v>238</v>
      </c>
      <c r="E43" s="124">
        <v>16</v>
      </c>
      <c r="F43" s="124">
        <v>952</v>
      </c>
      <c r="G43" s="124">
        <v>105</v>
      </c>
      <c r="H43" s="124">
        <v>2384</v>
      </c>
      <c r="I43" s="125">
        <f t="shared" si="3"/>
        <v>22.704761904761906</v>
      </c>
      <c r="J43" s="126">
        <f t="shared" si="4"/>
        <v>0.11029411764705882</v>
      </c>
      <c r="K43" s="127">
        <f t="shared" si="5"/>
        <v>310.95652173913044</v>
      </c>
      <c r="L43" s="127">
        <f t="shared" si="6"/>
        <v>2073.0434782608695</v>
      </c>
      <c r="M43" s="124">
        <v>184.02</v>
      </c>
      <c r="N43" s="129">
        <f t="shared" si="7"/>
        <v>1889.0234782608695</v>
      </c>
      <c r="O43" s="130"/>
      <c r="P43" s="124">
        <v>1130</v>
      </c>
      <c r="Q43" s="125">
        <f t="shared" si="8"/>
        <v>10.761904761904763</v>
      </c>
      <c r="R43" s="124">
        <v>23</v>
      </c>
      <c r="S43" s="132">
        <f t="shared" si="9"/>
        <v>0.21904761904761905</v>
      </c>
      <c r="T43" s="133">
        <f t="shared" si="10"/>
        <v>147.39130434782609</v>
      </c>
      <c r="U43" s="133">
        <f t="shared" si="11"/>
        <v>982.60869565217388</v>
      </c>
      <c r="V43" s="124">
        <v>50</v>
      </c>
      <c r="W43" s="126">
        <f t="shared" si="12"/>
        <v>0.47619047619047616</v>
      </c>
      <c r="X43" s="124">
        <v>207.38</v>
      </c>
      <c r="Y43" s="126">
        <f t="shared" si="13"/>
        <v>0.18352212389380532</v>
      </c>
      <c r="Z43" s="134"/>
      <c r="AA43" s="125">
        <f t="shared" si="14"/>
        <v>2384</v>
      </c>
      <c r="AB43" s="125">
        <f t="shared" si="15"/>
        <v>1889.0234782608695</v>
      </c>
      <c r="AC43" s="135">
        <f t="shared" si="16"/>
        <v>1130</v>
      </c>
      <c r="AD43" s="136">
        <f t="shared" si="17"/>
        <v>982.60869565217388</v>
      </c>
      <c r="AE43" s="125">
        <f t="shared" si="18"/>
        <v>3514</v>
      </c>
      <c r="AF43" s="46">
        <f t="shared" si="19"/>
        <v>2871.6321739130435</v>
      </c>
    </row>
    <row r="44" spans="2:32" ht="15" customHeight="1" x14ac:dyDescent="0.25">
      <c r="B44" s="184" t="s">
        <v>27</v>
      </c>
      <c r="C44" s="184"/>
      <c r="D44" s="137">
        <f>AVERAGE(D13:D43)</f>
        <v>238</v>
      </c>
      <c r="E44" s="137">
        <f>SUM(E13:E43)</f>
        <v>563</v>
      </c>
      <c r="F44" s="137">
        <f>SUM(F13:F43)</f>
        <v>33311</v>
      </c>
      <c r="G44" s="137">
        <f>SUM(G13:G43)</f>
        <v>4624</v>
      </c>
      <c r="H44" s="138">
        <f>SUM(H13:H43)</f>
        <v>142046.72</v>
      </c>
      <c r="I44" s="139">
        <f t="shared" si="3"/>
        <v>30.719446366782009</v>
      </c>
      <c r="J44" s="140">
        <f>IFERROR((G44/F44),0)</f>
        <v>0.13881300471315783</v>
      </c>
      <c r="K44" s="141">
        <f>SUM(K13:K43)</f>
        <v>18527.833043478258</v>
      </c>
      <c r="L44" s="141">
        <f>SUM(L13:L43)</f>
        <v>123518.88695652172</v>
      </c>
      <c r="M44" s="142">
        <f>SUM(M13:M43)</f>
        <v>11220.85</v>
      </c>
      <c r="N44" s="138">
        <f>SUM(N13:N43)</f>
        <v>112298.03695652177</v>
      </c>
      <c r="O44" s="8"/>
      <c r="P44" s="139">
        <f>SUM(P13:P43)</f>
        <v>60976.94</v>
      </c>
      <c r="Q44" s="139">
        <f t="shared" si="8"/>
        <v>13.187054498269896</v>
      </c>
      <c r="R44" s="137">
        <f>SUM(R13:R43)</f>
        <v>1526</v>
      </c>
      <c r="S44" s="132">
        <f t="shared" si="9"/>
        <v>0.33001730103806226</v>
      </c>
      <c r="T44" s="141">
        <f>SUM(T13:T43)</f>
        <v>7953.5139130434791</v>
      </c>
      <c r="U44" s="142">
        <f>SUM(U13:U43)</f>
        <v>53023.426086956533</v>
      </c>
      <c r="V44" s="143">
        <f>SUM(V13:V43)</f>
        <v>2648</v>
      </c>
      <c r="W44" s="141">
        <f t="shared" si="12"/>
        <v>0.5726643598615917</v>
      </c>
      <c r="X44" s="139">
        <f>SUM(X13:X43)</f>
        <v>11368.46</v>
      </c>
      <c r="Y44" s="140">
        <f t="shared" si="13"/>
        <v>0.1864386766538301</v>
      </c>
      <c r="Z44" s="144"/>
      <c r="AA44" s="139">
        <f t="shared" ref="AA44:AF44" si="20">SUM(AA13:AA43)</f>
        <v>142046.72</v>
      </c>
      <c r="AB44" s="139">
        <f t="shared" si="20"/>
        <v>112298.03695652177</v>
      </c>
      <c r="AC44" s="139">
        <f t="shared" si="20"/>
        <v>60976.94</v>
      </c>
      <c r="AD44" s="145">
        <f t="shared" si="20"/>
        <v>53023.426086956533</v>
      </c>
      <c r="AE44" s="139">
        <f t="shared" si="20"/>
        <v>203023.65999999997</v>
      </c>
      <c r="AF44" s="139">
        <f t="shared" si="20"/>
        <v>165321.46304347826</v>
      </c>
    </row>
    <row r="58" spans="21:22" ht="15" customHeight="1" x14ac:dyDescent="0.25">
      <c r="U58" s="5"/>
      <c r="V58" s="5"/>
    </row>
    <row r="59" spans="21:22" ht="15" customHeight="1" x14ac:dyDescent="0.25">
      <c r="U59" s="5"/>
      <c r="V59" s="5"/>
    </row>
    <row r="60" spans="21:22" ht="15" customHeight="1" x14ac:dyDescent="0.25">
      <c r="U60" s="5"/>
      <c r="V60" s="5"/>
    </row>
    <row r="61" spans="21:22" ht="15" customHeight="1" x14ac:dyDescent="0.25">
      <c r="U61" s="5"/>
      <c r="V61" s="5"/>
    </row>
    <row r="62" spans="21:22" ht="15" customHeight="1" x14ac:dyDescent="0.25">
      <c r="U62" s="5"/>
      <c r="V62" s="5"/>
    </row>
    <row r="63" spans="21:22" ht="15" customHeight="1" x14ac:dyDescent="0.25">
      <c r="U63" s="5"/>
      <c r="V63" s="5"/>
    </row>
    <row r="64" spans="21:22" ht="15" customHeight="1" x14ac:dyDescent="0.25">
      <c r="U64" s="5"/>
      <c r="V64" s="5"/>
    </row>
    <row r="65" spans="21:22" ht="15" customHeight="1" x14ac:dyDescent="0.25">
      <c r="U65" s="5"/>
      <c r="V65" s="5"/>
    </row>
    <row r="66" spans="21:22" ht="15" customHeight="1" x14ac:dyDescent="0.25">
      <c r="U66" s="5"/>
      <c r="V66" s="5"/>
    </row>
    <row r="67" spans="21:22" ht="15" customHeight="1" x14ac:dyDescent="0.25">
      <c r="U67" s="5"/>
      <c r="V67" s="5"/>
    </row>
    <row r="68" spans="21:22" ht="15" customHeight="1" x14ac:dyDescent="0.25">
      <c r="U68" s="5"/>
      <c r="V68" s="5"/>
    </row>
    <row r="69" spans="21:22" ht="15" customHeight="1" x14ac:dyDescent="0.25">
      <c r="U69" s="5"/>
      <c r="V69" s="5"/>
    </row>
    <row r="70" spans="21:22" ht="15" customHeight="1" x14ac:dyDescent="0.25">
      <c r="U70" s="5"/>
      <c r="V70" s="5"/>
    </row>
    <row r="71" spans="21:22" ht="15" customHeight="1" x14ac:dyDescent="0.25">
      <c r="U71" s="5"/>
      <c r="V71" s="5"/>
    </row>
    <row r="72" spans="21:22" ht="15" customHeight="1" x14ac:dyDescent="0.25">
      <c r="U72" s="5"/>
      <c r="V72" s="5"/>
    </row>
    <row r="73" spans="21:22" ht="15" customHeight="1" x14ac:dyDescent="0.25">
      <c r="U73" s="5"/>
      <c r="V73" s="5"/>
    </row>
    <row r="74" spans="21:22" ht="15" customHeight="1" x14ac:dyDescent="0.25">
      <c r="U74" s="5"/>
      <c r="V74" s="5"/>
    </row>
    <row r="75" spans="21:22" ht="15" customHeight="1" x14ac:dyDescent="0.25">
      <c r="U75" s="5"/>
      <c r="V75" s="5"/>
    </row>
    <row r="76" spans="21:22" ht="15" customHeight="1" x14ac:dyDescent="0.25">
      <c r="U76" s="5"/>
      <c r="V76" s="5"/>
    </row>
    <row r="77" spans="21:22" ht="15" customHeight="1" x14ac:dyDescent="0.25">
      <c r="U77" s="5"/>
      <c r="V77" s="5"/>
    </row>
    <row r="78" spans="21:22" ht="15" customHeight="1" x14ac:dyDescent="0.25">
      <c r="U78" s="5"/>
      <c r="V78" s="5"/>
    </row>
    <row r="79" spans="21:22" ht="15" customHeight="1" x14ac:dyDescent="0.25">
      <c r="U79" s="5"/>
      <c r="V79" s="5"/>
    </row>
    <row r="80" spans="21:22" ht="15" customHeight="1" x14ac:dyDescent="0.25">
      <c r="U80" s="5"/>
      <c r="V80" s="5"/>
    </row>
    <row r="81" spans="21:22" ht="15" customHeight="1" x14ac:dyDescent="0.25">
      <c r="U81" s="5"/>
      <c r="V81" s="5"/>
    </row>
    <row r="82" spans="21:22" ht="15" customHeight="1" x14ac:dyDescent="0.25">
      <c r="U82" s="5"/>
      <c r="V82" s="5"/>
    </row>
    <row r="83" spans="21:22" ht="15" customHeight="1" x14ac:dyDescent="0.25">
      <c r="U83" s="5"/>
      <c r="V83" s="5"/>
    </row>
    <row r="84" spans="21:22" ht="15" customHeight="1" x14ac:dyDescent="0.25">
      <c r="U84" s="5"/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4:C44"/>
    <mergeCell ref="G10:N10"/>
    <mergeCell ref="P10:Y10"/>
    <mergeCell ref="AA10:AB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F84"/>
  <sheetViews>
    <sheetView topLeftCell="A11" zoomScaleNormal="100" workbookViewId="0">
      <selection activeCell="X39" sqref="X39"/>
    </sheetView>
  </sheetViews>
  <sheetFormatPr defaultColWidth="13.5703125" defaultRowHeight="15" x14ac:dyDescent="0.25"/>
  <cols>
    <col min="1" max="1" width="2.5703125" style="160" customWidth="1"/>
    <col min="2" max="2" width="12.140625" style="160" customWidth="1"/>
    <col min="3" max="3" width="11.85546875" style="160" customWidth="1"/>
    <col min="4" max="4" width="8.5703125" style="160" customWidth="1"/>
    <col min="5" max="6" width="9.7109375" style="160" customWidth="1"/>
    <col min="7" max="7" width="9.7109375" style="164" customWidth="1"/>
    <col min="8" max="8" width="10" style="160" customWidth="1"/>
    <col min="9" max="9" width="9.7109375" style="160" customWidth="1"/>
    <col min="10" max="10" width="9.7109375" style="164" customWidth="1"/>
    <col min="11" max="11" width="10.28515625" style="165" customWidth="1"/>
    <col min="12" max="12" width="11.28515625" style="165" customWidth="1"/>
    <col min="13" max="14" width="9.7109375" style="164" customWidth="1"/>
    <col min="15" max="15" width="1.7109375" style="160" customWidth="1"/>
    <col min="16" max="19" width="9.7109375" style="160" customWidth="1"/>
    <col min="20" max="20" width="9.7109375" style="161" customWidth="1"/>
    <col min="21" max="23" width="9.7109375" style="160" customWidth="1"/>
    <col min="24" max="24" width="11.5703125" style="160" customWidth="1"/>
    <col min="25" max="25" width="9.7109375" style="160" customWidth="1"/>
    <col min="26" max="26" width="1.7109375" style="160" customWidth="1"/>
    <col min="27" max="27" width="10.28515625" style="160" customWidth="1"/>
    <col min="28" max="30" width="9.7109375" style="160" customWidth="1"/>
    <col min="31" max="32" width="10.28515625" style="160" customWidth="1"/>
    <col min="33" max="16384" width="13.5703125" style="160"/>
  </cols>
  <sheetData>
    <row r="2" spans="2:32" ht="21" customHeight="1" x14ac:dyDescent="0.35">
      <c r="B2" s="199" t="s">
        <v>0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</row>
    <row r="3" spans="2:32" ht="15" customHeight="1" x14ac:dyDescent="0.25">
      <c r="B3" s="200" t="s">
        <v>1</v>
      </c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</row>
    <row r="4" spans="2:32" ht="15" customHeight="1" x14ac:dyDescent="0.25"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</row>
    <row r="5" spans="2:32" s="124" customFormat="1" ht="14.25" customHeight="1" x14ac:dyDescent="0.25">
      <c r="B5" s="193" t="s">
        <v>2</v>
      </c>
      <c r="C5" s="193"/>
      <c r="D5" s="196" t="s">
        <v>3</v>
      </c>
      <c r="E5" s="196"/>
      <c r="F5" s="196"/>
      <c r="G5" s="193" t="s">
        <v>12</v>
      </c>
      <c r="H5" s="193"/>
      <c r="I5" s="194">
        <v>46266</v>
      </c>
      <c r="J5" s="194"/>
      <c r="K5" s="162"/>
      <c r="L5" s="162"/>
      <c r="M5" s="162"/>
      <c r="S5" s="163"/>
    </row>
    <row r="6" spans="2:32" s="124" customFormat="1" ht="14.25" customHeight="1" x14ac:dyDescent="0.25">
      <c r="B6" s="193" t="s">
        <v>6</v>
      </c>
      <c r="C6" s="193"/>
      <c r="D6" s="195" t="s">
        <v>32</v>
      </c>
      <c r="E6" s="195"/>
      <c r="F6" s="195"/>
      <c r="G6" s="193" t="s">
        <v>33</v>
      </c>
      <c r="H6" s="193"/>
      <c r="I6" s="193">
        <v>2026</v>
      </c>
      <c r="J6" s="193"/>
      <c r="K6" s="162"/>
      <c r="L6" s="162"/>
      <c r="M6" s="162"/>
      <c r="S6" s="163"/>
    </row>
    <row r="7" spans="2:32" s="124" customFormat="1" ht="14.25" customHeight="1" x14ac:dyDescent="0.25">
      <c r="B7" s="193" t="s">
        <v>9</v>
      </c>
      <c r="C7" s="193"/>
      <c r="D7" s="195">
        <v>4</v>
      </c>
      <c r="E7" s="195"/>
      <c r="F7" s="195"/>
      <c r="G7" s="193" t="s">
        <v>8</v>
      </c>
      <c r="H7" s="193"/>
      <c r="I7" s="191">
        <v>0.15</v>
      </c>
      <c r="J7" s="191"/>
      <c r="K7" s="162"/>
      <c r="L7" s="162"/>
      <c r="M7" s="162"/>
      <c r="S7" s="163"/>
    </row>
    <row r="8" spans="2:32" s="124" customFormat="1" ht="15.75" customHeight="1" x14ac:dyDescent="0.25">
      <c r="B8" s="193" t="s">
        <v>11</v>
      </c>
      <c r="C8" s="193"/>
      <c r="D8" s="195">
        <v>238</v>
      </c>
      <c r="E8" s="195"/>
      <c r="F8" s="195"/>
      <c r="G8" s="193" t="s">
        <v>10</v>
      </c>
      <c r="H8" s="193"/>
      <c r="I8" s="191">
        <v>0.1</v>
      </c>
      <c r="J8" s="191"/>
      <c r="K8" s="162"/>
      <c r="L8" s="162"/>
      <c r="M8" s="162"/>
      <c r="S8" s="163"/>
    </row>
    <row r="9" spans="2:32" ht="15.75" customHeight="1" x14ac:dyDescent="0.25">
      <c r="B9" s="198"/>
      <c r="C9" s="198"/>
      <c r="D9" s="198"/>
      <c r="E9" s="198"/>
      <c r="F9" s="151"/>
    </row>
    <row r="10" spans="2:32" ht="49.5" customHeight="1" x14ac:dyDescent="0.25">
      <c r="B10" s="166"/>
      <c r="C10" s="166"/>
      <c r="D10" s="167"/>
      <c r="E10" s="167"/>
      <c r="F10" s="168"/>
      <c r="G10" s="187" t="s">
        <v>34</v>
      </c>
      <c r="H10" s="187"/>
      <c r="I10" s="187"/>
      <c r="J10" s="187"/>
      <c r="K10" s="187"/>
      <c r="L10" s="187"/>
      <c r="M10" s="187"/>
      <c r="N10" s="187"/>
      <c r="O10" s="169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70" customFormat="1" ht="57.75" customHeight="1" x14ac:dyDescent="0.25">
      <c r="B11" s="107" t="s">
        <v>29</v>
      </c>
      <c r="C11" s="107" t="s">
        <v>39</v>
      </c>
      <c r="D11" s="107" t="s">
        <v>11</v>
      </c>
      <c r="E11" s="107" t="s">
        <v>40</v>
      </c>
      <c r="F11" s="107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2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2"/>
      <c r="AA11" s="111" t="s">
        <v>54</v>
      </c>
      <c r="AB11" s="111" t="s">
        <v>55</v>
      </c>
      <c r="AC11" s="111" t="s">
        <v>54</v>
      </c>
      <c r="AD11" s="111" t="s">
        <v>55</v>
      </c>
      <c r="AE11" s="111" t="s">
        <v>54</v>
      </c>
      <c r="AF11" s="111" t="s">
        <v>55</v>
      </c>
    </row>
    <row r="12" spans="2:32" s="170" customFormat="1" ht="14.25" customHeight="1" x14ac:dyDescent="0.25">
      <c r="B12" s="183" t="s">
        <v>56</v>
      </c>
      <c r="C12" s="183"/>
      <c r="D12" s="1">
        <f t="shared" ref="D12:N12" si="0">D43</f>
        <v>238</v>
      </c>
      <c r="E12" s="114">
        <f t="shared" si="0"/>
        <v>537</v>
      </c>
      <c r="F12" s="114">
        <f t="shared" si="0"/>
        <v>32243</v>
      </c>
      <c r="G12" s="114">
        <f t="shared" si="0"/>
        <v>1491</v>
      </c>
      <c r="H12" s="115">
        <f t="shared" si="0"/>
        <v>48128</v>
      </c>
      <c r="I12" s="115">
        <f t="shared" si="0"/>
        <v>32.27900737759893</v>
      </c>
      <c r="J12" s="116">
        <f t="shared" si="0"/>
        <v>4.6242595292001365E-2</v>
      </c>
      <c r="K12" s="115">
        <f t="shared" si="0"/>
        <v>6277.5652173913049</v>
      </c>
      <c r="L12" s="115">
        <f t="shared" si="0"/>
        <v>41850.434782608689</v>
      </c>
      <c r="M12" s="115">
        <f t="shared" si="0"/>
        <v>3600.8</v>
      </c>
      <c r="N12" s="115">
        <f t="shared" si="0"/>
        <v>38249.634782608708</v>
      </c>
      <c r="O12" s="2"/>
      <c r="P12" s="117">
        <f t="shared" ref="P12:Y12" si="1">P43</f>
        <v>22398</v>
      </c>
      <c r="Q12" s="117">
        <f t="shared" si="1"/>
        <v>15.022132796780683</v>
      </c>
      <c r="R12" s="118">
        <f t="shared" si="1"/>
        <v>575</v>
      </c>
      <c r="S12" s="119">
        <f t="shared" si="1"/>
        <v>0.38564721663313212</v>
      </c>
      <c r="T12" s="117">
        <f t="shared" si="1"/>
        <v>2921.478260869565</v>
      </c>
      <c r="U12" s="117">
        <f t="shared" si="1"/>
        <v>19476.521739130436</v>
      </c>
      <c r="V12" s="118">
        <f t="shared" si="1"/>
        <v>957</v>
      </c>
      <c r="W12" s="116">
        <f t="shared" si="1"/>
        <v>0.64185110663983902</v>
      </c>
      <c r="X12" s="117">
        <f t="shared" si="1"/>
        <v>3807.1399999999994</v>
      </c>
      <c r="Y12" s="116">
        <f t="shared" si="1"/>
        <v>0.16997678364139654</v>
      </c>
      <c r="Z12" s="2"/>
      <c r="AA12" s="117">
        <f t="shared" ref="AA12:AF12" si="2">AA43</f>
        <v>48128</v>
      </c>
      <c r="AB12" s="117">
        <f t="shared" si="2"/>
        <v>38249.634782608708</v>
      </c>
      <c r="AC12" s="117">
        <f t="shared" si="2"/>
        <v>22398</v>
      </c>
      <c r="AD12" s="117">
        <f t="shared" si="2"/>
        <v>19476.521739130436</v>
      </c>
      <c r="AE12" s="117">
        <f t="shared" si="2"/>
        <v>70526</v>
      </c>
      <c r="AF12" s="117">
        <f t="shared" si="2"/>
        <v>57726.15652173914</v>
      </c>
    </row>
    <row r="13" spans="2:32" ht="15" customHeight="1" x14ac:dyDescent="0.25">
      <c r="B13" s="90">
        <v>46266</v>
      </c>
      <c r="C13" s="124" t="s">
        <v>63</v>
      </c>
      <c r="D13" s="123">
        <v>238</v>
      </c>
      <c r="E13" s="124">
        <v>16</v>
      </c>
      <c r="F13" s="124">
        <v>952</v>
      </c>
      <c r="G13" s="124">
        <v>98</v>
      </c>
      <c r="H13" s="124">
        <v>2198</v>
      </c>
      <c r="I13" s="125">
        <f t="shared" ref="I13:I43" si="3">IFERROR(H13/G13,0)</f>
        <v>22.428571428571427</v>
      </c>
      <c r="J13" s="126">
        <f t="shared" ref="J13:J42" si="4">IFERROR(G13/F13,0)</f>
        <v>0.10294117647058823</v>
      </c>
      <c r="K13" s="127">
        <f t="shared" ref="K13:K42" si="5">H13*15/115</f>
        <v>286.69565217391306</v>
      </c>
      <c r="L13" s="127">
        <f t="shared" ref="L13:L42" si="6">H13-K13</f>
        <v>1911.304347826087</v>
      </c>
      <c r="M13" s="128">
        <v>181.41</v>
      </c>
      <c r="N13" s="129">
        <f t="shared" ref="N13:N42" si="7">L13-M13</f>
        <v>1729.8943478260869</v>
      </c>
      <c r="O13" s="46"/>
      <c r="P13" s="46">
        <v>947</v>
      </c>
      <c r="Q13" s="125">
        <f t="shared" ref="Q13:Q43" si="8">IFERROR(P13/G13,0)</f>
        <v>9.6632653061224492</v>
      </c>
      <c r="R13" s="131">
        <v>23</v>
      </c>
      <c r="S13" s="132">
        <f t="shared" ref="S13:S43" si="9">IFERROR((R13/G13),0)</f>
        <v>0.23469387755102042</v>
      </c>
      <c r="T13" s="133">
        <f t="shared" ref="T13:T42" si="10">P13*15/115</f>
        <v>123.52173913043478</v>
      </c>
      <c r="U13" s="133">
        <f t="shared" ref="U13:U42" si="11">P13-T13</f>
        <v>823.47826086956525</v>
      </c>
      <c r="V13" s="131">
        <v>38</v>
      </c>
      <c r="W13" s="126">
        <f t="shared" ref="W13:W43" si="12">IFERROR(V13/G13,0)</f>
        <v>0.38775510204081631</v>
      </c>
      <c r="X13" s="46">
        <v>147.11000000000001</v>
      </c>
      <c r="Y13" s="126">
        <f t="shared" ref="Y13:Y43" si="13">IFERROR((X13/P13),0)</f>
        <v>0.15534318901795144</v>
      </c>
      <c r="Z13" s="49"/>
      <c r="AA13" s="125">
        <f t="shared" ref="AA13:AA42" si="14">H13</f>
        <v>2198</v>
      </c>
      <c r="AB13" s="125">
        <f t="shared" ref="AB13:AB42" si="15">N13</f>
        <v>1729.8943478260869</v>
      </c>
      <c r="AC13" s="135">
        <f t="shared" ref="AC13:AC42" si="16">P13</f>
        <v>947</v>
      </c>
      <c r="AD13" s="125">
        <f t="shared" ref="AD13:AD42" si="17">U13</f>
        <v>823.47826086956525</v>
      </c>
      <c r="AE13" s="125">
        <f t="shared" ref="AE13:AE42" si="18">AA13+AC13</f>
        <v>3145</v>
      </c>
      <c r="AF13" s="46">
        <f t="shared" ref="AF13:AF42" si="19">AB13+AD13</f>
        <v>2553.3726086956522</v>
      </c>
    </row>
    <row r="14" spans="2:32" ht="15" customHeight="1" x14ac:dyDescent="0.25">
      <c r="B14" s="90">
        <v>46267</v>
      </c>
      <c r="C14" s="124" t="s">
        <v>64</v>
      </c>
      <c r="D14" s="123">
        <v>238</v>
      </c>
      <c r="E14" s="124">
        <v>16</v>
      </c>
      <c r="F14" s="124">
        <v>952</v>
      </c>
      <c r="G14" s="124">
        <v>121</v>
      </c>
      <c r="H14" s="124">
        <v>2846</v>
      </c>
      <c r="I14" s="125">
        <f t="shared" si="3"/>
        <v>23.520661157024794</v>
      </c>
      <c r="J14" s="126">
        <f t="shared" si="4"/>
        <v>0.12710084033613445</v>
      </c>
      <c r="K14" s="127">
        <f t="shared" si="5"/>
        <v>371.21739130434781</v>
      </c>
      <c r="L14" s="127">
        <f t="shared" si="6"/>
        <v>2474.782608695652</v>
      </c>
      <c r="M14" s="128">
        <v>203.15</v>
      </c>
      <c r="N14" s="129">
        <f t="shared" si="7"/>
        <v>2271.6326086956519</v>
      </c>
      <c r="O14" s="46"/>
      <c r="P14" s="46">
        <v>1346</v>
      </c>
      <c r="Q14" s="125">
        <f t="shared" si="8"/>
        <v>11.12396694214876</v>
      </c>
      <c r="R14" s="131">
        <v>28</v>
      </c>
      <c r="S14" s="132">
        <f t="shared" si="9"/>
        <v>0.23140495867768596</v>
      </c>
      <c r="T14" s="133">
        <f t="shared" si="10"/>
        <v>175.56521739130434</v>
      </c>
      <c r="U14" s="133">
        <f t="shared" si="11"/>
        <v>1170.4347826086957</v>
      </c>
      <c r="V14" s="131">
        <v>51</v>
      </c>
      <c r="W14" s="126">
        <f t="shared" si="12"/>
        <v>0.42148760330578511</v>
      </c>
      <c r="X14" s="46">
        <v>201.09</v>
      </c>
      <c r="Y14" s="126">
        <f t="shared" si="13"/>
        <v>0.14939821693907876</v>
      </c>
      <c r="Z14" s="49"/>
      <c r="AA14" s="125">
        <f t="shared" si="14"/>
        <v>2846</v>
      </c>
      <c r="AB14" s="125">
        <f t="shared" si="15"/>
        <v>2271.6326086956519</v>
      </c>
      <c r="AC14" s="135">
        <f t="shared" si="16"/>
        <v>1346</v>
      </c>
      <c r="AD14" s="125">
        <f t="shared" si="17"/>
        <v>1170.4347826086957</v>
      </c>
      <c r="AE14" s="125">
        <f t="shared" si="18"/>
        <v>4192</v>
      </c>
      <c r="AF14" s="46">
        <f t="shared" si="19"/>
        <v>3442.0673913043474</v>
      </c>
    </row>
    <row r="15" spans="2:32" ht="15" customHeight="1" x14ac:dyDescent="0.25">
      <c r="B15" s="90">
        <v>46268</v>
      </c>
      <c r="C15" s="124" t="s">
        <v>57</v>
      </c>
      <c r="D15" s="123">
        <v>238</v>
      </c>
      <c r="E15" s="124">
        <v>18</v>
      </c>
      <c r="F15" s="124">
        <v>1096</v>
      </c>
      <c r="G15" s="124">
        <v>176</v>
      </c>
      <c r="H15" s="124">
        <v>7098</v>
      </c>
      <c r="I15" s="125">
        <f t="shared" si="3"/>
        <v>40.329545454545453</v>
      </c>
      <c r="J15" s="126">
        <f t="shared" si="4"/>
        <v>0.16058394160583941</v>
      </c>
      <c r="K15" s="127">
        <f t="shared" si="5"/>
        <v>925.82608695652175</v>
      </c>
      <c r="L15" s="127">
        <f t="shared" si="6"/>
        <v>6172.173913043478</v>
      </c>
      <c r="M15" s="128">
        <v>553.17999999999995</v>
      </c>
      <c r="N15" s="129">
        <f t="shared" si="7"/>
        <v>5618.9939130434777</v>
      </c>
      <c r="O15" s="46"/>
      <c r="P15" s="46">
        <v>1389</v>
      </c>
      <c r="Q15" s="125">
        <f t="shared" si="8"/>
        <v>7.8920454545454541</v>
      </c>
      <c r="R15" s="131">
        <v>36</v>
      </c>
      <c r="S15" s="132">
        <f t="shared" si="9"/>
        <v>0.20454545454545456</v>
      </c>
      <c r="T15" s="133">
        <f t="shared" si="10"/>
        <v>181.17391304347825</v>
      </c>
      <c r="U15" s="133">
        <f t="shared" si="11"/>
        <v>1207.8260869565217</v>
      </c>
      <c r="V15" s="131">
        <v>63</v>
      </c>
      <c r="W15" s="126">
        <f t="shared" si="12"/>
        <v>0.35795454545454547</v>
      </c>
      <c r="X15" s="46">
        <v>202.93</v>
      </c>
      <c r="Y15" s="126">
        <f t="shared" si="13"/>
        <v>0.14609791216702664</v>
      </c>
      <c r="Z15" s="49"/>
      <c r="AA15" s="125">
        <f t="shared" si="14"/>
        <v>7098</v>
      </c>
      <c r="AB15" s="125">
        <f t="shared" si="15"/>
        <v>5618.9939130434777</v>
      </c>
      <c r="AC15" s="135">
        <f t="shared" si="16"/>
        <v>1389</v>
      </c>
      <c r="AD15" s="125">
        <f t="shared" si="17"/>
        <v>1207.8260869565217</v>
      </c>
      <c r="AE15" s="125">
        <f t="shared" si="18"/>
        <v>8487</v>
      </c>
      <c r="AF15" s="46">
        <f t="shared" si="19"/>
        <v>6826.82</v>
      </c>
    </row>
    <row r="16" spans="2:32" ht="15" customHeight="1" x14ac:dyDescent="0.25">
      <c r="B16" s="90">
        <v>46269</v>
      </c>
      <c r="C16" s="124" t="s">
        <v>59</v>
      </c>
      <c r="D16" s="123">
        <v>238</v>
      </c>
      <c r="E16" s="124">
        <v>17</v>
      </c>
      <c r="F16" s="124">
        <v>1032</v>
      </c>
      <c r="G16" s="124">
        <v>140</v>
      </c>
      <c r="H16" s="124">
        <v>5650</v>
      </c>
      <c r="I16" s="125">
        <f t="shared" si="3"/>
        <v>40.357142857142854</v>
      </c>
      <c r="J16" s="126">
        <f t="shared" si="4"/>
        <v>0.13565891472868216</v>
      </c>
      <c r="K16" s="127">
        <f t="shared" si="5"/>
        <v>736.95652173913038</v>
      </c>
      <c r="L16" s="127">
        <f t="shared" si="6"/>
        <v>4913.04347826087</v>
      </c>
      <c r="M16" s="124">
        <v>366.75</v>
      </c>
      <c r="N16" s="129">
        <f t="shared" si="7"/>
        <v>4546.29347826087</v>
      </c>
      <c r="O16" s="46"/>
      <c r="P16" s="46">
        <v>2309</v>
      </c>
      <c r="Q16" s="125">
        <f t="shared" si="8"/>
        <v>16.492857142857144</v>
      </c>
      <c r="R16" s="131">
        <v>53</v>
      </c>
      <c r="S16" s="132">
        <f t="shared" si="9"/>
        <v>0.37857142857142856</v>
      </c>
      <c r="T16" s="133">
        <f t="shared" si="10"/>
        <v>301.17391304347825</v>
      </c>
      <c r="U16" s="133">
        <f t="shared" si="11"/>
        <v>2007.8260869565217</v>
      </c>
      <c r="V16" s="131">
        <v>99</v>
      </c>
      <c r="W16" s="126">
        <f t="shared" si="12"/>
        <v>0.70714285714285718</v>
      </c>
      <c r="X16" s="46">
        <v>368.81</v>
      </c>
      <c r="Y16" s="126">
        <f t="shared" si="13"/>
        <v>0.15972715461238632</v>
      </c>
      <c r="Z16" s="49"/>
      <c r="AA16" s="125">
        <f t="shared" si="14"/>
        <v>5650</v>
      </c>
      <c r="AB16" s="125">
        <f t="shared" si="15"/>
        <v>4546.29347826087</v>
      </c>
      <c r="AC16" s="135">
        <f t="shared" si="16"/>
        <v>2309</v>
      </c>
      <c r="AD16" s="125">
        <f t="shared" si="17"/>
        <v>2007.8260869565217</v>
      </c>
      <c r="AE16" s="125">
        <f t="shared" si="18"/>
        <v>7959</v>
      </c>
      <c r="AF16" s="46">
        <f t="shared" si="19"/>
        <v>6554.1195652173919</v>
      </c>
    </row>
    <row r="17" spans="2:32" ht="15" customHeight="1" x14ac:dyDescent="0.25">
      <c r="B17" s="90">
        <v>46270</v>
      </c>
      <c r="C17" s="124" t="s">
        <v>60</v>
      </c>
      <c r="D17" s="123">
        <v>238</v>
      </c>
      <c r="E17" s="124">
        <v>21</v>
      </c>
      <c r="F17" s="124">
        <v>1270</v>
      </c>
      <c r="G17" s="124">
        <v>60</v>
      </c>
      <c r="H17" s="124">
        <v>2350</v>
      </c>
      <c r="I17" s="125">
        <f t="shared" si="3"/>
        <v>39.166666666666664</v>
      </c>
      <c r="J17" s="126">
        <f t="shared" si="4"/>
        <v>4.7244094488188976E-2</v>
      </c>
      <c r="K17" s="127">
        <f t="shared" si="5"/>
        <v>306.52173913043481</v>
      </c>
      <c r="L17" s="127">
        <f t="shared" si="6"/>
        <v>2043.4782608695652</v>
      </c>
      <c r="M17" s="124">
        <v>191.11</v>
      </c>
      <c r="N17" s="129">
        <f t="shared" si="7"/>
        <v>1852.3682608695653</v>
      </c>
      <c r="O17" s="46"/>
      <c r="P17" s="124">
        <v>906</v>
      </c>
      <c r="Q17" s="125">
        <f t="shared" si="8"/>
        <v>15.1</v>
      </c>
      <c r="R17" s="124">
        <v>20</v>
      </c>
      <c r="S17" s="132">
        <f t="shared" si="9"/>
        <v>0.33333333333333331</v>
      </c>
      <c r="T17" s="133">
        <f t="shared" si="10"/>
        <v>118.17391304347827</v>
      </c>
      <c r="U17" s="133">
        <f t="shared" si="11"/>
        <v>787.82608695652175</v>
      </c>
      <c r="V17" s="124">
        <v>41</v>
      </c>
      <c r="W17" s="126">
        <f t="shared" si="12"/>
        <v>0.68333333333333335</v>
      </c>
      <c r="X17" s="124">
        <v>139.15</v>
      </c>
      <c r="Y17" s="126">
        <f t="shared" si="13"/>
        <v>0.15358719646799118</v>
      </c>
      <c r="Z17" s="49"/>
      <c r="AA17" s="125">
        <f t="shared" si="14"/>
        <v>2350</v>
      </c>
      <c r="AB17" s="125">
        <f t="shared" si="15"/>
        <v>1852.3682608695653</v>
      </c>
      <c r="AC17" s="135">
        <f t="shared" si="16"/>
        <v>906</v>
      </c>
      <c r="AD17" s="125">
        <f t="shared" si="17"/>
        <v>787.82608695652175</v>
      </c>
      <c r="AE17" s="125">
        <f t="shared" si="18"/>
        <v>3256</v>
      </c>
      <c r="AF17" s="46">
        <f t="shared" si="19"/>
        <v>2640.1943478260873</v>
      </c>
    </row>
    <row r="18" spans="2:32" ht="15" customHeight="1" x14ac:dyDescent="0.25">
      <c r="B18" s="90">
        <v>46271</v>
      </c>
      <c r="C18" s="124" t="s">
        <v>61</v>
      </c>
      <c r="D18" s="123">
        <v>238</v>
      </c>
      <c r="E18" s="124">
        <v>16</v>
      </c>
      <c r="F18" s="124">
        <v>952</v>
      </c>
      <c r="G18" s="124">
        <v>62</v>
      </c>
      <c r="H18" s="124">
        <v>1368</v>
      </c>
      <c r="I18" s="125">
        <f t="shared" si="3"/>
        <v>22.06451612903226</v>
      </c>
      <c r="J18" s="126">
        <f t="shared" si="4"/>
        <v>6.5126050420168072E-2</v>
      </c>
      <c r="K18" s="127">
        <f t="shared" si="5"/>
        <v>178.43478260869566</v>
      </c>
      <c r="L18" s="127">
        <f t="shared" si="6"/>
        <v>1189.5652173913043</v>
      </c>
      <c r="M18" s="124">
        <v>97.4</v>
      </c>
      <c r="N18" s="129">
        <f t="shared" si="7"/>
        <v>1092.1652173913042</v>
      </c>
      <c r="O18" s="46"/>
      <c r="P18" s="124">
        <v>555</v>
      </c>
      <c r="Q18" s="125">
        <f t="shared" si="8"/>
        <v>8.9516129032258061</v>
      </c>
      <c r="R18" s="124">
        <v>13</v>
      </c>
      <c r="S18" s="132">
        <f t="shared" si="9"/>
        <v>0.20967741935483872</v>
      </c>
      <c r="T18" s="133">
        <f t="shared" si="10"/>
        <v>72.391304347826093</v>
      </c>
      <c r="U18" s="133">
        <f t="shared" si="11"/>
        <v>482.60869565217388</v>
      </c>
      <c r="V18" s="124">
        <v>24</v>
      </c>
      <c r="W18" s="126">
        <f t="shared" si="12"/>
        <v>0.38709677419354838</v>
      </c>
      <c r="X18" s="124">
        <v>98.4</v>
      </c>
      <c r="Y18" s="126">
        <f t="shared" si="13"/>
        <v>0.17729729729729732</v>
      </c>
      <c r="Z18" s="49"/>
      <c r="AA18" s="125">
        <f t="shared" si="14"/>
        <v>1368</v>
      </c>
      <c r="AB18" s="125">
        <f t="shared" si="15"/>
        <v>1092.1652173913042</v>
      </c>
      <c r="AC18" s="135">
        <f t="shared" si="16"/>
        <v>555</v>
      </c>
      <c r="AD18" s="125">
        <f t="shared" si="17"/>
        <v>482.60869565217388</v>
      </c>
      <c r="AE18" s="125">
        <f t="shared" si="18"/>
        <v>1923</v>
      </c>
      <c r="AF18" s="46">
        <f t="shared" si="19"/>
        <v>1574.7739130434779</v>
      </c>
    </row>
    <row r="19" spans="2:32" ht="15" customHeight="1" x14ac:dyDescent="0.25">
      <c r="B19" s="90">
        <v>46272</v>
      </c>
      <c r="C19" s="124" t="s">
        <v>62</v>
      </c>
      <c r="D19" s="123">
        <v>238</v>
      </c>
      <c r="E19" s="124">
        <v>16</v>
      </c>
      <c r="F19" s="124">
        <v>952</v>
      </c>
      <c r="G19" s="124">
        <v>40</v>
      </c>
      <c r="H19" s="124">
        <v>788</v>
      </c>
      <c r="I19" s="125">
        <f t="shared" si="3"/>
        <v>19.7</v>
      </c>
      <c r="J19" s="126">
        <f t="shared" si="4"/>
        <v>4.2016806722689079E-2</v>
      </c>
      <c r="K19" s="127">
        <f t="shared" si="5"/>
        <v>102.78260869565217</v>
      </c>
      <c r="L19" s="127">
        <f t="shared" si="6"/>
        <v>685.21739130434787</v>
      </c>
      <c r="M19" s="124">
        <v>52.01</v>
      </c>
      <c r="N19" s="129">
        <f t="shared" si="7"/>
        <v>633.20739130434788</v>
      </c>
      <c r="O19" s="46"/>
      <c r="P19" s="124">
        <v>533</v>
      </c>
      <c r="Q19" s="125">
        <f t="shared" si="8"/>
        <v>13.324999999999999</v>
      </c>
      <c r="R19" s="124">
        <v>11</v>
      </c>
      <c r="S19" s="132">
        <f t="shared" si="9"/>
        <v>0.27500000000000002</v>
      </c>
      <c r="T19" s="133">
        <f t="shared" si="10"/>
        <v>69.521739130434781</v>
      </c>
      <c r="U19" s="133">
        <f t="shared" si="11"/>
        <v>463.47826086956525</v>
      </c>
      <c r="V19" s="124">
        <v>17</v>
      </c>
      <c r="W19" s="126">
        <f t="shared" si="12"/>
        <v>0.42499999999999999</v>
      </c>
      <c r="X19" s="124">
        <v>97.91</v>
      </c>
      <c r="Y19" s="126">
        <f t="shared" si="13"/>
        <v>0.18369606003752345</v>
      </c>
      <c r="Z19" s="49"/>
      <c r="AA19" s="125">
        <f t="shared" si="14"/>
        <v>788</v>
      </c>
      <c r="AB19" s="125">
        <f t="shared" si="15"/>
        <v>633.20739130434788</v>
      </c>
      <c r="AC19" s="135">
        <f t="shared" si="16"/>
        <v>533</v>
      </c>
      <c r="AD19" s="125">
        <f t="shared" si="17"/>
        <v>463.47826086956525</v>
      </c>
      <c r="AE19" s="125">
        <f t="shared" si="18"/>
        <v>1321</v>
      </c>
      <c r="AF19" s="46">
        <f t="shared" si="19"/>
        <v>1096.6856521739132</v>
      </c>
    </row>
    <row r="20" spans="2:32" ht="15" customHeight="1" x14ac:dyDescent="0.25">
      <c r="B20" s="90">
        <v>46273</v>
      </c>
      <c r="C20" s="124" t="s">
        <v>63</v>
      </c>
      <c r="D20" s="123">
        <v>238</v>
      </c>
      <c r="E20" s="124">
        <v>16</v>
      </c>
      <c r="F20" s="124">
        <v>952</v>
      </c>
      <c r="G20" s="124">
        <v>23</v>
      </c>
      <c r="H20" s="124">
        <v>520</v>
      </c>
      <c r="I20" s="125">
        <f t="shared" si="3"/>
        <v>22.608695652173914</v>
      </c>
      <c r="J20" s="126">
        <f t="shared" si="4"/>
        <v>2.4159663865546219E-2</v>
      </c>
      <c r="K20" s="127">
        <f t="shared" si="5"/>
        <v>67.826086956521735</v>
      </c>
      <c r="L20" s="127">
        <f t="shared" si="6"/>
        <v>452.17391304347825</v>
      </c>
      <c r="M20" s="124">
        <v>42.27</v>
      </c>
      <c r="N20" s="129">
        <f t="shared" si="7"/>
        <v>409.90391304347827</v>
      </c>
      <c r="O20" s="46"/>
      <c r="P20" s="124">
        <v>400</v>
      </c>
      <c r="Q20" s="125">
        <f t="shared" si="8"/>
        <v>17.391304347826086</v>
      </c>
      <c r="R20" s="124">
        <v>10</v>
      </c>
      <c r="S20" s="132">
        <f t="shared" si="9"/>
        <v>0.43478260869565216</v>
      </c>
      <c r="T20" s="133">
        <f t="shared" si="10"/>
        <v>52.173913043478258</v>
      </c>
      <c r="U20" s="133">
        <f t="shared" si="11"/>
        <v>347.82608695652175</v>
      </c>
      <c r="V20" s="124">
        <v>18</v>
      </c>
      <c r="W20" s="126">
        <f t="shared" si="12"/>
        <v>0.78260869565217395</v>
      </c>
      <c r="X20" s="124">
        <v>75.75</v>
      </c>
      <c r="Y20" s="126">
        <f t="shared" si="13"/>
        <v>0.18937499999999999</v>
      </c>
      <c r="Z20" s="49"/>
      <c r="AA20" s="125">
        <f t="shared" si="14"/>
        <v>520</v>
      </c>
      <c r="AB20" s="125">
        <f t="shared" si="15"/>
        <v>409.90391304347827</v>
      </c>
      <c r="AC20" s="135">
        <f t="shared" si="16"/>
        <v>400</v>
      </c>
      <c r="AD20" s="125">
        <f t="shared" si="17"/>
        <v>347.82608695652175</v>
      </c>
      <c r="AE20" s="125">
        <f t="shared" si="18"/>
        <v>920</v>
      </c>
      <c r="AF20" s="46">
        <f t="shared" si="19"/>
        <v>757.73</v>
      </c>
    </row>
    <row r="21" spans="2:32" ht="15" customHeight="1" x14ac:dyDescent="0.25">
      <c r="B21" s="90">
        <v>46274</v>
      </c>
      <c r="C21" s="124" t="s">
        <v>64</v>
      </c>
      <c r="D21" s="123">
        <v>238</v>
      </c>
      <c r="E21" s="124">
        <v>16</v>
      </c>
      <c r="F21" s="124">
        <v>952</v>
      </c>
      <c r="G21" s="124">
        <v>37</v>
      </c>
      <c r="H21" s="124">
        <v>954</v>
      </c>
      <c r="I21" s="125">
        <f t="shared" si="3"/>
        <v>25.783783783783782</v>
      </c>
      <c r="J21" s="126">
        <f t="shared" si="4"/>
        <v>3.8865546218487396E-2</v>
      </c>
      <c r="K21" s="127">
        <f t="shared" si="5"/>
        <v>124.43478260869566</v>
      </c>
      <c r="L21" s="127">
        <f t="shared" si="6"/>
        <v>829.56521739130437</v>
      </c>
      <c r="M21" s="124">
        <v>49.05</v>
      </c>
      <c r="N21" s="129">
        <f t="shared" si="7"/>
        <v>780.51521739130442</v>
      </c>
      <c r="O21" s="46"/>
      <c r="P21" s="124">
        <v>562</v>
      </c>
      <c r="Q21" s="125">
        <f t="shared" si="8"/>
        <v>15.189189189189189</v>
      </c>
      <c r="R21" s="124">
        <v>10</v>
      </c>
      <c r="S21" s="132">
        <f t="shared" si="9"/>
        <v>0.27027027027027029</v>
      </c>
      <c r="T21" s="133">
        <f t="shared" si="10"/>
        <v>73.304347826086953</v>
      </c>
      <c r="U21" s="133">
        <f t="shared" si="11"/>
        <v>488.69565217391306</v>
      </c>
      <c r="V21" s="124">
        <v>20</v>
      </c>
      <c r="W21" s="126">
        <f t="shared" si="12"/>
        <v>0.54054054054054057</v>
      </c>
      <c r="X21" s="124">
        <v>95.65</v>
      </c>
      <c r="Y21" s="126">
        <f t="shared" si="13"/>
        <v>0.17019572953736656</v>
      </c>
      <c r="Z21" s="49"/>
      <c r="AA21" s="125">
        <f t="shared" si="14"/>
        <v>954</v>
      </c>
      <c r="AB21" s="125">
        <f t="shared" si="15"/>
        <v>780.51521739130442</v>
      </c>
      <c r="AC21" s="135">
        <f t="shared" si="16"/>
        <v>562</v>
      </c>
      <c r="AD21" s="125">
        <f t="shared" si="17"/>
        <v>488.69565217391306</v>
      </c>
      <c r="AE21" s="125">
        <f t="shared" si="18"/>
        <v>1516</v>
      </c>
      <c r="AF21" s="46">
        <f t="shared" si="19"/>
        <v>1269.2108695652175</v>
      </c>
    </row>
    <row r="22" spans="2:32" ht="15" customHeight="1" x14ac:dyDescent="0.25">
      <c r="B22" s="90">
        <v>46275</v>
      </c>
      <c r="C22" s="124" t="s">
        <v>57</v>
      </c>
      <c r="D22" s="123">
        <v>238</v>
      </c>
      <c r="E22" s="124">
        <v>18</v>
      </c>
      <c r="F22" s="124">
        <v>1112</v>
      </c>
      <c r="G22" s="124">
        <v>106</v>
      </c>
      <c r="H22" s="124">
        <v>4756</v>
      </c>
      <c r="I22" s="125">
        <f t="shared" si="3"/>
        <v>44.867924528301884</v>
      </c>
      <c r="J22" s="126">
        <f t="shared" si="4"/>
        <v>9.5323741007194249E-2</v>
      </c>
      <c r="K22" s="127">
        <f t="shared" si="5"/>
        <v>620.3478260869565</v>
      </c>
      <c r="L22" s="127">
        <f t="shared" si="6"/>
        <v>4135.652173913044</v>
      </c>
      <c r="M22" s="124">
        <v>360.7</v>
      </c>
      <c r="N22" s="129">
        <f t="shared" si="7"/>
        <v>3774.9521739130441</v>
      </c>
      <c r="O22" s="46"/>
      <c r="P22" s="124">
        <v>794</v>
      </c>
      <c r="Q22" s="125">
        <f t="shared" si="8"/>
        <v>7.4905660377358494</v>
      </c>
      <c r="R22" s="124">
        <v>21</v>
      </c>
      <c r="S22" s="132">
        <f t="shared" si="9"/>
        <v>0.19811320754716982</v>
      </c>
      <c r="T22" s="133">
        <f t="shared" si="10"/>
        <v>103.56521739130434</v>
      </c>
      <c r="U22" s="133">
        <f t="shared" si="11"/>
        <v>690.43478260869563</v>
      </c>
      <c r="V22" s="124">
        <v>37</v>
      </c>
      <c r="W22" s="126">
        <f t="shared" si="12"/>
        <v>0.34905660377358488</v>
      </c>
      <c r="X22" s="124">
        <v>130.81</v>
      </c>
      <c r="Y22" s="126">
        <f t="shared" si="13"/>
        <v>0.16474811083123425</v>
      </c>
      <c r="Z22" s="49"/>
      <c r="AA22" s="125">
        <f t="shared" si="14"/>
        <v>4756</v>
      </c>
      <c r="AB22" s="125">
        <f t="shared" si="15"/>
        <v>3774.9521739130441</v>
      </c>
      <c r="AC22" s="135">
        <f t="shared" si="16"/>
        <v>794</v>
      </c>
      <c r="AD22" s="125">
        <f t="shared" si="17"/>
        <v>690.43478260869563</v>
      </c>
      <c r="AE22" s="125">
        <f t="shared" si="18"/>
        <v>5550</v>
      </c>
      <c r="AF22" s="46">
        <f t="shared" si="19"/>
        <v>4465.3869565217401</v>
      </c>
    </row>
    <row r="23" spans="2:32" ht="15" customHeight="1" x14ac:dyDescent="0.25">
      <c r="B23" s="90">
        <v>46276</v>
      </c>
      <c r="C23" s="124" t="s">
        <v>59</v>
      </c>
      <c r="D23" s="123">
        <v>238</v>
      </c>
      <c r="E23" s="124">
        <v>17</v>
      </c>
      <c r="F23" s="124">
        <v>1032</v>
      </c>
      <c r="G23" s="124">
        <v>92</v>
      </c>
      <c r="H23" s="124">
        <v>3556</v>
      </c>
      <c r="I23" s="125">
        <f t="shared" si="3"/>
        <v>38.652173913043477</v>
      </c>
      <c r="J23" s="126">
        <f t="shared" si="4"/>
        <v>8.9147286821705432E-2</v>
      </c>
      <c r="K23" s="127">
        <f t="shared" si="5"/>
        <v>463.82608695652175</v>
      </c>
      <c r="L23" s="127">
        <f t="shared" si="6"/>
        <v>3092.173913043478</v>
      </c>
      <c r="M23" s="124">
        <v>276.14999999999998</v>
      </c>
      <c r="N23" s="129">
        <f t="shared" si="7"/>
        <v>2816.0239130434779</v>
      </c>
      <c r="O23" s="46"/>
      <c r="P23" s="124">
        <v>1017</v>
      </c>
      <c r="Q23" s="125">
        <f t="shared" si="8"/>
        <v>11.054347826086957</v>
      </c>
      <c r="R23" s="124">
        <v>27</v>
      </c>
      <c r="S23" s="132">
        <f t="shared" si="9"/>
        <v>0.29347826086956524</v>
      </c>
      <c r="T23" s="133">
        <f t="shared" si="10"/>
        <v>132.65217391304347</v>
      </c>
      <c r="U23" s="133">
        <f t="shared" si="11"/>
        <v>884.3478260869565</v>
      </c>
      <c r="V23" s="124">
        <v>48</v>
      </c>
      <c r="W23" s="126">
        <f t="shared" si="12"/>
        <v>0.52173913043478259</v>
      </c>
      <c r="X23" s="124">
        <v>155.16</v>
      </c>
      <c r="Y23" s="126">
        <f t="shared" si="13"/>
        <v>0.15256637168141593</v>
      </c>
      <c r="Z23" s="49"/>
      <c r="AA23" s="125">
        <f t="shared" si="14"/>
        <v>3556</v>
      </c>
      <c r="AB23" s="125">
        <f t="shared" si="15"/>
        <v>2816.0239130434779</v>
      </c>
      <c r="AC23" s="135">
        <f t="shared" si="16"/>
        <v>1017</v>
      </c>
      <c r="AD23" s="125">
        <f t="shared" si="17"/>
        <v>884.3478260869565</v>
      </c>
      <c r="AE23" s="125">
        <f t="shared" si="18"/>
        <v>4573</v>
      </c>
      <c r="AF23" s="46">
        <f t="shared" si="19"/>
        <v>3700.3717391304344</v>
      </c>
    </row>
    <row r="24" spans="2:32" ht="15" customHeight="1" x14ac:dyDescent="0.25">
      <c r="B24" s="90">
        <v>46277</v>
      </c>
      <c r="C24" s="124" t="s">
        <v>60</v>
      </c>
      <c r="D24" s="123">
        <v>238</v>
      </c>
      <c r="E24" s="124">
        <v>20</v>
      </c>
      <c r="F24" s="124">
        <v>1233</v>
      </c>
      <c r="G24" s="124">
        <v>9</v>
      </c>
      <c r="H24" s="124">
        <v>342</v>
      </c>
      <c r="I24" s="125">
        <f t="shared" si="3"/>
        <v>38</v>
      </c>
      <c r="J24" s="126">
        <f t="shared" si="4"/>
        <v>7.2992700729927005E-3</v>
      </c>
      <c r="K24" s="127">
        <f t="shared" si="5"/>
        <v>44.608695652173914</v>
      </c>
      <c r="L24" s="127">
        <f t="shared" si="6"/>
        <v>297.39130434782606</v>
      </c>
      <c r="M24" s="124">
        <v>29.74</v>
      </c>
      <c r="N24" s="129">
        <f t="shared" si="7"/>
        <v>267.65130434782606</v>
      </c>
      <c r="O24" s="46"/>
      <c r="P24" s="124">
        <v>171</v>
      </c>
      <c r="Q24" s="125">
        <f t="shared" si="8"/>
        <v>19</v>
      </c>
      <c r="R24" s="124">
        <v>6</v>
      </c>
      <c r="S24" s="132">
        <f t="shared" si="9"/>
        <v>0.66666666666666663</v>
      </c>
      <c r="T24" s="133">
        <f t="shared" si="10"/>
        <v>22.304347826086957</v>
      </c>
      <c r="U24" s="133">
        <f t="shared" si="11"/>
        <v>148.69565217391303</v>
      </c>
      <c r="V24" s="124">
        <v>7</v>
      </c>
      <c r="W24" s="126">
        <f t="shared" si="12"/>
        <v>0.77777777777777779</v>
      </c>
      <c r="X24" s="124">
        <v>22.04</v>
      </c>
      <c r="Y24" s="126">
        <f t="shared" si="13"/>
        <v>0.12888888888888889</v>
      </c>
      <c r="Z24" s="49"/>
      <c r="AA24" s="125">
        <f t="shared" si="14"/>
        <v>342</v>
      </c>
      <c r="AB24" s="125">
        <f t="shared" si="15"/>
        <v>267.65130434782606</v>
      </c>
      <c r="AC24" s="135">
        <f t="shared" si="16"/>
        <v>171</v>
      </c>
      <c r="AD24" s="125">
        <f t="shared" si="17"/>
        <v>148.69565217391303</v>
      </c>
      <c r="AE24" s="125">
        <f t="shared" si="18"/>
        <v>513</v>
      </c>
      <c r="AF24" s="46">
        <f t="shared" si="19"/>
        <v>416.34695652173912</v>
      </c>
    </row>
    <row r="25" spans="2:32" ht="15" customHeight="1" x14ac:dyDescent="0.25">
      <c r="B25" s="90">
        <v>46278</v>
      </c>
      <c r="C25" s="124" t="s">
        <v>61</v>
      </c>
      <c r="D25" s="123">
        <v>238</v>
      </c>
      <c r="E25" s="124">
        <v>16</v>
      </c>
      <c r="F25" s="124">
        <v>952</v>
      </c>
      <c r="G25" s="124">
        <v>30</v>
      </c>
      <c r="H25" s="124">
        <v>574</v>
      </c>
      <c r="I25" s="125">
        <f t="shared" si="3"/>
        <v>19.133333333333333</v>
      </c>
      <c r="J25" s="126">
        <f t="shared" si="4"/>
        <v>3.1512605042016806E-2</v>
      </c>
      <c r="K25" s="127">
        <f t="shared" si="5"/>
        <v>74.869565217391298</v>
      </c>
      <c r="L25" s="127">
        <f t="shared" si="6"/>
        <v>499.13043478260869</v>
      </c>
      <c r="M25" s="124">
        <v>44.01</v>
      </c>
      <c r="N25" s="129">
        <f t="shared" si="7"/>
        <v>455.1204347826087</v>
      </c>
      <c r="O25" s="46"/>
      <c r="P25" s="124">
        <v>615</v>
      </c>
      <c r="Q25" s="125">
        <f t="shared" si="8"/>
        <v>20.5</v>
      </c>
      <c r="R25" s="124">
        <v>16</v>
      </c>
      <c r="S25" s="132">
        <f t="shared" si="9"/>
        <v>0.53333333333333333</v>
      </c>
      <c r="T25" s="133">
        <f t="shared" si="10"/>
        <v>80.217391304347828</v>
      </c>
      <c r="U25" s="133">
        <f t="shared" si="11"/>
        <v>534.78260869565213</v>
      </c>
      <c r="V25" s="124">
        <v>22</v>
      </c>
      <c r="W25" s="126">
        <f t="shared" si="12"/>
        <v>0.73333333333333328</v>
      </c>
      <c r="X25" s="124">
        <v>103.56</v>
      </c>
      <c r="Y25" s="126">
        <f t="shared" si="13"/>
        <v>0.16839024390243904</v>
      </c>
      <c r="Z25" s="49"/>
      <c r="AA25" s="125">
        <f t="shared" si="14"/>
        <v>574</v>
      </c>
      <c r="AB25" s="125">
        <f t="shared" si="15"/>
        <v>455.1204347826087</v>
      </c>
      <c r="AC25" s="135">
        <f t="shared" si="16"/>
        <v>615</v>
      </c>
      <c r="AD25" s="125">
        <f t="shared" si="17"/>
        <v>534.78260869565213</v>
      </c>
      <c r="AE25" s="125">
        <f t="shared" si="18"/>
        <v>1189</v>
      </c>
      <c r="AF25" s="46">
        <f t="shared" si="19"/>
        <v>989.90304347826077</v>
      </c>
    </row>
    <row r="26" spans="2:32" ht="15" customHeight="1" x14ac:dyDescent="0.25">
      <c r="B26" s="90">
        <v>46279</v>
      </c>
      <c r="C26" s="124" t="s">
        <v>62</v>
      </c>
      <c r="D26" s="123">
        <v>238</v>
      </c>
      <c r="E26" s="158">
        <v>16</v>
      </c>
      <c r="F26" s="124">
        <v>952</v>
      </c>
      <c r="G26" s="158">
        <v>28</v>
      </c>
      <c r="H26" s="159">
        <v>550</v>
      </c>
      <c r="I26" s="125">
        <f t="shared" si="3"/>
        <v>19.642857142857142</v>
      </c>
      <c r="J26" s="126">
        <f t="shared" si="4"/>
        <v>2.9411764705882353E-2</v>
      </c>
      <c r="K26" s="127">
        <f t="shared" si="5"/>
        <v>71.739130434782609</v>
      </c>
      <c r="L26" s="127">
        <f t="shared" si="6"/>
        <v>478.26086956521738</v>
      </c>
      <c r="M26" s="158">
        <v>41.05</v>
      </c>
      <c r="N26" s="129">
        <f t="shared" si="7"/>
        <v>437.21086956521737</v>
      </c>
      <c r="O26" s="46"/>
      <c r="P26" s="159">
        <v>440</v>
      </c>
      <c r="Q26" s="125">
        <f t="shared" si="8"/>
        <v>15.714285714285714</v>
      </c>
      <c r="R26" s="158">
        <v>13</v>
      </c>
      <c r="S26" s="132">
        <f t="shared" si="9"/>
        <v>0.4642857142857143</v>
      </c>
      <c r="T26" s="133">
        <f t="shared" si="10"/>
        <v>57.391304347826086</v>
      </c>
      <c r="U26" s="133">
        <f t="shared" si="11"/>
        <v>382.60869565217394</v>
      </c>
      <c r="V26" s="158">
        <v>22</v>
      </c>
      <c r="W26" s="126">
        <f t="shared" si="12"/>
        <v>0.7857142857142857</v>
      </c>
      <c r="X26" s="158">
        <v>74.489999999999995</v>
      </c>
      <c r="Y26" s="126">
        <f t="shared" si="13"/>
        <v>0.16929545454545453</v>
      </c>
      <c r="Z26" s="49"/>
      <c r="AA26" s="125">
        <f t="shared" si="14"/>
        <v>550</v>
      </c>
      <c r="AB26" s="125">
        <f t="shared" si="15"/>
        <v>437.21086956521737</v>
      </c>
      <c r="AC26" s="135">
        <f t="shared" si="16"/>
        <v>440</v>
      </c>
      <c r="AD26" s="125">
        <f t="shared" si="17"/>
        <v>382.60869565217394</v>
      </c>
      <c r="AE26" s="125">
        <f t="shared" si="18"/>
        <v>990</v>
      </c>
      <c r="AF26" s="46">
        <f t="shared" si="19"/>
        <v>819.8195652173913</v>
      </c>
    </row>
    <row r="27" spans="2:32" ht="15" customHeight="1" x14ac:dyDescent="0.25">
      <c r="B27" s="90">
        <v>46280</v>
      </c>
      <c r="C27" s="124" t="s">
        <v>63</v>
      </c>
      <c r="D27" s="123">
        <v>238</v>
      </c>
      <c r="E27" s="124">
        <v>16</v>
      </c>
      <c r="F27" s="124">
        <v>952</v>
      </c>
      <c r="G27" s="124">
        <v>23</v>
      </c>
      <c r="H27" s="124">
        <v>678</v>
      </c>
      <c r="I27" s="125">
        <f t="shared" si="3"/>
        <v>29.478260869565219</v>
      </c>
      <c r="J27" s="126">
        <f t="shared" si="4"/>
        <v>2.4159663865546219E-2</v>
      </c>
      <c r="K27" s="127">
        <f t="shared" si="5"/>
        <v>88.434782608695656</v>
      </c>
      <c r="L27" s="127">
        <f t="shared" si="6"/>
        <v>589.56521739130437</v>
      </c>
      <c r="M27" s="124">
        <v>51.31</v>
      </c>
      <c r="N27" s="129">
        <f t="shared" si="7"/>
        <v>538.25521739130431</v>
      </c>
      <c r="O27" s="46"/>
      <c r="P27" s="124">
        <v>661</v>
      </c>
      <c r="Q27" s="125">
        <f t="shared" si="8"/>
        <v>28.739130434782609</v>
      </c>
      <c r="R27" s="124">
        <v>18</v>
      </c>
      <c r="S27" s="132">
        <f t="shared" si="9"/>
        <v>0.78260869565217395</v>
      </c>
      <c r="T27" s="133">
        <f t="shared" si="10"/>
        <v>86.217391304347828</v>
      </c>
      <c r="U27" s="133">
        <f t="shared" si="11"/>
        <v>574.78260869565213</v>
      </c>
      <c r="V27" s="124">
        <v>30</v>
      </c>
      <c r="W27" s="126">
        <f t="shared" si="12"/>
        <v>1.3043478260869565</v>
      </c>
      <c r="X27" s="124">
        <v>124.88</v>
      </c>
      <c r="Y27" s="126">
        <f t="shared" si="13"/>
        <v>0.18892586989409985</v>
      </c>
      <c r="Z27" s="49"/>
      <c r="AA27" s="125">
        <f t="shared" si="14"/>
        <v>678</v>
      </c>
      <c r="AB27" s="125">
        <f t="shared" si="15"/>
        <v>538.25521739130431</v>
      </c>
      <c r="AC27" s="135">
        <f t="shared" si="16"/>
        <v>661</v>
      </c>
      <c r="AD27" s="125">
        <f t="shared" si="17"/>
        <v>574.78260869565213</v>
      </c>
      <c r="AE27" s="125">
        <f t="shared" si="18"/>
        <v>1339</v>
      </c>
      <c r="AF27" s="46">
        <f t="shared" si="19"/>
        <v>1113.0378260869566</v>
      </c>
    </row>
    <row r="28" spans="2:32" ht="15" customHeight="1" x14ac:dyDescent="0.25">
      <c r="B28" s="90">
        <v>46281</v>
      </c>
      <c r="C28" s="124" t="s">
        <v>64</v>
      </c>
      <c r="D28" s="123">
        <v>238</v>
      </c>
      <c r="E28" s="158">
        <v>16</v>
      </c>
      <c r="F28" s="158">
        <v>952</v>
      </c>
      <c r="G28" s="158">
        <v>18</v>
      </c>
      <c r="H28" s="124">
        <v>384</v>
      </c>
      <c r="I28" s="125">
        <f t="shared" si="3"/>
        <v>21.333333333333332</v>
      </c>
      <c r="J28" s="126">
        <f t="shared" si="4"/>
        <v>1.8907563025210083E-2</v>
      </c>
      <c r="K28" s="127">
        <f t="shared" si="5"/>
        <v>50.086956521739133</v>
      </c>
      <c r="L28" s="127">
        <f t="shared" si="6"/>
        <v>333.91304347826087</v>
      </c>
      <c r="M28" s="158">
        <v>30.44</v>
      </c>
      <c r="N28" s="129">
        <f t="shared" si="7"/>
        <v>303.47304347826088</v>
      </c>
      <c r="O28" s="46"/>
      <c r="P28" s="158">
        <v>442</v>
      </c>
      <c r="Q28" s="125">
        <f t="shared" si="8"/>
        <v>24.555555555555557</v>
      </c>
      <c r="R28" s="158">
        <v>14</v>
      </c>
      <c r="S28" s="132">
        <f t="shared" si="9"/>
        <v>0.77777777777777779</v>
      </c>
      <c r="T28" s="133">
        <f t="shared" si="10"/>
        <v>57.652173913043477</v>
      </c>
      <c r="U28" s="133">
        <f t="shared" si="11"/>
        <v>384.3478260869565</v>
      </c>
      <c r="V28" s="158">
        <v>17</v>
      </c>
      <c r="W28" s="126">
        <f t="shared" si="12"/>
        <v>0.94444444444444442</v>
      </c>
      <c r="X28" s="158">
        <v>44.6</v>
      </c>
      <c r="Y28" s="126">
        <f t="shared" si="13"/>
        <v>0.10090497737556561</v>
      </c>
      <c r="Z28" s="49"/>
      <c r="AA28" s="125">
        <f t="shared" si="14"/>
        <v>384</v>
      </c>
      <c r="AB28" s="125">
        <f t="shared" si="15"/>
        <v>303.47304347826088</v>
      </c>
      <c r="AC28" s="135">
        <f t="shared" si="16"/>
        <v>442</v>
      </c>
      <c r="AD28" s="125">
        <f t="shared" si="17"/>
        <v>384.3478260869565</v>
      </c>
      <c r="AE28" s="125">
        <f t="shared" si="18"/>
        <v>826</v>
      </c>
      <c r="AF28" s="46">
        <f t="shared" si="19"/>
        <v>687.82086956521744</v>
      </c>
    </row>
    <row r="29" spans="2:32" ht="15" customHeight="1" x14ac:dyDescent="0.25">
      <c r="B29" s="90">
        <v>46282</v>
      </c>
      <c r="C29" s="124" t="s">
        <v>57</v>
      </c>
      <c r="D29" s="123">
        <v>238</v>
      </c>
      <c r="E29" s="124">
        <v>20</v>
      </c>
      <c r="F29" s="124">
        <v>1190</v>
      </c>
      <c r="G29" s="124">
        <v>25</v>
      </c>
      <c r="H29" s="124">
        <v>960</v>
      </c>
      <c r="I29" s="125">
        <f t="shared" si="3"/>
        <v>38.4</v>
      </c>
      <c r="J29" s="126">
        <f t="shared" si="4"/>
        <v>2.100840336134454E-2</v>
      </c>
      <c r="K29" s="127">
        <f t="shared" si="5"/>
        <v>125.21739130434783</v>
      </c>
      <c r="L29" s="127">
        <f t="shared" si="6"/>
        <v>834.78260869565213</v>
      </c>
      <c r="M29" s="158">
        <v>73.56</v>
      </c>
      <c r="N29" s="129">
        <f t="shared" si="7"/>
        <v>761.22260869565207</v>
      </c>
      <c r="O29" s="46"/>
      <c r="P29" s="159">
        <v>433</v>
      </c>
      <c r="Q29" s="125">
        <f t="shared" si="8"/>
        <v>17.32</v>
      </c>
      <c r="R29" s="158">
        <v>13</v>
      </c>
      <c r="S29" s="132">
        <f t="shared" si="9"/>
        <v>0.52</v>
      </c>
      <c r="T29" s="133">
        <f t="shared" si="10"/>
        <v>56.478260869565219</v>
      </c>
      <c r="U29" s="133">
        <f t="shared" si="11"/>
        <v>376.52173913043475</v>
      </c>
      <c r="V29" s="158">
        <v>22</v>
      </c>
      <c r="W29" s="126">
        <f t="shared" si="12"/>
        <v>0.88</v>
      </c>
      <c r="X29" s="158">
        <v>59.95</v>
      </c>
      <c r="Y29" s="126">
        <f t="shared" si="13"/>
        <v>0.13845265588914552</v>
      </c>
      <c r="Z29" s="49"/>
      <c r="AA29" s="125">
        <f t="shared" si="14"/>
        <v>960</v>
      </c>
      <c r="AB29" s="125">
        <f t="shared" si="15"/>
        <v>761.22260869565207</v>
      </c>
      <c r="AC29" s="135">
        <f t="shared" si="16"/>
        <v>433</v>
      </c>
      <c r="AD29" s="125">
        <f t="shared" si="17"/>
        <v>376.52173913043475</v>
      </c>
      <c r="AE29" s="125">
        <f t="shared" si="18"/>
        <v>1393</v>
      </c>
      <c r="AF29" s="46">
        <f t="shared" si="19"/>
        <v>1137.7443478260868</v>
      </c>
    </row>
    <row r="30" spans="2:32" ht="15" customHeight="1" x14ac:dyDescent="0.25">
      <c r="B30" s="90">
        <v>46283</v>
      </c>
      <c r="C30" s="124" t="s">
        <v>59</v>
      </c>
      <c r="D30" s="123">
        <v>238</v>
      </c>
      <c r="E30" s="124">
        <v>20</v>
      </c>
      <c r="F30" s="124">
        <v>1233</v>
      </c>
      <c r="G30" s="124">
        <v>57</v>
      </c>
      <c r="H30" s="124">
        <v>2246</v>
      </c>
      <c r="I30" s="125">
        <f t="shared" si="3"/>
        <v>39.403508771929822</v>
      </c>
      <c r="J30" s="132">
        <f t="shared" si="4"/>
        <v>4.6228710462287104E-2</v>
      </c>
      <c r="K30" s="127">
        <f t="shared" si="5"/>
        <v>292.95652173913044</v>
      </c>
      <c r="L30" s="127">
        <f t="shared" si="6"/>
        <v>1953.0434782608695</v>
      </c>
      <c r="M30" s="124">
        <v>160.51</v>
      </c>
      <c r="N30" s="129">
        <f t="shared" si="7"/>
        <v>1792.5334782608695</v>
      </c>
      <c r="O30" s="46"/>
      <c r="P30" s="124">
        <v>955</v>
      </c>
      <c r="Q30" s="125">
        <f t="shared" si="8"/>
        <v>16.754385964912281</v>
      </c>
      <c r="R30" s="124">
        <v>25</v>
      </c>
      <c r="S30" s="132">
        <f t="shared" si="9"/>
        <v>0.43859649122807015</v>
      </c>
      <c r="T30" s="133">
        <f t="shared" si="10"/>
        <v>124.56521739130434</v>
      </c>
      <c r="U30" s="133">
        <f t="shared" si="11"/>
        <v>830.43478260869563</v>
      </c>
      <c r="V30" s="124">
        <v>40</v>
      </c>
      <c r="W30" s="126">
        <f t="shared" si="12"/>
        <v>0.70175438596491224</v>
      </c>
      <c r="X30" s="158">
        <v>153.41</v>
      </c>
      <c r="Y30" s="126">
        <f t="shared" si="13"/>
        <v>0.16063874345549739</v>
      </c>
      <c r="Z30" s="49"/>
      <c r="AA30" s="125">
        <f t="shared" si="14"/>
        <v>2246</v>
      </c>
      <c r="AB30" s="125">
        <f t="shared" si="15"/>
        <v>1792.5334782608695</v>
      </c>
      <c r="AC30" s="135">
        <f t="shared" si="16"/>
        <v>955</v>
      </c>
      <c r="AD30" s="125">
        <f t="shared" si="17"/>
        <v>830.43478260869563</v>
      </c>
      <c r="AE30" s="125">
        <f t="shared" si="18"/>
        <v>3201</v>
      </c>
      <c r="AF30" s="46">
        <f t="shared" si="19"/>
        <v>2622.9682608695653</v>
      </c>
    </row>
    <row r="31" spans="2:32" ht="15" customHeight="1" x14ac:dyDescent="0.25">
      <c r="B31" s="90">
        <v>46284</v>
      </c>
      <c r="C31" s="124" t="s">
        <v>60</v>
      </c>
      <c r="D31" s="123">
        <v>238</v>
      </c>
      <c r="E31" s="124">
        <v>24</v>
      </c>
      <c r="F31" s="171">
        <v>1471</v>
      </c>
      <c r="G31" s="158">
        <v>32</v>
      </c>
      <c r="H31" s="159">
        <v>1246</v>
      </c>
      <c r="I31" s="125">
        <f t="shared" si="3"/>
        <v>38.9375</v>
      </c>
      <c r="J31" s="126">
        <f t="shared" si="4"/>
        <v>2.1753908905506457E-2</v>
      </c>
      <c r="K31" s="127">
        <f t="shared" si="5"/>
        <v>162.52173913043478</v>
      </c>
      <c r="L31" s="127">
        <f t="shared" si="6"/>
        <v>1083.4782608695652</v>
      </c>
      <c r="M31" s="158">
        <v>101.73</v>
      </c>
      <c r="N31" s="129">
        <f t="shared" si="7"/>
        <v>981.74826086956523</v>
      </c>
      <c r="O31" s="46"/>
      <c r="P31" s="158">
        <v>877</v>
      </c>
      <c r="Q31" s="125">
        <f t="shared" si="8"/>
        <v>27.40625</v>
      </c>
      <c r="R31" s="158">
        <v>19</v>
      </c>
      <c r="S31" s="132">
        <f t="shared" si="9"/>
        <v>0.59375</v>
      </c>
      <c r="T31" s="133">
        <f t="shared" si="10"/>
        <v>114.39130434782609</v>
      </c>
      <c r="U31" s="133">
        <f t="shared" si="11"/>
        <v>762.60869565217388</v>
      </c>
      <c r="V31" s="158">
        <v>33</v>
      </c>
      <c r="W31" s="126">
        <f t="shared" si="12"/>
        <v>1.03125</v>
      </c>
      <c r="X31" s="158">
        <v>152.29</v>
      </c>
      <c r="Y31" s="126">
        <f t="shared" si="13"/>
        <v>0.17364880273660205</v>
      </c>
      <c r="Z31" s="49"/>
      <c r="AA31" s="125">
        <f t="shared" si="14"/>
        <v>1246</v>
      </c>
      <c r="AB31" s="125">
        <f t="shared" si="15"/>
        <v>981.74826086956523</v>
      </c>
      <c r="AC31" s="135">
        <f t="shared" si="16"/>
        <v>877</v>
      </c>
      <c r="AD31" s="125">
        <f t="shared" si="17"/>
        <v>762.60869565217388</v>
      </c>
      <c r="AE31" s="125">
        <f t="shared" si="18"/>
        <v>2123</v>
      </c>
      <c r="AF31" s="46">
        <f t="shared" si="19"/>
        <v>1744.356956521739</v>
      </c>
    </row>
    <row r="32" spans="2:32" ht="15" customHeight="1" x14ac:dyDescent="0.25">
      <c r="B32" s="90">
        <v>46285</v>
      </c>
      <c r="C32" s="155" t="s">
        <v>61</v>
      </c>
      <c r="D32" s="123">
        <v>238</v>
      </c>
      <c r="E32" s="124">
        <v>18</v>
      </c>
      <c r="F32" s="124">
        <v>1096</v>
      </c>
      <c r="G32" s="124">
        <v>16</v>
      </c>
      <c r="H32" s="124">
        <v>438</v>
      </c>
      <c r="I32" s="125">
        <f t="shared" si="3"/>
        <v>27.375</v>
      </c>
      <c r="J32" s="126">
        <f t="shared" si="4"/>
        <v>1.4598540145985401E-2</v>
      </c>
      <c r="K32" s="127">
        <f t="shared" si="5"/>
        <v>57.130434782608695</v>
      </c>
      <c r="L32" s="127">
        <f t="shared" si="6"/>
        <v>380.86956521739131</v>
      </c>
      <c r="M32" s="124">
        <v>26.43</v>
      </c>
      <c r="N32" s="129">
        <f t="shared" si="7"/>
        <v>354.4395652173913</v>
      </c>
      <c r="O32" s="46"/>
      <c r="P32" s="124">
        <v>508</v>
      </c>
      <c r="Q32" s="125">
        <f t="shared" si="8"/>
        <v>31.75</v>
      </c>
      <c r="R32" s="124">
        <v>15</v>
      </c>
      <c r="S32" s="132">
        <f t="shared" si="9"/>
        <v>0.9375</v>
      </c>
      <c r="T32" s="133">
        <f t="shared" si="10"/>
        <v>66.260869565217391</v>
      </c>
      <c r="U32" s="133">
        <f t="shared" si="11"/>
        <v>441.73913043478262</v>
      </c>
      <c r="V32" s="124">
        <v>21</v>
      </c>
      <c r="W32" s="126">
        <f t="shared" si="12"/>
        <v>1.3125</v>
      </c>
      <c r="X32" s="124">
        <v>73.22</v>
      </c>
      <c r="Y32" s="126">
        <f t="shared" si="13"/>
        <v>0.14413385826771655</v>
      </c>
      <c r="Z32" s="49"/>
      <c r="AA32" s="125">
        <f t="shared" si="14"/>
        <v>438</v>
      </c>
      <c r="AB32" s="125">
        <f t="shared" si="15"/>
        <v>354.4395652173913</v>
      </c>
      <c r="AC32" s="135">
        <f t="shared" si="16"/>
        <v>508</v>
      </c>
      <c r="AD32" s="125">
        <f t="shared" si="17"/>
        <v>441.73913043478262</v>
      </c>
      <c r="AE32" s="125">
        <f t="shared" si="18"/>
        <v>946</v>
      </c>
      <c r="AF32" s="46">
        <f t="shared" si="19"/>
        <v>796.17869565217393</v>
      </c>
    </row>
    <row r="33" spans="2:32" ht="15" customHeight="1" x14ac:dyDescent="0.25">
      <c r="B33" s="90">
        <v>46286</v>
      </c>
      <c r="C33" s="155" t="s">
        <v>62</v>
      </c>
      <c r="D33" s="123">
        <v>238</v>
      </c>
      <c r="E33" s="158">
        <v>18</v>
      </c>
      <c r="F33" s="124">
        <v>1096</v>
      </c>
      <c r="G33" s="158">
        <v>34</v>
      </c>
      <c r="H33" s="158">
        <v>802</v>
      </c>
      <c r="I33" s="125">
        <f t="shared" si="3"/>
        <v>23.588235294117649</v>
      </c>
      <c r="J33" s="126">
        <f t="shared" si="4"/>
        <v>3.1021897810218978E-2</v>
      </c>
      <c r="K33" s="127">
        <f t="shared" si="5"/>
        <v>104.60869565217391</v>
      </c>
      <c r="L33" s="127">
        <f t="shared" si="6"/>
        <v>697.39130434782612</v>
      </c>
      <c r="M33" s="158">
        <v>66.430000000000007</v>
      </c>
      <c r="N33" s="129">
        <f t="shared" si="7"/>
        <v>630.96130434782617</v>
      </c>
      <c r="O33" s="46"/>
      <c r="P33" s="158">
        <v>720</v>
      </c>
      <c r="Q33" s="125">
        <f t="shared" si="8"/>
        <v>21.176470588235293</v>
      </c>
      <c r="R33" s="158">
        <v>21</v>
      </c>
      <c r="S33" s="132">
        <f t="shared" si="9"/>
        <v>0.61764705882352944</v>
      </c>
      <c r="T33" s="133">
        <f t="shared" si="10"/>
        <v>93.913043478260875</v>
      </c>
      <c r="U33" s="133">
        <f t="shared" si="11"/>
        <v>626.08695652173913</v>
      </c>
      <c r="V33" s="158">
        <v>32</v>
      </c>
      <c r="W33" s="126">
        <f t="shared" si="12"/>
        <v>0.94117647058823528</v>
      </c>
      <c r="X33" s="158">
        <v>119.77</v>
      </c>
      <c r="Y33" s="126">
        <f t="shared" si="13"/>
        <v>0.16634722222222223</v>
      </c>
      <c r="Z33" s="49"/>
      <c r="AA33" s="125">
        <f t="shared" si="14"/>
        <v>802</v>
      </c>
      <c r="AB33" s="125">
        <f t="shared" si="15"/>
        <v>630.96130434782617</v>
      </c>
      <c r="AC33" s="135">
        <f t="shared" si="16"/>
        <v>720</v>
      </c>
      <c r="AD33" s="125">
        <f t="shared" si="17"/>
        <v>626.08695652173913</v>
      </c>
      <c r="AE33" s="125">
        <f t="shared" si="18"/>
        <v>1522</v>
      </c>
      <c r="AF33" s="46">
        <f t="shared" si="19"/>
        <v>1257.0482608695652</v>
      </c>
    </row>
    <row r="34" spans="2:32" ht="15" customHeight="1" x14ac:dyDescent="0.25">
      <c r="B34" s="90">
        <v>46287</v>
      </c>
      <c r="C34" s="155" t="s">
        <v>63</v>
      </c>
      <c r="D34" s="123">
        <v>238</v>
      </c>
      <c r="E34" s="124">
        <v>18</v>
      </c>
      <c r="F34" s="124">
        <v>1096</v>
      </c>
      <c r="G34" s="124">
        <v>22</v>
      </c>
      <c r="H34" s="124">
        <v>476</v>
      </c>
      <c r="I34" s="125">
        <f t="shared" si="3"/>
        <v>21.636363636363637</v>
      </c>
      <c r="J34" s="126">
        <f t="shared" si="4"/>
        <v>2.0072992700729927E-2</v>
      </c>
      <c r="K34" s="127">
        <f t="shared" si="5"/>
        <v>62.086956521739133</v>
      </c>
      <c r="L34" s="127">
        <f t="shared" si="6"/>
        <v>413.91304347826087</v>
      </c>
      <c r="M34" s="151">
        <v>38.08</v>
      </c>
      <c r="N34" s="129">
        <f t="shared" si="7"/>
        <v>375.83304347826089</v>
      </c>
      <c r="O34" s="46"/>
      <c r="P34" s="124">
        <v>561</v>
      </c>
      <c r="Q34" s="125">
        <f t="shared" si="8"/>
        <v>25.5</v>
      </c>
      <c r="R34" s="124">
        <v>17</v>
      </c>
      <c r="S34" s="132">
        <f t="shared" si="9"/>
        <v>0.77272727272727271</v>
      </c>
      <c r="T34" s="133">
        <f t="shared" si="10"/>
        <v>73.173913043478265</v>
      </c>
      <c r="U34" s="133">
        <f t="shared" si="11"/>
        <v>487.82608695652175</v>
      </c>
      <c r="V34" s="124">
        <v>19</v>
      </c>
      <c r="W34" s="126">
        <f t="shared" si="12"/>
        <v>0.86363636363636365</v>
      </c>
      <c r="X34" s="124">
        <v>114.03</v>
      </c>
      <c r="Y34" s="126">
        <f t="shared" si="13"/>
        <v>0.20326203208556151</v>
      </c>
      <c r="Z34" s="49"/>
      <c r="AA34" s="125">
        <f t="shared" si="14"/>
        <v>476</v>
      </c>
      <c r="AB34" s="125">
        <f t="shared" si="15"/>
        <v>375.83304347826089</v>
      </c>
      <c r="AC34" s="135">
        <f t="shared" si="16"/>
        <v>561</v>
      </c>
      <c r="AD34" s="125">
        <f t="shared" si="17"/>
        <v>487.82608695652175</v>
      </c>
      <c r="AE34" s="125">
        <f t="shared" si="18"/>
        <v>1037</v>
      </c>
      <c r="AF34" s="46">
        <f t="shared" si="19"/>
        <v>863.65913043478258</v>
      </c>
    </row>
    <row r="35" spans="2:32" ht="15" customHeight="1" x14ac:dyDescent="0.25">
      <c r="B35" s="90">
        <v>46288</v>
      </c>
      <c r="C35" s="124" t="s">
        <v>64</v>
      </c>
      <c r="D35" s="123">
        <v>238</v>
      </c>
      <c r="E35" s="124">
        <v>18</v>
      </c>
      <c r="F35" s="124">
        <v>1096</v>
      </c>
      <c r="G35" s="124">
        <v>58</v>
      </c>
      <c r="H35" s="124">
        <v>1286</v>
      </c>
      <c r="I35" s="125">
        <f t="shared" si="3"/>
        <v>22.172413793103448</v>
      </c>
      <c r="J35" s="126">
        <f t="shared" si="4"/>
        <v>5.2919708029197078E-2</v>
      </c>
      <c r="K35" s="127">
        <f t="shared" si="5"/>
        <v>167.7391304347826</v>
      </c>
      <c r="L35" s="127">
        <f t="shared" si="6"/>
        <v>1118.2608695652175</v>
      </c>
      <c r="M35" s="151">
        <v>101.91</v>
      </c>
      <c r="N35" s="129">
        <f t="shared" si="7"/>
        <v>1016.3508695652175</v>
      </c>
      <c r="O35" s="46"/>
      <c r="P35" s="124">
        <v>761</v>
      </c>
      <c r="Q35" s="125">
        <f t="shared" si="8"/>
        <v>13.120689655172415</v>
      </c>
      <c r="R35" s="124">
        <v>20</v>
      </c>
      <c r="S35" s="132">
        <f t="shared" si="9"/>
        <v>0.34482758620689657</v>
      </c>
      <c r="T35" s="133">
        <f t="shared" si="10"/>
        <v>99.260869565217391</v>
      </c>
      <c r="U35" s="133">
        <f t="shared" si="11"/>
        <v>661.73913043478262</v>
      </c>
      <c r="V35" s="124">
        <v>32</v>
      </c>
      <c r="W35" s="126">
        <f t="shared" si="12"/>
        <v>0.55172413793103448</v>
      </c>
      <c r="X35" s="124">
        <v>148.47999999999999</v>
      </c>
      <c r="Y35" s="126">
        <f t="shared" si="13"/>
        <v>0.19511169513797633</v>
      </c>
      <c r="Z35" s="49"/>
      <c r="AA35" s="125">
        <f t="shared" si="14"/>
        <v>1286</v>
      </c>
      <c r="AB35" s="125">
        <f t="shared" si="15"/>
        <v>1016.3508695652175</v>
      </c>
      <c r="AC35" s="135">
        <f t="shared" si="16"/>
        <v>761</v>
      </c>
      <c r="AD35" s="125">
        <f t="shared" si="17"/>
        <v>661.73913043478262</v>
      </c>
      <c r="AE35" s="125">
        <f t="shared" si="18"/>
        <v>2047</v>
      </c>
      <c r="AF35" s="46">
        <f t="shared" si="19"/>
        <v>1678.0900000000001</v>
      </c>
    </row>
    <row r="36" spans="2:32" ht="15" customHeight="1" x14ac:dyDescent="0.25">
      <c r="B36" s="90">
        <v>46289</v>
      </c>
      <c r="C36" s="124" t="s">
        <v>57</v>
      </c>
      <c r="D36" s="123">
        <v>238</v>
      </c>
      <c r="E36" s="124">
        <v>21</v>
      </c>
      <c r="F36" s="124">
        <v>1227</v>
      </c>
      <c r="G36" s="124">
        <v>40</v>
      </c>
      <c r="H36" s="124">
        <v>1540</v>
      </c>
      <c r="I36" s="125">
        <f t="shared" si="3"/>
        <v>38.5</v>
      </c>
      <c r="J36" s="126">
        <f t="shared" si="4"/>
        <v>3.2599837000814993E-2</v>
      </c>
      <c r="K36" s="127">
        <f t="shared" si="5"/>
        <v>200.86956521739131</v>
      </c>
      <c r="L36" s="127">
        <f t="shared" si="6"/>
        <v>1339.1304347826087</v>
      </c>
      <c r="M36" s="151">
        <v>133.9</v>
      </c>
      <c r="N36" s="129">
        <f t="shared" si="7"/>
        <v>1205.2304347826087</v>
      </c>
      <c r="O36" s="46"/>
      <c r="P36" s="124">
        <v>1046</v>
      </c>
      <c r="Q36" s="125">
        <f t="shared" si="8"/>
        <v>26.15</v>
      </c>
      <c r="R36" s="124">
        <v>29</v>
      </c>
      <c r="S36" s="132">
        <f t="shared" si="9"/>
        <v>0.72499999999999998</v>
      </c>
      <c r="T36" s="133">
        <f t="shared" si="10"/>
        <v>136.43478260869566</v>
      </c>
      <c r="U36" s="133">
        <f t="shared" si="11"/>
        <v>909.56521739130437</v>
      </c>
      <c r="V36" s="124">
        <v>43</v>
      </c>
      <c r="W36" s="126">
        <f t="shared" si="12"/>
        <v>1.075</v>
      </c>
      <c r="X36" s="124">
        <v>244.91</v>
      </c>
      <c r="Y36" s="126">
        <f t="shared" si="13"/>
        <v>0.2341395793499044</v>
      </c>
      <c r="Z36" s="49"/>
      <c r="AA36" s="125">
        <f t="shared" si="14"/>
        <v>1540</v>
      </c>
      <c r="AB36" s="125">
        <f t="shared" si="15"/>
        <v>1205.2304347826087</v>
      </c>
      <c r="AC36" s="135">
        <f t="shared" si="16"/>
        <v>1046</v>
      </c>
      <c r="AD36" s="125">
        <f t="shared" si="17"/>
        <v>909.56521739130437</v>
      </c>
      <c r="AE36" s="125">
        <f t="shared" si="18"/>
        <v>2586</v>
      </c>
      <c r="AF36" s="46">
        <f t="shared" si="19"/>
        <v>2114.7956521739129</v>
      </c>
    </row>
    <row r="37" spans="2:32" ht="15" customHeight="1" x14ac:dyDescent="0.25">
      <c r="B37" s="90">
        <v>46290</v>
      </c>
      <c r="C37" s="124" t="s">
        <v>59</v>
      </c>
      <c r="D37" s="123">
        <v>238</v>
      </c>
      <c r="E37" s="124">
        <v>21</v>
      </c>
      <c r="F37" s="124">
        <v>1227</v>
      </c>
      <c r="G37" s="124">
        <v>71</v>
      </c>
      <c r="H37" s="124">
        <v>2758</v>
      </c>
      <c r="I37" s="125">
        <f t="shared" si="3"/>
        <v>38.845070422535208</v>
      </c>
      <c r="J37" s="126">
        <f t="shared" si="4"/>
        <v>5.7864710676446621E-2</v>
      </c>
      <c r="K37" s="127">
        <f t="shared" si="5"/>
        <v>359.73913043478262</v>
      </c>
      <c r="L37" s="127">
        <f t="shared" si="6"/>
        <v>2398.2608695652175</v>
      </c>
      <c r="M37" s="124">
        <v>193.55</v>
      </c>
      <c r="N37" s="129">
        <f t="shared" si="7"/>
        <v>2204.7108695652173</v>
      </c>
      <c r="O37" s="46"/>
      <c r="P37" s="124">
        <v>1784</v>
      </c>
      <c r="Q37" s="125">
        <f t="shared" si="8"/>
        <v>25.12676056338028</v>
      </c>
      <c r="R37" s="124">
        <v>55</v>
      </c>
      <c r="S37" s="132">
        <f t="shared" si="9"/>
        <v>0.77464788732394363</v>
      </c>
      <c r="T37" s="133">
        <f t="shared" si="10"/>
        <v>232.69565217391303</v>
      </c>
      <c r="U37" s="133">
        <f t="shared" si="11"/>
        <v>1551.304347826087</v>
      </c>
      <c r="V37" s="124">
        <v>85</v>
      </c>
      <c r="W37" s="126">
        <f t="shared" si="12"/>
        <v>1.1971830985915493</v>
      </c>
      <c r="X37" s="124">
        <v>377.78</v>
      </c>
      <c r="Y37" s="126">
        <f t="shared" si="13"/>
        <v>0.21176008968609863</v>
      </c>
      <c r="Z37" s="49"/>
      <c r="AA37" s="125">
        <f t="shared" si="14"/>
        <v>2758</v>
      </c>
      <c r="AB37" s="125">
        <f t="shared" si="15"/>
        <v>2204.7108695652173</v>
      </c>
      <c r="AC37" s="135">
        <f t="shared" si="16"/>
        <v>1784</v>
      </c>
      <c r="AD37" s="125">
        <f t="shared" si="17"/>
        <v>1551.304347826087</v>
      </c>
      <c r="AE37" s="125">
        <f t="shared" si="18"/>
        <v>4542</v>
      </c>
      <c r="AF37" s="46">
        <f t="shared" si="19"/>
        <v>3756.0152173913043</v>
      </c>
    </row>
    <row r="38" spans="2:32" ht="15" customHeight="1" x14ac:dyDescent="0.25">
      <c r="B38" s="90">
        <v>46291</v>
      </c>
      <c r="C38" s="124" t="s">
        <v>60</v>
      </c>
      <c r="D38" s="123">
        <v>238</v>
      </c>
      <c r="E38" s="124">
        <v>24</v>
      </c>
      <c r="F38" s="124">
        <v>1408</v>
      </c>
      <c r="G38" s="124">
        <v>17</v>
      </c>
      <c r="H38" s="171">
        <v>666</v>
      </c>
      <c r="I38" s="125">
        <f t="shared" si="3"/>
        <v>39.176470588235297</v>
      </c>
      <c r="J38" s="126">
        <f t="shared" si="4"/>
        <v>1.2073863636363636E-2</v>
      </c>
      <c r="K38" s="127">
        <f t="shared" si="5"/>
        <v>86.869565217391298</v>
      </c>
      <c r="L38" s="127">
        <f t="shared" si="6"/>
        <v>579.13043478260875</v>
      </c>
      <c r="M38" s="158">
        <v>51.3</v>
      </c>
      <c r="N38" s="129">
        <f t="shared" si="7"/>
        <v>527.83043478260879</v>
      </c>
      <c r="O38" s="46"/>
      <c r="P38" s="124">
        <v>210</v>
      </c>
      <c r="Q38" s="125">
        <f t="shared" si="8"/>
        <v>12.352941176470589</v>
      </c>
      <c r="R38" s="124">
        <v>8</v>
      </c>
      <c r="S38" s="132">
        <f t="shared" si="9"/>
        <v>0.47058823529411764</v>
      </c>
      <c r="T38" s="133">
        <f t="shared" si="10"/>
        <v>27.391304347826086</v>
      </c>
      <c r="U38" s="133">
        <f t="shared" si="11"/>
        <v>182.60869565217391</v>
      </c>
      <c r="V38" s="124">
        <v>11</v>
      </c>
      <c r="W38" s="126">
        <f t="shared" si="12"/>
        <v>0.6470588235294118</v>
      </c>
      <c r="X38" s="124">
        <v>38.729999999999997</v>
      </c>
      <c r="Y38" s="126">
        <f t="shared" si="13"/>
        <v>0.18442857142857141</v>
      </c>
      <c r="Z38" s="49"/>
      <c r="AA38" s="125">
        <f t="shared" si="14"/>
        <v>666</v>
      </c>
      <c r="AB38" s="125">
        <f t="shared" si="15"/>
        <v>527.83043478260879</v>
      </c>
      <c r="AC38" s="135">
        <f t="shared" si="16"/>
        <v>210</v>
      </c>
      <c r="AD38" s="125">
        <f t="shared" si="17"/>
        <v>182.60869565217391</v>
      </c>
      <c r="AE38" s="125">
        <f t="shared" si="18"/>
        <v>876</v>
      </c>
      <c r="AF38" s="46">
        <f t="shared" si="19"/>
        <v>710.43913043478267</v>
      </c>
    </row>
    <row r="39" spans="2:32" ht="15" customHeight="1" x14ac:dyDescent="0.25">
      <c r="B39" s="90">
        <v>46292</v>
      </c>
      <c r="C39" s="124" t="s">
        <v>61</v>
      </c>
      <c r="D39" s="123">
        <v>238</v>
      </c>
      <c r="E39" s="124">
        <v>16</v>
      </c>
      <c r="F39" s="124">
        <v>952</v>
      </c>
      <c r="G39" s="124">
        <v>15</v>
      </c>
      <c r="H39" s="124">
        <v>282</v>
      </c>
      <c r="I39" s="125">
        <f t="shared" si="3"/>
        <v>18.8</v>
      </c>
      <c r="J39" s="126">
        <f t="shared" si="4"/>
        <v>1.5756302521008403E-2</v>
      </c>
      <c r="K39" s="127">
        <f t="shared" si="5"/>
        <v>36.782608695652172</v>
      </c>
      <c r="L39" s="127">
        <f t="shared" si="6"/>
        <v>245.21739130434781</v>
      </c>
      <c r="M39" s="158">
        <v>24.53</v>
      </c>
      <c r="N39" s="129">
        <f t="shared" si="7"/>
        <v>220.68739130434781</v>
      </c>
      <c r="O39" s="46"/>
      <c r="P39" s="124">
        <v>424</v>
      </c>
      <c r="Q39" s="125">
        <f t="shared" si="8"/>
        <v>28.266666666666666</v>
      </c>
      <c r="R39" s="124">
        <v>10</v>
      </c>
      <c r="S39" s="132">
        <f t="shared" si="9"/>
        <v>0.66666666666666663</v>
      </c>
      <c r="T39" s="133">
        <f t="shared" si="10"/>
        <v>55.304347826086953</v>
      </c>
      <c r="U39" s="133">
        <f t="shared" si="11"/>
        <v>368.69565217391306</v>
      </c>
      <c r="V39" s="124">
        <v>17</v>
      </c>
      <c r="W39" s="126">
        <f t="shared" si="12"/>
        <v>1.1333333333333333</v>
      </c>
      <c r="X39" s="159">
        <v>73.72</v>
      </c>
      <c r="Y39" s="126">
        <f t="shared" si="13"/>
        <v>0.17386792452830188</v>
      </c>
      <c r="Z39" s="49"/>
      <c r="AA39" s="125">
        <f t="shared" si="14"/>
        <v>282</v>
      </c>
      <c r="AB39" s="125">
        <f t="shared" si="15"/>
        <v>220.68739130434781</v>
      </c>
      <c r="AC39" s="135">
        <f t="shared" si="16"/>
        <v>424</v>
      </c>
      <c r="AD39" s="125">
        <f t="shared" si="17"/>
        <v>368.69565217391306</v>
      </c>
      <c r="AE39" s="125">
        <f t="shared" si="18"/>
        <v>706</v>
      </c>
      <c r="AF39" s="46">
        <f t="shared" si="19"/>
        <v>589.3830434782609</v>
      </c>
    </row>
    <row r="40" spans="2:32" ht="15" customHeight="1" x14ac:dyDescent="0.25">
      <c r="B40" s="90">
        <v>46293</v>
      </c>
      <c r="C40" s="124" t="s">
        <v>62</v>
      </c>
      <c r="D40" s="123">
        <v>238</v>
      </c>
      <c r="E40" s="124">
        <v>16</v>
      </c>
      <c r="F40" s="124">
        <v>952</v>
      </c>
      <c r="G40" s="124">
        <v>24</v>
      </c>
      <c r="H40" s="124">
        <v>462</v>
      </c>
      <c r="I40" s="125">
        <f t="shared" si="3"/>
        <v>19.25</v>
      </c>
      <c r="J40" s="126">
        <f t="shared" si="4"/>
        <v>2.5210084033613446E-2</v>
      </c>
      <c r="K40" s="127">
        <f t="shared" si="5"/>
        <v>60.260869565217391</v>
      </c>
      <c r="L40" s="127">
        <f t="shared" si="6"/>
        <v>401.73913043478262</v>
      </c>
      <c r="M40" s="124">
        <v>31.31</v>
      </c>
      <c r="N40" s="129">
        <f t="shared" si="7"/>
        <v>370.42913043478262</v>
      </c>
      <c r="O40" s="158"/>
      <c r="P40" s="124">
        <v>640</v>
      </c>
      <c r="Q40" s="125">
        <f t="shared" si="8"/>
        <v>26.666666666666668</v>
      </c>
      <c r="R40" s="124">
        <v>12</v>
      </c>
      <c r="S40" s="132">
        <f t="shared" si="9"/>
        <v>0.5</v>
      </c>
      <c r="T40" s="133">
        <f t="shared" si="10"/>
        <v>83.478260869565219</v>
      </c>
      <c r="U40" s="133">
        <f t="shared" si="11"/>
        <v>556.52173913043475</v>
      </c>
      <c r="V40" s="124">
        <v>32</v>
      </c>
      <c r="W40" s="126">
        <f t="shared" si="12"/>
        <v>1.3333333333333333</v>
      </c>
      <c r="X40" s="124">
        <v>113.38</v>
      </c>
      <c r="Y40" s="126">
        <f t="shared" si="13"/>
        <v>0.17715624999999999</v>
      </c>
      <c r="Z40" s="49"/>
      <c r="AA40" s="125">
        <f t="shared" si="14"/>
        <v>462</v>
      </c>
      <c r="AB40" s="125">
        <f t="shared" si="15"/>
        <v>370.42913043478262</v>
      </c>
      <c r="AC40" s="135">
        <f t="shared" si="16"/>
        <v>640</v>
      </c>
      <c r="AD40" s="125">
        <f t="shared" si="17"/>
        <v>556.52173913043475</v>
      </c>
      <c r="AE40" s="125">
        <f t="shared" si="18"/>
        <v>1102</v>
      </c>
      <c r="AF40" s="46">
        <f t="shared" si="19"/>
        <v>926.95086956521732</v>
      </c>
    </row>
    <row r="41" spans="2:32" ht="15" customHeight="1" x14ac:dyDescent="0.25">
      <c r="B41" s="90">
        <v>46294</v>
      </c>
      <c r="C41" s="124" t="s">
        <v>63</v>
      </c>
      <c r="D41" s="123">
        <v>238</v>
      </c>
      <c r="E41" s="124">
        <v>16</v>
      </c>
      <c r="F41" s="124">
        <v>952</v>
      </c>
      <c r="G41" s="124">
        <v>8</v>
      </c>
      <c r="H41" s="124">
        <v>136</v>
      </c>
      <c r="I41" s="125">
        <f t="shared" si="3"/>
        <v>17</v>
      </c>
      <c r="J41" s="126">
        <f t="shared" si="4"/>
        <v>8.4033613445378148E-3</v>
      </c>
      <c r="K41" s="127">
        <f t="shared" si="5"/>
        <v>17.739130434782609</v>
      </c>
      <c r="L41" s="127">
        <f t="shared" si="6"/>
        <v>118.26086956521739</v>
      </c>
      <c r="M41" s="124">
        <v>8.8699999999999992</v>
      </c>
      <c r="N41" s="129">
        <f t="shared" si="7"/>
        <v>109.39086956521739</v>
      </c>
      <c r="O41" s="46"/>
      <c r="P41" s="124">
        <v>296</v>
      </c>
      <c r="Q41" s="125">
        <f t="shared" si="8"/>
        <v>37</v>
      </c>
      <c r="R41" s="124">
        <v>8</v>
      </c>
      <c r="S41" s="132">
        <f t="shared" si="9"/>
        <v>1</v>
      </c>
      <c r="T41" s="133">
        <f t="shared" si="10"/>
        <v>38.608695652173914</v>
      </c>
      <c r="U41" s="133">
        <f t="shared" si="11"/>
        <v>257.39130434782606</v>
      </c>
      <c r="V41" s="124">
        <v>11</v>
      </c>
      <c r="W41" s="126">
        <f t="shared" si="12"/>
        <v>1.375</v>
      </c>
      <c r="X41" s="124">
        <v>44.23</v>
      </c>
      <c r="Y41" s="126">
        <f t="shared" si="13"/>
        <v>0.14942567567567566</v>
      </c>
      <c r="Z41" s="49"/>
      <c r="AA41" s="125">
        <f t="shared" si="14"/>
        <v>136</v>
      </c>
      <c r="AB41" s="125">
        <f t="shared" si="15"/>
        <v>109.39086956521739</v>
      </c>
      <c r="AC41" s="135">
        <f t="shared" si="16"/>
        <v>296</v>
      </c>
      <c r="AD41" s="125">
        <f t="shared" si="17"/>
        <v>257.39130434782606</v>
      </c>
      <c r="AE41" s="125">
        <f t="shared" si="18"/>
        <v>432</v>
      </c>
      <c r="AF41" s="46">
        <f t="shared" si="19"/>
        <v>366.78217391304344</v>
      </c>
    </row>
    <row r="42" spans="2:32" ht="15" customHeight="1" x14ac:dyDescent="0.25">
      <c r="B42" s="90">
        <v>46295</v>
      </c>
      <c r="C42" s="124" t="s">
        <v>64</v>
      </c>
      <c r="D42" s="123">
        <v>238</v>
      </c>
      <c r="E42" s="124">
        <v>16</v>
      </c>
      <c r="F42" s="124">
        <v>952</v>
      </c>
      <c r="G42" s="124">
        <v>9</v>
      </c>
      <c r="H42" s="124">
        <v>218</v>
      </c>
      <c r="I42" s="125">
        <f t="shared" si="3"/>
        <v>24.222222222222221</v>
      </c>
      <c r="J42" s="126">
        <f t="shared" si="4"/>
        <v>9.4537815126050414E-3</v>
      </c>
      <c r="K42" s="127">
        <f t="shared" si="5"/>
        <v>28.434782608695652</v>
      </c>
      <c r="L42" s="127">
        <f t="shared" si="6"/>
        <v>189.56521739130434</v>
      </c>
      <c r="M42" s="124">
        <v>18.96</v>
      </c>
      <c r="N42" s="129">
        <f t="shared" si="7"/>
        <v>170.60521739130434</v>
      </c>
      <c r="O42" s="46"/>
      <c r="P42" s="124">
        <v>96</v>
      </c>
      <c r="Q42" s="125">
        <f t="shared" si="8"/>
        <v>10.666666666666666</v>
      </c>
      <c r="R42" s="124">
        <v>4</v>
      </c>
      <c r="S42" s="132">
        <f t="shared" si="9"/>
        <v>0.44444444444444442</v>
      </c>
      <c r="T42" s="133">
        <f t="shared" si="10"/>
        <v>12.521739130434783</v>
      </c>
      <c r="U42" s="133">
        <f t="shared" si="11"/>
        <v>83.478260869565219</v>
      </c>
      <c r="V42" s="124">
        <v>5</v>
      </c>
      <c r="W42" s="126">
        <f t="shared" si="12"/>
        <v>0.55555555555555558</v>
      </c>
      <c r="X42" s="124">
        <v>10.9</v>
      </c>
      <c r="Y42" s="126">
        <f t="shared" si="13"/>
        <v>0.11354166666666667</v>
      </c>
      <c r="Z42" s="49"/>
      <c r="AA42" s="125">
        <f t="shared" si="14"/>
        <v>218</v>
      </c>
      <c r="AB42" s="125">
        <f t="shared" si="15"/>
        <v>170.60521739130434</v>
      </c>
      <c r="AC42" s="135">
        <f t="shared" si="16"/>
        <v>96</v>
      </c>
      <c r="AD42" s="125">
        <f t="shared" si="17"/>
        <v>83.478260869565219</v>
      </c>
      <c r="AE42" s="125">
        <f t="shared" si="18"/>
        <v>314</v>
      </c>
      <c r="AF42" s="46">
        <f t="shared" si="19"/>
        <v>254.08347826086955</v>
      </c>
    </row>
    <row r="43" spans="2:32" ht="15" customHeight="1" x14ac:dyDescent="0.25">
      <c r="B43" s="184" t="s">
        <v>27</v>
      </c>
      <c r="C43" s="184"/>
      <c r="D43" s="137">
        <f>AVERAGE(D13:D42)</f>
        <v>238</v>
      </c>
      <c r="E43" s="137">
        <f>SUM(E13:E42)</f>
        <v>537</v>
      </c>
      <c r="F43" s="137">
        <f>SUM(F13:F42)</f>
        <v>32243</v>
      </c>
      <c r="G43" s="137">
        <f>SUM(G13:G42)</f>
        <v>1491</v>
      </c>
      <c r="H43" s="138">
        <f>SUM(H13:H42)</f>
        <v>48128</v>
      </c>
      <c r="I43" s="139">
        <f t="shared" si="3"/>
        <v>32.27900737759893</v>
      </c>
      <c r="J43" s="140">
        <f>IFERROR((G43/F43),0)</f>
        <v>4.6242595292001365E-2</v>
      </c>
      <c r="K43" s="141">
        <f>SUM(K13:K42)</f>
        <v>6277.5652173913049</v>
      </c>
      <c r="L43" s="141">
        <f>SUM(L13:L42)</f>
        <v>41850.434782608689</v>
      </c>
      <c r="M43" s="142">
        <f>SUM(M13:M42)</f>
        <v>3600.8</v>
      </c>
      <c r="N43" s="138">
        <f>SUM(N13:N42)</f>
        <v>38249.634782608708</v>
      </c>
      <c r="O43" s="172"/>
      <c r="P43" s="139">
        <f>SUM(P13:P42)</f>
        <v>22398</v>
      </c>
      <c r="Q43" s="139">
        <f t="shared" si="8"/>
        <v>15.022132796780683</v>
      </c>
      <c r="R43" s="137">
        <f>SUM(R13:R42)</f>
        <v>575</v>
      </c>
      <c r="S43" s="132">
        <f t="shared" si="9"/>
        <v>0.38564721663313212</v>
      </c>
      <c r="T43" s="141">
        <f>SUM(T13:T42)</f>
        <v>2921.478260869565</v>
      </c>
      <c r="U43" s="142">
        <f>SUM(U13:U42)</f>
        <v>19476.521739130436</v>
      </c>
      <c r="V43" s="143">
        <f>SUM(V13:V42)</f>
        <v>957</v>
      </c>
      <c r="W43" s="141">
        <f t="shared" si="12"/>
        <v>0.64185110663983902</v>
      </c>
      <c r="X43" s="139">
        <f>SUM(X13:X42)</f>
        <v>3807.1399999999994</v>
      </c>
      <c r="Y43" s="140">
        <f t="shared" si="13"/>
        <v>0.16997678364139654</v>
      </c>
      <c r="Z43" s="173"/>
      <c r="AA43" s="139">
        <f t="shared" ref="AA43:AF43" si="20">SUM(AA13:AA42)</f>
        <v>48128</v>
      </c>
      <c r="AB43" s="139">
        <f t="shared" si="20"/>
        <v>38249.634782608708</v>
      </c>
      <c r="AC43" s="139">
        <f t="shared" si="20"/>
        <v>22398</v>
      </c>
      <c r="AD43" s="139">
        <f t="shared" si="20"/>
        <v>19476.521739130436</v>
      </c>
      <c r="AE43" s="139">
        <f t="shared" si="20"/>
        <v>70526</v>
      </c>
      <c r="AF43" s="139">
        <f t="shared" si="20"/>
        <v>57726.15652173914</v>
      </c>
    </row>
    <row r="44" spans="2:32" ht="15" customHeight="1" x14ac:dyDescent="0.25"/>
    <row r="57" spans="21:22" ht="15" customHeight="1" x14ac:dyDescent="0.25">
      <c r="U57" s="158"/>
      <c r="V57" s="158"/>
    </row>
    <row r="58" spans="21:22" ht="15" customHeight="1" x14ac:dyDescent="0.25">
      <c r="U58" s="158"/>
      <c r="V58" s="158"/>
    </row>
    <row r="59" spans="21:22" ht="15" customHeight="1" x14ac:dyDescent="0.25">
      <c r="U59" s="158"/>
      <c r="V59" s="158"/>
    </row>
    <row r="60" spans="21:22" ht="15" customHeight="1" x14ac:dyDescent="0.25">
      <c r="U60" s="158"/>
      <c r="V60" s="158"/>
    </row>
    <row r="61" spans="21:22" ht="15" customHeight="1" x14ac:dyDescent="0.25">
      <c r="U61" s="158"/>
      <c r="V61" s="158"/>
    </row>
    <row r="62" spans="21:22" ht="15" customHeight="1" x14ac:dyDescent="0.25">
      <c r="U62" s="158"/>
      <c r="V62" s="158"/>
    </row>
    <row r="63" spans="21:22" ht="15" customHeight="1" x14ac:dyDescent="0.25">
      <c r="U63" s="158"/>
      <c r="V63" s="158"/>
    </row>
    <row r="64" spans="21:22" ht="15" customHeight="1" x14ac:dyDescent="0.25">
      <c r="U64" s="158"/>
      <c r="V64" s="158"/>
    </row>
    <row r="65" spans="21:22" ht="15" customHeight="1" x14ac:dyDescent="0.25">
      <c r="U65" s="158"/>
      <c r="V65" s="158"/>
    </row>
    <row r="66" spans="21:22" ht="15" customHeight="1" x14ac:dyDescent="0.25">
      <c r="U66" s="158"/>
      <c r="V66" s="158"/>
    </row>
    <row r="67" spans="21:22" ht="15" customHeight="1" x14ac:dyDescent="0.25">
      <c r="U67" s="158"/>
      <c r="V67" s="158"/>
    </row>
    <row r="68" spans="21:22" ht="15" customHeight="1" x14ac:dyDescent="0.25">
      <c r="U68" s="158"/>
      <c r="V68" s="158"/>
    </row>
    <row r="69" spans="21:22" ht="15" customHeight="1" x14ac:dyDescent="0.25">
      <c r="U69" s="158"/>
      <c r="V69" s="158"/>
    </row>
    <row r="70" spans="21:22" ht="15" customHeight="1" x14ac:dyDescent="0.25">
      <c r="U70" s="158"/>
      <c r="V70" s="158"/>
    </row>
    <row r="71" spans="21:22" ht="15" customHeight="1" x14ac:dyDescent="0.25">
      <c r="U71" s="158"/>
      <c r="V71" s="158"/>
    </row>
    <row r="72" spans="21:22" ht="15" customHeight="1" x14ac:dyDescent="0.25">
      <c r="U72" s="158"/>
      <c r="V72" s="158"/>
    </row>
    <row r="73" spans="21:22" ht="15" customHeight="1" x14ac:dyDescent="0.25">
      <c r="U73" s="158"/>
      <c r="V73" s="158"/>
    </row>
    <row r="74" spans="21:22" ht="15" customHeight="1" x14ac:dyDescent="0.25">
      <c r="U74" s="158"/>
      <c r="V74" s="158"/>
    </row>
    <row r="75" spans="21:22" ht="15" customHeight="1" x14ac:dyDescent="0.25">
      <c r="U75" s="158"/>
      <c r="V75" s="158"/>
    </row>
    <row r="76" spans="21:22" ht="15" customHeight="1" x14ac:dyDescent="0.25">
      <c r="U76" s="158"/>
      <c r="V76" s="158"/>
    </row>
    <row r="77" spans="21:22" ht="15" customHeight="1" x14ac:dyDescent="0.25">
      <c r="U77" s="158"/>
      <c r="V77" s="158"/>
    </row>
    <row r="78" spans="21:22" ht="15" customHeight="1" x14ac:dyDescent="0.25">
      <c r="U78" s="158"/>
      <c r="V78" s="158"/>
    </row>
    <row r="79" spans="21:22" ht="15" customHeight="1" x14ac:dyDescent="0.25">
      <c r="U79" s="158"/>
      <c r="V79" s="158"/>
    </row>
    <row r="80" spans="21:22" ht="15" customHeight="1" x14ac:dyDescent="0.25">
      <c r="U80" s="158"/>
      <c r="V80" s="158"/>
    </row>
    <row r="81" spans="21:22" ht="15" customHeight="1" x14ac:dyDescent="0.25">
      <c r="U81" s="158"/>
      <c r="V81" s="158"/>
    </row>
    <row r="82" spans="21:22" ht="15" customHeight="1" x14ac:dyDescent="0.25">
      <c r="U82" s="158"/>
      <c r="V82" s="158"/>
    </row>
    <row r="83" spans="21:22" ht="15" customHeight="1" x14ac:dyDescent="0.25">
      <c r="U83" s="158"/>
    </row>
    <row r="84" spans="21:22" ht="15" customHeight="1" x14ac:dyDescent="0.25"/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3:C43"/>
    <mergeCell ref="G10:N10"/>
    <mergeCell ref="P10:Y10"/>
    <mergeCell ref="AA10:AB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F84"/>
  <sheetViews>
    <sheetView tabSelected="1" zoomScaleNormal="100" workbookViewId="0">
      <selection activeCell="W14" sqref="W14"/>
    </sheetView>
  </sheetViews>
  <sheetFormatPr defaultColWidth="13.5703125" defaultRowHeight="15" x14ac:dyDescent="0.25"/>
  <cols>
    <col min="1" max="1" width="2.5703125" style="58" customWidth="1"/>
    <col min="2" max="2" width="12.140625" style="58" customWidth="1"/>
    <col min="3" max="3" width="11.85546875" style="58" customWidth="1"/>
    <col min="4" max="4" width="8.5703125" style="58" customWidth="1"/>
    <col min="5" max="6" width="9.7109375" style="58" customWidth="1"/>
    <col min="7" max="7" width="9.7109375" style="59" customWidth="1"/>
    <col min="8" max="8" width="10" style="58" customWidth="1"/>
    <col min="9" max="9" width="9.7109375" style="58" customWidth="1"/>
    <col min="10" max="10" width="9.7109375" style="59" customWidth="1"/>
    <col min="11" max="11" width="10.28515625" style="60" customWidth="1"/>
    <col min="12" max="12" width="11.28515625" style="60" customWidth="1"/>
    <col min="13" max="14" width="9.7109375" style="59" customWidth="1"/>
    <col min="15" max="15" width="1.7109375" style="58" customWidth="1"/>
    <col min="16" max="19" width="9.7109375" style="58" customWidth="1"/>
    <col min="20" max="20" width="9.7109375" style="61" customWidth="1"/>
    <col min="21" max="23" width="9.7109375" style="58" customWidth="1"/>
    <col min="24" max="24" width="11.5703125" style="58" customWidth="1"/>
    <col min="25" max="25" width="9.7109375" style="58" customWidth="1"/>
    <col min="26" max="26" width="1.7109375" style="58" customWidth="1"/>
    <col min="27" max="27" width="10.28515625" style="58" customWidth="1"/>
    <col min="28" max="30" width="9.7109375" style="58" customWidth="1"/>
    <col min="31" max="32" width="10.28515625" style="58" customWidth="1"/>
    <col min="33" max="16384" width="13.5703125" style="58"/>
  </cols>
  <sheetData>
    <row r="2" spans="2:32" ht="21" customHeight="1" x14ac:dyDescent="0.35">
      <c r="B2" s="177" t="s">
        <v>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2:32" ht="15" customHeight="1" x14ac:dyDescent="0.25">
      <c r="B3" s="178" t="s">
        <v>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32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32" s="64" customFormat="1" ht="14.25" customHeight="1" x14ac:dyDescent="0.25">
      <c r="B5" s="193" t="s">
        <v>2</v>
      </c>
      <c r="C5" s="193"/>
      <c r="D5" s="196" t="s">
        <v>3</v>
      </c>
      <c r="E5" s="196"/>
      <c r="F5" s="196"/>
      <c r="G5" s="193" t="s">
        <v>12</v>
      </c>
      <c r="H5" s="193"/>
      <c r="I5" s="194">
        <v>46296</v>
      </c>
      <c r="J5" s="194"/>
      <c r="K5" s="3"/>
      <c r="L5" s="3"/>
      <c r="M5" s="3"/>
      <c r="S5" s="101"/>
    </row>
    <row r="6" spans="2:32" s="64" customFormat="1" ht="14.25" customHeight="1" x14ac:dyDescent="0.25">
      <c r="B6" s="193" t="s">
        <v>6</v>
      </c>
      <c r="C6" s="193"/>
      <c r="D6" s="195" t="s">
        <v>32</v>
      </c>
      <c r="E6" s="195"/>
      <c r="F6" s="195"/>
      <c r="G6" s="193" t="s">
        <v>33</v>
      </c>
      <c r="H6" s="193"/>
      <c r="I6" s="193">
        <v>2026</v>
      </c>
      <c r="J6" s="193"/>
      <c r="K6" s="3"/>
      <c r="L6" s="3"/>
      <c r="M6" s="3"/>
      <c r="S6" s="101"/>
    </row>
    <row r="7" spans="2:32" s="64" customFormat="1" ht="14.25" customHeight="1" x14ac:dyDescent="0.25">
      <c r="B7" s="193" t="s">
        <v>9</v>
      </c>
      <c r="C7" s="193"/>
      <c r="D7" s="195">
        <v>4</v>
      </c>
      <c r="E7" s="195"/>
      <c r="F7" s="195"/>
      <c r="G7" s="193" t="s">
        <v>8</v>
      </c>
      <c r="H7" s="193"/>
      <c r="I7" s="191">
        <v>0.15</v>
      </c>
      <c r="J7" s="191"/>
      <c r="K7" s="3"/>
      <c r="L7" s="3"/>
      <c r="M7" s="3"/>
      <c r="S7" s="101"/>
    </row>
    <row r="8" spans="2:32" s="64" customFormat="1" ht="15.75" customHeight="1" x14ac:dyDescent="0.25">
      <c r="B8" s="193" t="s">
        <v>11</v>
      </c>
      <c r="C8" s="193"/>
      <c r="D8" s="195">
        <v>238</v>
      </c>
      <c r="E8" s="195"/>
      <c r="F8" s="195"/>
      <c r="G8" s="193" t="s">
        <v>10</v>
      </c>
      <c r="H8" s="193"/>
      <c r="I8" s="191">
        <v>0.1</v>
      </c>
      <c r="J8" s="191"/>
      <c r="K8" s="3"/>
      <c r="L8" s="3"/>
      <c r="M8" s="3"/>
      <c r="S8" s="101"/>
    </row>
    <row r="9" spans="2:32" ht="15.75" customHeight="1" x14ac:dyDescent="0.25">
      <c r="B9" s="197"/>
      <c r="C9" s="197"/>
      <c r="D9" s="197"/>
      <c r="E9" s="197"/>
      <c r="F9" s="67"/>
    </row>
    <row r="10" spans="2:32" ht="49.5" customHeight="1" x14ac:dyDescent="0.25">
      <c r="B10" s="102"/>
      <c r="C10" s="103"/>
      <c r="D10" s="104"/>
      <c r="E10" s="104"/>
      <c r="F10" s="105"/>
      <c r="G10" s="187" t="s">
        <v>34</v>
      </c>
      <c r="H10" s="187"/>
      <c r="I10" s="187"/>
      <c r="J10" s="187"/>
      <c r="K10" s="187"/>
      <c r="L10" s="187"/>
      <c r="M10" s="187"/>
      <c r="N10" s="187"/>
      <c r="O10" s="147"/>
      <c r="P10" s="186" t="s">
        <v>35</v>
      </c>
      <c r="Q10" s="186"/>
      <c r="R10" s="186"/>
      <c r="S10" s="186"/>
      <c r="T10" s="186"/>
      <c r="U10" s="186"/>
      <c r="V10" s="186"/>
      <c r="W10" s="186"/>
      <c r="X10" s="186"/>
      <c r="Y10" s="186"/>
      <c r="AA10" s="187" t="s">
        <v>36</v>
      </c>
      <c r="AB10" s="187"/>
      <c r="AC10" s="186" t="s">
        <v>37</v>
      </c>
      <c r="AD10" s="186"/>
      <c r="AE10" s="188" t="s">
        <v>38</v>
      </c>
      <c r="AF10" s="188"/>
    </row>
    <row r="11" spans="2:32" s="106" customFormat="1" ht="57.75" customHeight="1" x14ac:dyDescent="0.25">
      <c r="B11" s="146" t="s">
        <v>29</v>
      </c>
      <c r="C11" s="146" t="s">
        <v>39</v>
      </c>
      <c r="D11" s="146" t="s">
        <v>11</v>
      </c>
      <c r="E11" s="146" t="s">
        <v>40</v>
      </c>
      <c r="F11" s="146" t="s">
        <v>41</v>
      </c>
      <c r="G11" s="107" t="s">
        <v>13</v>
      </c>
      <c r="H11" s="107" t="s">
        <v>42</v>
      </c>
      <c r="I11" s="108" t="s">
        <v>14</v>
      </c>
      <c r="J11" s="107" t="s">
        <v>43</v>
      </c>
      <c r="K11" s="109" t="s">
        <v>44</v>
      </c>
      <c r="L11" s="107" t="s">
        <v>45</v>
      </c>
      <c r="M11" s="107" t="s">
        <v>10</v>
      </c>
      <c r="N11" s="107" t="s">
        <v>46</v>
      </c>
      <c r="O11" s="110"/>
      <c r="P11" s="111" t="s">
        <v>47</v>
      </c>
      <c r="Q11" s="111" t="s">
        <v>18</v>
      </c>
      <c r="R11" s="111" t="s">
        <v>48</v>
      </c>
      <c r="S11" s="111" t="s">
        <v>19</v>
      </c>
      <c r="T11" s="112" t="s">
        <v>8</v>
      </c>
      <c r="U11" s="111" t="s">
        <v>49</v>
      </c>
      <c r="V11" s="111" t="s">
        <v>50</v>
      </c>
      <c r="W11" s="111" t="s">
        <v>51</v>
      </c>
      <c r="X11" s="111" t="s">
        <v>52</v>
      </c>
      <c r="Y11" s="111" t="s">
        <v>53</v>
      </c>
      <c r="Z11" s="110"/>
      <c r="AA11" s="111" t="s">
        <v>54</v>
      </c>
      <c r="AB11" s="111" t="s">
        <v>55</v>
      </c>
      <c r="AC11" s="111" t="s">
        <v>54</v>
      </c>
      <c r="AD11" s="113" t="s">
        <v>55</v>
      </c>
      <c r="AE11" s="111" t="s">
        <v>54</v>
      </c>
      <c r="AF11" s="111" t="s">
        <v>55</v>
      </c>
    </row>
    <row r="12" spans="2:32" s="106" customFormat="1" ht="14.25" customHeight="1" x14ac:dyDescent="0.25">
      <c r="B12" s="183" t="s">
        <v>56</v>
      </c>
      <c r="C12" s="183"/>
      <c r="D12" s="1">
        <f t="shared" ref="D12:N12" si="0">D44</f>
        <v>238</v>
      </c>
      <c r="E12" s="114">
        <f t="shared" si="0"/>
        <v>34</v>
      </c>
      <c r="F12" s="114">
        <f t="shared" si="0"/>
        <v>1978</v>
      </c>
      <c r="G12" s="114">
        <f t="shared" si="0"/>
        <v>94</v>
      </c>
      <c r="H12" s="115">
        <f t="shared" si="0"/>
        <v>3722</v>
      </c>
      <c r="I12" s="115">
        <f t="shared" si="0"/>
        <v>39.595744680851062</v>
      </c>
      <c r="J12" s="116">
        <f t="shared" si="0"/>
        <v>4.7522750252780584E-2</v>
      </c>
      <c r="K12" s="115">
        <f t="shared" si="0"/>
        <v>485.47826086956519</v>
      </c>
      <c r="L12" s="115">
        <f t="shared" si="0"/>
        <v>3236.521739130435</v>
      </c>
      <c r="M12" s="115">
        <f t="shared" si="0"/>
        <v>272.32</v>
      </c>
      <c r="N12" s="115">
        <f t="shared" si="0"/>
        <v>2964.2017391304348</v>
      </c>
      <c r="O12" s="110"/>
      <c r="P12" s="117">
        <f t="shared" ref="P12:Y12" si="1">P44</f>
        <v>2520</v>
      </c>
      <c r="Q12" s="117">
        <f t="shared" si="1"/>
        <v>26.808510638297872</v>
      </c>
      <c r="R12" s="118">
        <f t="shared" si="1"/>
        <v>60</v>
      </c>
      <c r="S12" s="119">
        <f t="shared" si="1"/>
        <v>0.63829787234042556</v>
      </c>
      <c r="T12" s="117">
        <f t="shared" si="1"/>
        <v>328.695652173913</v>
      </c>
      <c r="U12" s="117">
        <f t="shared" si="1"/>
        <v>2191.304347826087</v>
      </c>
      <c r="V12" s="118">
        <f t="shared" si="1"/>
        <v>120</v>
      </c>
      <c r="W12" s="116">
        <f t="shared" si="1"/>
        <v>1.2765957446808511</v>
      </c>
      <c r="X12" s="117">
        <f t="shared" si="1"/>
        <v>420.46000000000004</v>
      </c>
      <c r="Y12" s="116">
        <f t="shared" si="1"/>
        <v>0.16684920634920636</v>
      </c>
      <c r="Z12" s="110"/>
      <c r="AA12" s="117">
        <f t="shared" ref="AA12:AF12" si="2">AA44</f>
        <v>3722</v>
      </c>
      <c r="AB12" s="117">
        <f t="shared" si="2"/>
        <v>2964.2017391304348</v>
      </c>
      <c r="AC12" s="117">
        <f t="shared" si="2"/>
        <v>2520</v>
      </c>
      <c r="AD12" s="120">
        <f t="shared" si="2"/>
        <v>2191.304347826087</v>
      </c>
      <c r="AE12" s="117">
        <f t="shared" si="2"/>
        <v>6242</v>
      </c>
      <c r="AF12" s="117">
        <f t="shared" si="2"/>
        <v>5155.5060869565214</v>
      </c>
    </row>
    <row r="13" spans="2:32" ht="15" customHeight="1" x14ac:dyDescent="0.25">
      <c r="B13" s="90">
        <v>46296</v>
      </c>
      <c r="C13" s="124" t="s">
        <v>57</v>
      </c>
      <c r="D13" s="123">
        <v>238</v>
      </c>
      <c r="E13" s="124">
        <v>17</v>
      </c>
      <c r="F13" s="124">
        <v>989</v>
      </c>
      <c r="G13" s="124">
        <v>55</v>
      </c>
      <c r="H13" s="124">
        <v>2180</v>
      </c>
      <c r="I13" s="125">
        <f t="shared" ref="I13:I44" si="3">IFERROR(H13/G13,0)</f>
        <v>39.636363636363633</v>
      </c>
      <c r="J13" s="126">
        <f t="shared" ref="J13:J43" si="4">IFERROR(G13/F13,0)</f>
        <v>5.5611729019211326E-2</v>
      </c>
      <c r="K13" s="127">
        <f t="shared" ref="K13:K43" si="5">H13*15/115</f>
        <v>284.3478260869565</v>
      </c>
      <c r="L13" s="127">
        <f t="shared" ref="L13:L43" si="6">H13-K13</f>
        <v>1895.6521739130435</v>
      </c>
      <c r="M13" s="128">
        <v>176.33</v>
      </c>
      <c r="N13" s="129">
        <f t="shared" ref="N13:N43" si="7">L13-M13</f>
        <v>1719.3221739130436</v>
      </c>
      <c r="O13" s="130"/>
      <c r="P13" s="46">
        <v>1277</v>
      </c>
      <c r="Q13" s="125">
        <f t="shared" ref="Q13:Q44" si="8">IFERROR(P13/G13,0)</f>
        <v>23.218181818181819</v>
      </c>
      <c r="R13" s="131">
        <v>28</v>
      </c>
      <c r="S13" s="132">
        <f t="shared" ref="S13:S44" si="9">IFERROR((R13/G13),0)</f>
        <v>0.50909090909090904</v>
      </c>
      <c r="T13" s="133">
        <f t="shared" ref="T13:T43" si="10">P13*15/115</f>
        <v>166.56521739130434</v>
      </c>
      <c r="U13" s="133">
        <f t="shared" ref="U13:U43" si="11">P13-T13</f>
        <v>1110.4347826086957</v>
      </c>
      <c r="V13" s="131">
        <v>60</v>
      </c>
      <c r="W13" s="126">
        <f t="shared" ref="W13:W44" si="12">IFERROR(V13/G13,0)</f>
        <v>1.0909090909090908</v>
      </c>
      <c r="X13" s="46">
        <v>213.18</v>
      </c>
      <c r="Y13" s="126">
        <f t="shared" ref="Y13:Y44" si="13">IFERROR((X13/P13),0)</f>
        <v>0.166938136256852</v>
      </c>
      <c r="Z13" s="134"/>
      <c r="AA13" s="125">
        <f t="shared" ref="AA13:AA43" si="14">H13</f>
        <v>2180</v>
      </c>
      <c r="AB13" s="125">
        <f t="shared" ref="AB13:AB43" si="15">N13</f>
        <v>1719.3221739130436</v>
      </c>
      <c r="AC13" s="135">
        <f t="shared" ref="AC13:AC43" si="16">P13</f>
        <v>1277</v>
      </c>
      <c r="AD13" s="136">
        <f t="shared" ref="AD13:AD43" si="17">U13</f>
        <v>1110.4347826086957</v>
      </c>
      <c r="AE13" s="125">
        <f t="shared" ref="AE13:AE43" si="18">AA13+AC13</f>
        <v>3457</v>
      </c>
      <c r="AF13" s="46">
        <f t="shared" ref="AF13:AF43" si="19">AB13+AD13</f>
        <v>2829.7569565217391</v>
      </c>
    </row>
    <row r="14" spans="2:32" ht="15" customHeight="1" x14ac:dyDescent="0.25">
      <c r="B14" s="90">
        <v>46297</v>
      </c>
      <c r="C14" s="124" t="s">
        <v>59</v>
      </c>
      <c r="D14" s="123">
        <v>238</v>
      </c>
      <c r="E14" s="124">
        <v>17</v>
      </c>
      <c r="F14" s="124">
        <v>989</v>
      </c>
      <c r="G14" s="124">
        <v>39</v>
      </c>
      <c r="H14" s="124">
        <v>1542</v>
      </c>
      <c r="I14" s="125">
        <f t="shared" si="3"/>
        <v>39.53846153846154</v>
      </c>
      <c r="J14" s="126">
        <f t="shared" si="4"/>
        <v>3.9433771486349849E-2</v>
      </c>
      <c r="K14" s="127">
        <f t="shared" si="5"/>
        <v>201.13043478260869</v>
      </c>
      <c r="L14" s="127">
        <f t="shared" si="6"/>
        <v>1340.8695652173913</v>
      </c>
      <c r="M14" s="128">
        <v>95.99</v>
      </c>
      <c r="N14" s="129">
        <f t="shared" si="7"/>
        <v>1244.8795652173912</v>
      </c>
      <c r="O14" s="130"/>
      <c r="P14" s="46">
        <v>1243</v>
      </c>
      <c r="Q14" s="125">
        <f t="shared" si="8"/>
        <v>31.871794871794872</v>
      </c>
      <c r="R14" s="131">
        <v>32</v>
      </c>
      <c r="S14" s="132">
        <f t="shared" si="9"/>
        <v>0.82051282051282048</v>
      </c>
      <c r="T14" s="133">
        <f t="shared" si="10"/>
        <v>162.13043478260869</v>
      </c>
      <c r="U14" s="133">
        <f t="shared" si="11"/>
        <v>1080.8695652173913</v>
      </c>
      <c r="V14" s="131">
        <v>60</v>
      </c>
      <c r="W14" s="126">
        <f t="shared" si="12"/>
        <v>1.5384615384615385</v>
      </c>
      <c r="X14" s="46">
        <v>207.28</v>
      </c>
      <c r="Y14" s="126">
        <f t="shared" si="13"/>
        <v>0.16675784392598553</v>
      </c>
      <c r="Z14" s="134"/>
      <c r="AA14" s="125">
        <f t="shared" si="14"/>
        <v>1542</v>
      </c>
      <c r="AB14" s="125">
        <f t="shared" si="15"/>
        <v>1244.8795652173912</v>
      </c>
      <c r="AC14" s="135">
        <f t="shared" si="16"/>
        <v>1243</v>
      </c>
      <c r="AD14" s="136">
        <f t="shared" si="17"/>
        <v>1080.8695652173913</v>
      </c>
      <c r="AE14" s="125">
        <f t="shared" si="18"/>
        <v>2785</v>
      </c>
      <c r="AF14" s="46">
        <f t="shared" si="19"/>
        <v>2325.7491304347823</v>
      </c>
    </row>
    <row r="15" spans="2:32" ht="15" customHeight="1" x14ac:dyDescent="0.25">
      <c r="B15" s="90">
        <v>46298</v>
      </c>
      <c r="C15" s="124" t="s">
        <v>60</v>
      </c>
      <c r="D15" s="123">
        <v>238</v>
      </c>
      <c r="E15" s="124"/>
      <c r="F15" s="124"/>
      <c r="G15" s="124"/>
      <c r="H15" s="124"/>
      <c r="I15" s="125">
        <f t="shared" si="3"/>
        <v>0</v>
      </c>
      <c r="J15" s="126">
        <f t="shared" si="4"/>
        <v>0</v>
      </c>
      <c r="K15" s="127">
        <f t="shared" si="5"/>
        <v>0</v>
      </c>
      <c r="L15" s="127">
        <f t="shared" si="6"/>
        <v>0</v>
      </c>
      <c r="M15" s="128"/>
      <c r="N15" s="129">
        <f t="shared" si="7"/>
        <v>0</v>
      </c>
      <c r="O15" s="130"/>
      <c r="P15" s="46"/>
      <c r="Q15" s="125">
        <f t="shared" si="8"/>
        <v>0</v>
      </c>
      <c r="R15" s="131"/>
      <c r="S15" s="132">
        <f t="shared" si="9"/>
        <v>0</v>
      </c>
      <c r="T15" s="133">
        <f t="shared" si="10"/>
        <v>0</v>
      </c>
      <c r="U15" s="133">
        <f t="shared" si="11"/>
        <v>0</v>
      </c>
      <c r="V15" s="131"/>
      <c r="W15" s="126">
        <f t="shared" si="12"/>
        <v>0</v>
      </c>
      <c r="X15" s="46"/>
      <c r="Y15" s="126">
        <f t="shared" si="13"/>
        <v>0</v>
      </c>
      <c r="Z15" s="134"/>
      <c r="AA15" s="125">
        <f t="shared" si="14"/>
        <v>0</v>
      </c>
      <c r="AB15" s="125">
        <f t="shared" si="15"/>
        <v>0</v>
      </c>
      <c r="AC15" s="135">
        <f t="shared" si="16"/>
        <v>0</v>
      </c>
      <c r="AD15" s="136">
        <f t="shared" si="17"/>
        <v>0</v>
      </c>
      <c r="AE15" s="125">
        <f t="shared" si="18"/>
        <v>0</v>
      </c>
      <c r="AF15" s="46">
        <f t="shared" si="19"/>
        <v>0</v>
      </c>
    </row>
    <row r="16" spans="2:32" ht="15" customHeight="1" x14ac:dyDescent="0.25">
      <c r="B16" s="90">
        <v>46299</v>
      </c>
      <c r="C16" s="124" t="s">
        <v>61</v>
      </c>
      <c r="D16" s="123">
        <v>238</v>
      </c>
      <c r="E16" s="124"/>
      <c r="F16" s="124"/>
      <c r="G16" s="124"/>
      <c r="H16" s="124"/>
      <c r="I16" s="125">
        <f t="shared" si="3"/>
        <v>0</v>
      </c>
      <c r="J16" s="126">
        <f t="shared" si="4"/>
        <v>0</v>
      </c>
      <c r="K16" s="127">
        <f t="shared" si="5"/>
        <v>0</v>
      </c>
      <c r="L16" s="127">
        <f t="shared" si="6"/>
        <v>0</v>
      </c>
      <c r="M16" s="124"/>
      <c r="N16" s="129">
        <f t="shared" si="7"/>
        <v>0</v>
      </c>
      <c r="O16" s="130"/>
      <c r="P16" s="46"/>
      <c r="Q16" s="125">
        <f t="shared" si="8"/>
        <v>0</v>
      </c>
      <c r="R16" s="131"/>
      <c r="S16" s="132">
        <f t="shared" si="9"/>
        <v>0</v>
      </c>
      <c r="T16" s="133">
        <f t="shared" si="10"/>
        <v>0</v>
      </c>
      <c r="U16" s="133">
        <f t="shared" si="11"/>
        <v>0</v>
      </c>
      <c r="V16" s="131"/>
      <c r="W16" s="126">
        <f t="shared" si="12"/>
        <v>0</v>
      </c>
      <c r="X16" s="46"/>
      <c r="Y16" s="126">
        <f t="shared" si="13"/>
        <v>0</v>
      </c>
      <c r="Z16" s="134"/>
      <c r="AA16" s="125">
        <f t="shared" si="14"/>
        <v>0</v>
      </c>
      <c r="AB16" s="125">
        <f t="shared" si="15"/>
        <v>0</v>
      </c>
      <c r="AC16" s="135">
        <f t="shared" si="16"/>
        <v>0</v>
      </c>
      <c r="AD16" s="136">
        <f t="shared" si="17"/>
        <v>0</v>
      </c>
      <c r="AE16" s="125">
        <f t="shared" si="18"/>
        <v>0</v>
      </c>
      <c r="AF16" s="46">
        <f t="shared" si="19"/>
        <v>0</v>
      </c>
    </row>
    <row r="17" spans="2:32" ht="15" customHeight="1" x14ac:dyDescent="0.25">
      <c r="B17" s="90">
        <v>46300</v>
      </c>
      <c r="C17" s="124" t="s">
        <v>62</v>
      </c>
      <c r="D17" s="123">
        <v>238</v>
      </c>
      <c r="E17" s="124"/>
      <c r="F17" s="124"/>
      <c r="G17" s="124"/>
      <c r="H17" s="124"/>
      <c r="I17" s="125">
        <f t="shared" si="3"/>
        <v>0</v>
      </c>
      <c r="J17" s="126">
        <f t="shared" si="4"/>
        <v>0</v>
      </c>
      <c r="K17" s="127">
        <f t="shared" si="5"/>
        <v>0</v>
      </c>
      <c r="L17" s="127">
        <f t="shared" si="6"/>
        <v>0</v>
      </c>
      <c r="M17" s="124"/>
      <c r="N17" s="129">
        <f t="shared" si="7"/>
        <v>0</v>
      </c>
      <c r="O17" s="130"/>
      <c r="P17" s="124"/>
      <c r="Q17" s="125">
        <f t="shared" si="8"/>
        <v>0</v>
      </c>
      <c r="R17" s="124"/>
      <c r="S17" s="132">
        <f t="shared" si="9"/>
        <v>0</v>
      </c>
      <c r="T17" s="133">
        <f t="shared" si="10"/>
        <v>0</v>
      </c>
      <c r="U17" s="133">
        <f t="shared" si="11"/>
        <v>0</v>
      </c>
      <c r="V17" s="124"/>
      <c r="W17" s="126">
        <f t="shared" si="12"/>
        <v>0</v>
      </c>
      <c r="X17" s="124"/>
      <c r="Y17" s="126">
        <f t="shared" si="13"/>
        <v>0</v>
      </c>
      <c r="Z17" s="134"/>
      <c r="AA17" s="125">
        <f t="shared" si="14"/>
        <v>0</v>
      </c>
      <c r="AB17" s="125">
        <f t="shared" si="15"/>
        <v>0</v>
      </c>
      <c r="AC17" s="135">
        <f t="shared" si="16"/>
        <v>0</v>
      </c>
      <c r="AD17" s="136">
        <f t="shared" si="17"/>
        <v>0</v>
      </c>
      <c r="AE17" s="125">
        <f t="shared" si="18"/>
        <v>0</v>
      </c>
      <c r="AF17" s="46">
        <f t="shared" si="19"/>
        <v>0</v>
      </c>
    </row>
    <row r="18" spans="2:32" ht="15" customHeight="1" x14ac:dyDescent="0.25">
      <c r="B18" s="90">
        <v>46301</v>
      </c>
      <c r="C18" s="124" t="s">
        <v>63</v>
      </c>
      <c r="D18" s="123">
        <v>238</v>
      </c>
      <c r="E18" s="124"/>
      <c r="F18" s="124"/>
      <c r="G18" s="124"/>
      <c r="H18" s="124"/>
      <c r="I18" s="125">
        <f t="shared" si="3"/>
        <v>0</v>
      </c>
      <c r="J18" s="126">
        <f t="shared" si="4"/>
        <v>0</v>
      </c>
      <c r="K18" s="127">
        <f t="shared" si="5"/>
        <v>0</v>
      </c>
      <c r="L18" s="149">
        <f t="shared" si="6"/>
        <v>0</v>
      </c>
      <c r="M18" s="124"/>
      <c r="N18" s="150">
        <f t="shared" si="7"/>
        <v>0</v>
      </c>
      <c r="O18" s="130"/>
      <c r="P18" s="124"/>
      <c r="Q18" s="125">
        <f t="shared" si="8"/>
        <v>0</v>
      </c>
      <c r="R18" s="124"/>
      <c r="S18" s="132">
        <f t="shared" si="9"/>
        <v>0</v>
      </c>
      <c r="T18" s="133">
        <f t="shared" si="10"/>
        <v>0</v>
      </c>
      <c r="U18" s="133">
        <f t="shared" si="11"/>
        <v>0</v>
      </c>
      <c r="V18" s="124"/>
      <c r="W18" s="126">
        <f t="shared" si="12"/>
        <v>0</v>
      </c>
      <c r="X18" s="124"/>
      <c r="Y18" s="126">
        <f t="shared" si="13"/>
        <v>0</v>
      </c>
      <c r="Z18" s="134"/>
      <c r="AA18" s="125">
        <f t="shared" si="14"/>
        <v>0</v>
      </c>
      <c r="AB18" s="125">
        <f t="shared" si="15"/>
        <v>0</v>
      </c>
      <c r="AC18" s="135">
        <f t="shared" si="16"/>
        <v>0</v>
      </c>
      <c r="AD18" s="136">
        <f t="shared" si="17"/>
        <v>0</v>
      </c>
      <c r="AE18" s="125">
        <f t="shared" si="18"/>
        <v>0</v>
      </c>
      <c r="AF18" s="46">
        <f t="shared" si="19"/>
        <v>0</v>
      </c>
    </row>
    <row r="19" spans="2:32" ht="15" customHeight="1" x14ac:dyDescent="0.25">
      <c r="B19" s="90">
        <v>46302</v>
      </c>
      <c r="C19" s="124" t="s">
        <v>64</v>
      </c>
      <c r="D19" s="123">
        <v>238</v>
      </c>
      <c r="E19" s="124"/>
      <c r="F19" s="124"/>
      <c r="G19" s="124"/>
      <c r="H19" s="124"/>
      <c r="I19" s="125">
        <f t="shared" si="3"/>
        <v>0</v>
      </c>
      <c r="J19" s="126">
        <f t="shared" si="4"/>
        <v>0</v>
      </c>
      <c r="K19" s="127">
        <f t="shared" si="5"/>
        <v>0</v>
      </c>
      <c r="L19" s="149">
        <f t="shared" si="6"/>
        <v>0</v>
      </c>
      <c r="M19" s="124"/>
      <c r="N19" s="150">
        <f t="shared" si="7"/>
        <v>0</v>
      </c>
      <c r="O19" s="130"/>
      <c r="P19" s="124"/>
      <c r="Q19" s="125">
        <f t="shared" si="8"/>
        <v>0</v>
      </c>
      <c r="R19" s="124"/>
      <c r="S19" s="132">
        <f t="shared" si="9"/>
        <v>0</v>
      </c>
      <c r="T19" s="133">
        <f t="shared" si="10"/>
        <v>0</v>
      </c>
      <c r="U19" s="133">
        <f t="shared" si="11"/>
        <v>0</v>
      </c>
      <c r="V19" s="124"/>
      <c r="W19" s="126">
        <f t="shared" si="12"/>
        <v>0</v>
      </c>
      <c r="X19" s="124"/>
      <c r="Y19" s="126">
        <f t="shared" si="13"/>
        <v>0</v>
      </c>
      <c r="Z19" s="134"/>
      <c r="AA19" s="125">
        <f t="shared" si="14"/>
        <v>0</v>
      </c>
      <c r="AB19" s="125">
        <f t="shared" si="15"/>
        <v>0</v>
      </c>
      <c r="AC19" s="135">
        <f t="shared" si="16"/>
        <v>0</v>
      </c>
      <c r="AD19" s="136">
        <f t="shared" si="17"/>
        <v>0</v>
      </c>
      <c r="AE19" s="125">
        <f t="shared" si="18"/>
        <v>0</v>
      </c>
      <c r="AF19" s="46">
        <f t="shared" si="19"/>
        <v>0</v>
      </c>
    </row>
    <row r="20" spans="2:32" ht="15" customHeight="1" x14ac:dyDescent="0.25">
      <c r="B20" s="90">
        <v>46303</v>
      </c>
      <c r="C20" s="124" t="s">
        <v>57</v>
      </c>
      <c r="D20" s="123">
        <v>238</v>
      </c>
      <c r="E20" s="124"/>
      <c r="F20" s="124"/>
      <c r="G20" s="124"/>
      <c r="H20" s="124"/>
      <c r="I20" s="125">
        <f t="shared" si="3"/>
        <v>0</v>
      </c>
      <c r="J20" s="126">
        <f t="shared" si="4"/>
        <v>0</v>
      </c>
      <c r="K20" s="127">
        <f t="shared" si="5"/>
        <v>0</v>
      </c>
      <c r="L20" s="149">
        <f t="shared" si="6"/>
        <v>0</v>
      </c>
      <c r="M20" s="124"/>
      <c r="N20" s="150">
        <f t="shared" si="7"/>
        <v>0</v>
      </c>
      <c r="O20" s="130"/>
      <c r="P20" s="124"/>
      <c r="Q20" s="125">
        <f t="shared" si="8"/>
        <v>0</v>
      </c>
      <c r="R20" s="124"/>
      <c r="S20" s="132">
        <f t="shared" si="9"/>
        <v>0</v>
      </c>
      <c r="T20" s="133">
        <f t="shared" si="10"/>
        <v>0</v>
      </c>
      <c r="U20" s="133">
        <f t="shared" si="11"/>
        <v>0</v>
      </c>
      <c r="V20" s="124"/>
      <c r="W20" s="126">
        <f t="shared" si="12"/>
        <v>0</v>
      </c>
      <c r="X20" s="124"/>
      <c r="Y20" s="126">
        <f t="shared" si="13"/>
        <v>0</v>
      </c>
      <c r="Z20" s="134"/>
      <c r="AA20" s="125">
        <f t="shared" si="14"/>
        <v>0</v>
      </c>
      <c r="AB20" s="125">
        <f t="shared" si="15"/>
        <v>0</v>
      </c>
      <c r="AC20" s="135">
        <f t="shared" si="16"/>
        <v>0</v>
      </c>
      <c r="AD20" s="136">
        <f t="shared" si="17"/>
        <v>0</v>
      </c>
      <c r="AE20" s="125">
        <f t="shared" si="18"/>
        <v>0</v>
      </c>
      <c r="AF20" s="46">
        <f t="shared" si="19"/>
        <v>0</v>
      </c>
    </row>
    <row r="21" spans="2:32" ht="15" customHeight="1" x14ac:dyDescent="0.25">
      <c r="B21" s="90">
        <v>46304</v>
      </c>
      <c r="C21" s="124" t="s">
        <v>59</v>
      </c>
      <c r="D21" s="123">
        <v>238</v>
      </c>
      <c r="E21" s="124"/>
      <c r="F21" s="124"/>
      <c r="G21" s="124"/>
      <c r="H21" s="124"/>
      <c r="I21" s="125">
        <f t="shared" si="3"/>
        <v>0</v>
      </c>
      <c r="J21" s="126">
        <f t="shared" si="4"/>
        <v>0</v>
      </c>
      <c r="K21" s="127">
        <f t="shared" si="5"/>
        <v>0</v>
      </c>
      <c r="L21" s="149">
        <f t="shared" si="6"/>
        <v>0</v>
      </c>
      <c r="M21" s="124"/>
      <c r="N21" s="150">
        <f t="shared" si="7"/>
        <v>0</v>
      </c>
      <c r="O21" s="130"/>
      <c r="P21" s="124"/>
      <c r="Q21" s="125">
        <f t="shared" si="8"/>
        <v>0</v>
      </c>
      <c r="R21" s="124"/>
      <c r="S21" s="132">
        <f t="shared" si="9"/>
        <v>0</v>
      </c>
      <c r="T21" s="133">
        <f t="shared" si="10"/>
        <v>0</v>
      </c>
      <c r="U21" s="133">
        <f t="shared" si="11"/>
        <v>0</v>
      </c>
      <c r="V21" s="124"/>
      <c r="W21" s="126">
        <f t="shared" si="12"/>
        <v>0</v>
      </c>
      <c r="X21" s="124"/>
      <c r="Y21" s="126">
        <f t="shared" si="13"/>
        <v>0</v>
      </c>
      <c r="Z21" s="134"/>
      <c r="AA21" s="125">
        <f t="shared" si="14"/>
        <v>0</v>
      </c>
      <c r="AB21" s="125">
        <f t="shared" si="15"/>
        <v>0</v>
      </c>
      <c r="AC21" s="135">
        <f t="shared" si="16"/>
        <v>0</v>
      </c>
      <c r="AD21" s="136">
        <f t="shared" si="17"/>
        <v>0</v>
      </c>
      <c r="AE21" s="125">
        <f t="shared" si="18"/>
        <v>0</v>
      </c>
      <c r="AF21" s="46">
        <f t="shared" si="19"/>
        <v>0</v>
      </c>
    </row>
    <row r="22" spans="2:32" ht="15" customHeight="1" x14ac:dyDescent="0.25">
      <c r="B22" s="90">
        <v>46305</v>
      </c>
      <c r="C22" s="124" t="s">
        <v>60</v>
      </c>
      <c r="D22" s="123">
        <v>238</v>
      </c>
      <c r="E22" s="124"/>
      <c r="F22" s="124"/>
      <c r="G22" s="124"/>
      <c r="H22" s="124"/>
      <c r="I22" s="125">
        <f t="shared" si="3"/>
        <v>0</v>
      </c>
      <c r="J22" s="126">
        <f t="shared" si="4"/>
        <v>0</v>
      </c>
      <c r="K22" s="127">
        <f t="shared" si="5"/>
        <v>0</v>
      </c>
      <c r="L22" s="149">
        <f t="shared" si="6"/>
        <v>0</v>
      </c>
      <c r="M22" s="124"/>
      <c r="N22" s="150">
        <f t="shared" si="7"/>
        <v>0</v>
      </c>
      <c r="O22" s="130"/>
      <c r="P22" s="124"/>
      <c r="Q22" s="125">
        <f t="shared" si="8"/>
        <v>0</v>
      </c>
      <c r="R22" s="124"/>
      <c r="S22" s="132">
        <f t="shared" si="9"/>
        <v>0</v>
      </c>
      <c r="T22" s="133">
        <f t="shared" si="10"/>
        <v>0</v>
      </c>
      <c r="U22" s="133">
        <f t="shared" si="11"/>
        <v>0</v>
      </c>
      <c r="V22" s="124"/>
      <c r="W22" s="126">
        <f t="shared" si="12"/>
        <v>0</v>
      </c>
      <c r="X22" s="124"/>
      <c r="Y22" s="126">
        <f t="shared" si="13"/>
        <v>0</v>
      </c>
      <c r="Z22" s="134"/>
      <c r="AA22" s="125">
        <f t="shared" si="14"/>
        <v>0</v>
      </c>
      <c r="AB22" s="125">
        <f t="shared" si="15"/>
        <v>0</v>
      </c>
      <c r="AC22" s="135">
        <f t="shared" si="16"/>
        <v>0</v>
      </c>
      <c r="AD22" s="136">
        <f t="shared" si="17"/>
        <v>0</v>
      </c>
      <c r="AE22" s="125">
        <f t="shared" si="18"/>
        <v>0</v>
      </c>
      <c r="AF22" s="46">
        <f t="shared" si="19"/>
        <v>0</v>
      </c>
    </row>
    <row r="23" spans="2:32" ht="15" customHeight="1" x14ac:dyDescent="0.25">
      <c r="B23" s="90">
        <v>46306</v>
      </c>
      <c r="C23" s="124" t="s">
        <v>61</v>
      </c>
      <c r="D23" s="123">
        <v>238</v>
      </c>
      <c r="E23" s="124"/>
      <c r="F23" s="124"/>
      <c r="G23" s="124"/>
      <c r="H23" s="124"/>
      <c r="I23" s="125">
        <f t="shared" si="3"/>
        <v>0</v>
      </c>
      <c r="J23" s="126">
        <f t="shared" si="4"/>
        <v>0</v>
      </c>
      <c r="K23" s="127">
        <f t="shared" si="5"/>
        <v>0</v>
      </c>
      <c r="L23" s="149">
        <f t="shared" si="6"/>
        <v>0</v>
      </c>
      <c r="M23" s="124"/>
      <c r="N23" s="150">
        <f t="shared" si="7"/>
        <v>0</v>
      </c>
      <c r="O23" s="130"/>
      <c r="P23" s="124"/>
      <c r="Q23" s="125">
        <f t="shared" si="8"/>
        <v>0</v>
      </c>
      <c r="R23" s="124"/>
      <c r="S23" s="132">
        <f t="shared" si="9"/>
        <v>0</v>
      </c>
      <c r="T23" s="133">
        <f t="shared" si="10"/>
        <v>0</v>
      </c>
      <c r="U23" s="133">
        <f t="shared" si="11"/>
        <v>0</v>
      </c>
      <c r="V23" s="124"/>
      <c r="W23" s="126">
        <f t="shared" si="12"/>
        <v>0</v>
      </c>
      <c r="X23" s="124"/>
      <c r="Y23" s="126">
        <f t="shared" si="13"/>
        <v>0</v>
      </c>
      <c r="Z23" s="134"/>
      <c r="AA23" s="125">
        <f t="shared" si="14"/>
        <v>0</v>
      </c>
      <c r="AB23" s="125">
        <f t="shared" si="15"/>
        <v>0</v>
      </c>
      <c r="AC23" s="135">
        <f t="shared" si="16"/>
        <v>0</v>
      </c>
      <c r="AD23" s="136">
        <f t="shared" si="17"/>
        <v>0</v>
      </c>
      <c r="AE23" s="125">
        <f t="shared" si="18"/>
        <v>0</v>
      </c>
      <c r="AF23" s="46">
        <f t="shared" si="19"/>
        <v>0</v>
      </c>
    </row>
    <row r="24" spans="2:32" ht="15" customHeight="1" x14ac:dyDescent="0.25">
      <c r="B24" s="90">
        <v>46307</v>
      </c>
      <c r="C24" s="124" t="s">
        <v>62</v>
      </c>
      <c r="D24" s="123">
        <v>238</v>
      </c>
      <c r="E24" s="124"/>
      <c r="F24" s="124"/>
      <c r="G24" s="124"/>
      <c r="H24" s="124"/>
      <c r="I24" s="125">
        <f t="shared" si="3"/>
        <v>0</v>
      </c>
      <c r="J24" s="126">
        <f t="shared" si="4"/>
        <v>0</v>
      </c>
      <c r="K24" s="127">
        <f t="shared" si="5"/>
        <v>0</v>
      </c>
      <c r="L24" s="149">
        <f t="shared" si="6"/>
        <v>0</v>
      </c>
      <c r="M24" s="124"/>
      <c r="N24" s="150">
        <f t="shared" si="7"/>
        <v>0</v>
      </c>
      <c r="O24" s="130"/>
      <c r="P24" s="124"/>
      <c r="Q24" s="125">
        <f t="shared" si="8"/>
        <v>0</v>
      </c>
      <c r="R24" s="124"/>
      <c r="S24" s="132">
        <f t="shared" si="9"/>
        <v>0</v>
      </c>
      <c r="T24" s="133">
        <f t="shared" si="10"/>
        <v>0</v>
      </c>
      <c r="U24" s="133">
        <f t="shared" si="11"/>
        <v>0</v>
      </c>
      <c r="V24" s="124"/>
      <c r="W24" s="126">
        <f t="shared" si="12"/>
        <v>0</v>
      </c>
      <c r="X24" s="124"/>
      <c r="Y24" s="126">
        <f t="shared" si="13"/>
        <v>0</v>
      </c>
      <c r="Z24" s="134"/>
      <c r="AA24" s="125">
        <f t="shared" si="14"/>
        <v>0</v>
      </c>
      <c r="AB24" s="125">
        <f t="shared" si="15"/>
        <v>0</v>
      </c>
      <c r="AC24" s="135">
        <f t="shared" si="16"/>
        <v>0</v>
      </c>
      <c r="AD24" s="136">
        <f t="shared" si="17"/>
        <v>0</v>
      </c>
      <c r="AE24" s="125">
        <f t="shared" si="18"/>
        <v>0</v>
      </c>
      <c r="AF24" s="46">
        <f t="shared" si="19"/>
        <v>0</v>
      </c>
    </row>
    <row r="25" spans="2:32" ht="15" customHeight="1" x14ac:dyDescent="0.25">
      <c r="B25" s="90">
        <v>46308</v>
      </c>
      <c r="C25" s="124" t="s">
        <v>63</v>
      </c>
      <c r="D25" s="123">
        <v>238</v>
      </c>
      <c r="E25" s="124"/>
      <c r="F25" s="124"/>
      <c r="G25" s="124"/>
      <c r="H25" s="124"/>
      <c r="I25" s="125">
        <f t="shared" si="3"/>
        <v>0</v>
      </c>
      <c r="J25" s="126">
        <f t="shared" si="4"/>
        <v>0</v>
      </c>
      <c r="K25" s="127">
        <f t="shared" si="5"/>
        <v>0</v>
      </c>
      <c r="L25" s="149">
        <f t="shared" si="6"/>
        <v>0</v>
      </c>
      <c r="M25" s="124"/>
      <c r="N25" s="150">
        <f t="shared" si="7"/>
        <v>0</v>
      </c>
      <c r="O25" s="130"/>
      <c r="P25" s="124"/>
      <c r="Q25" s="125">
        <f t="shared" si="8"/>
        <v>0</v>
      </c>
      <c r="R25" s="124"/>
      <c r="S25" s="132">
        <f t="shared" si="9"/>
        <v>0</v>
      </c>
      <c r="T25" s="133">
        <f t="shared" si="10"/>
        <v>0</v>
      </c>
      <c r="U25" s="133">
        <f t="shared" si="11"/>
        <v>0</v>
      </c>
      <c r="V25" s="124"/>
      <c r="W25" s="126">
        <f t="shared" si="12"/>
        <v>0</v>
      </c>
      <c r="X25" s="124"/>
      <c r="Y25" s="126">
        <f t="shared" si="13"/>
        <v>0</v>
      </c>
      <c r="Z25" s="134"/>
      <c r="AA25" s="125">
        <f t="shared" si="14"/>
        <v>0</v>
      </c>
      <c r="AB25" s="125">
        <f t="shared" si="15"/>
        <v>0</v>
      </c>
      <c r="AC25" s="135">
        <f t="shared" si="16"/>
        <v>0</v>
      </c>
      <c r="AD25" s="136">
        <f t="shared" si="17"/>
        <v>0</v>
      </c>
      <c r="AE25" s="125">
        <f t="shared" si="18"/>
        <v>0</v>
      </c>
      <c r="AF25" s="46">
        <f t="shared" si="19"/>
        <v>0</v>
      </c>
    </row>
    <row r="26" spans="2:32" ht="15" customHeight="1" x14ac:dyDescent="0.25">
      <c r="B26" s="90">
        <v>46309</v>
      </c>
      <c r="C26" s="124" t="s">
        <v>64</v>
      </c>
      <c r="D26" s="123">
        <v>238</v>
      </c>
      <c r="E26" s="5"/>
      <c r="F26" s="124"/>
      <c r="G26" s="158"/>
      <c r="H26" s="159"/>
      <c r="I26" s="125">
        <f t="shared" si="3"/>
        <v>0</v>
      </c>
      <c r="J26" s="126">
        <f t="shared" si="4"/>
        <v>0</v>
      </c>
      <c r="K26" s="127">
        <f t="shared" si="5"/>
        <v>0</v>
      </c>
      <c r="L26" s="149">
        <f t="shared" si="6"/>
        <v>0</v>
      </c>
      <c r="M26" s="158"/>
      <c r="N26" s="150">
        <f t="shared" si="7"/>
        <v>0</v>
      </c>
      <c r="O26" s="130"/>
      <c r="P26" s="159"/>
      <c r="Q26" s="125">
        <f t="shared" si="8"/>
        <v>0</v>
      </c>
      <c r="R26" s="5"/>
      <c r="S26" s="132">
        <f t="shared" si="9"/>
        <v>0</v>
      </c>
      <c r="T26" s="133">
        <f t="shared" si="10"/>
        <v>0</v>
      </c>
      <c r="U26" s="133">
        <f t="shared" si="11"/>
        <v>0</v>
      </c>
      <c r="V26" s="5"/>
      <c r="W26" s="126">
        <f t="shared" si="12"/>
        <v>0</v>
      </c>
      <c r="X26" s="158"/>
      <c r="Y26" s="126">
        <f t="shared" si="13"/>
        <v>0</v>
      </c>
      <c r="Z26" s="134"/>
      <c r="AA26" s="125">
        <f t="shared" si="14"/>
        <v>0</v>
      </c>
      <c r="AB26" s="125">
        <f t="shared" si="15"/>
        <v>0</v>
      </c>
      <c r="AC26" s="135">
        <f t="shared" si="16"/>
        <v>0</v>
      </c>
      <c r="AD26" s="136">
        <f t="shared" si="17"/>
        <v>0</v>
      </c>
      <c r="AE26" s="125">
        <f t="shared" si="18"/>
        <v>0</v>
      </c>
      <c r="AF26" s="46">
        <f t="shared" si="19"/>
        <v>0</v>
      </c>
    </row>
    <row r="27" spans="2:32" ht="15" customHeight="1" x14ac:dyDescent="0.25">
      <c r="B27" s="90">
        <v>46310</v>
      </c>
      <c r="C27" s="124" t="s">
        <v>57</v>
      </c>
      <c r="D27" s="123">
        <v>238</v>
      </c>
      <c r="E27" s="124"/>
      <c r="F27" s="124"/>
      <c r="G27" s="124"/>
      <c r="H27" s="124"/>
      <c r="I27" s="125">
        <f t="shared" si="3"/>
        <v>0</v>
      </c>
      <c r="J27" s="126">
        <f t="shared" si="4"/>
        <v>0</v>
      </c>
      <c r="K27" s="127">
        <f t="shared" si="5"/>
        <v>0</v>
      </c>
      <c r="L27" s="149">
        <f t="shared" si="6"/>
        <v>0</v>
      </c>
      <c r="M27" s="124"/>
      <c r="N27" s="150">
        <f t="shared" si="7"/>
        <v>0</v>
      </c>
      <c r="O27" s="130"/>
      <c r="P27" s="124"/>
      <c r="Q27" s="125">
        <f t="shared" si="8"/>
        <v>0</v>
      </c>
      <c r="R27" s="124"/>
      <c r="S27" s="132">
        <f t="shared" si="9"/>
        <v>0</v>
      </c>
      <c r="T27" s="133">
        <f t="shared" si="10"/>
        <v>0</v>
      </c>
      <c r="U27" s="133">
        <f t="shared" si="11"/>
        <v>0</v>
      </c>
      <c r="V27" s="124"/>
      <c r="W27" s="126">
        <f t="shared" si="12"/>
        <v>0</v>
      </c>
      <c r="X27" s="124"/>
      <c r="Y27" s="126">
        <f t="shared" si="13"/>
        <v>0</v>
      </c>
      <c r="Z27" s="134"/>
      <c r="AA27" s="125">
        <f t="shared" si="14"/>
        <v>0</v>
      </c>
      <c r="AB27" s="125">
        <f t="shared" si="15"/>
        <v>0</v>
      </c>
      <c r="AC27" s="135">
        <f t="shared" si="16"/>
        <v>0</v>
      </c>
      <c r="AD27" s="136">
        <f t="shared" si="17"/>
        <v>0</v>
      </c>
      <c r="AE27" s="125">
        <f t="shared" si="18"/>
        <v>0</v>
      </c>
      <c r="AF27" s="46">
        <f t="shared" si="19"/>
        <v>0</v>
      </c>
    </row>
    <row r="28" spans="2:32" ht="15" customHeight="1" x14ac:dyDescent="0.25">
      <c r="B28" s="90">
        <v>46311</v>
      </c>
      <c r="C28" s="124" t="s">
        <v>59</v>
      </c>
      <c r="D28" s="123">
        <v>238</v>
      </c>
      <c r="E28" s="124"/>
      <c r="F28" s="124"/>
      <c r="G28" s="124"/>
      <c r="H28" s="124"/>
      <c r="I28" s="125">
        <f t="shared" si="3"/>
        <v>0</v>
      </c>
      <c r="J28" s="126">
        <f t="shared" si="4"/>
        <v>0</v>
      </c>
      <c r="K28" s="127">
        <f t="shared" si="5"/>
        <v>0</v>
      </c>
      <c r="L28" s="149">
        <f t="shared" si="6"/>
        <v>0</v>
      </c>
      <c r="M28" s="124"/>
      <c r="N28" s="150">
        <f t="shared" si="7"/>
        <v>0</v>
      </c>
      <c r="O28" s="130"/>
      <c r="P28" s="124"/>
      <c r="Q28" s="125">
        <f t="shared" si="8"/>
        <v>0</v>
      </c>
      <c r="R28" s="124"/>
      <c r="S28" s="132">
        <f t="shared" si="9"/>
        <v>0</v>
      </c>
      <c r="T28" s="133">
        <f t="shared" si="10"/>
        <v>0</v>
      </c>
      <c r="U28" s="133">
        <f t="shared" si="11"/>
        <v>0</v>
      </c>
      <c r="V28" s="124"/>
      <c r="W28" s="126">
        <f t="shared" si="12"/>
        <v>0</v>
      </c>
      <c r="X28" s="124"/>
      <c r="Y28" s="126">
        <f t="shared" si="13"/>
        <v>0</v>
      </c>
      <c r="Z28" s="134"/>
      <c r="AA28" s="125">
        <f t="shared" si="14"/>
        <v>0</v>
      </c>
      <c r="AB28" s="125">
        <f t="shared" si="15"/>
        <v>0</v>
      </c>
      <c r="AC28" s="135">
        <f t="shared" si="16"/>
        <v>0</v>
      </c>
      <c r="AD28" s="136">
        <f t="shared" si="17"/>
        <v>0</v>
      </c>
      <c r="AE28" s="125">
        <f t="shared" si="18"/>
        <v>0</v>
      </c>
      <c r="AF28" s="46">
        <f t="shared" si="19"/>
        <v>0</v>
      </c>
    </row>
    <row r="29" spans="2:32" ht="15" customHeight="1" x14ac:dyDescent="0.25">
      <c r="B29" s="90">
        <v>46312</v>
      </c>
      <c r="C29" s="124" t="s">
        <v>60</v>
      </c>
      <c r="D29" s="123">
        <v>238</v>
      </c>
      <c r="E29" s="124"/>
      <c r="F29" s="124"/>
      <c r="G29" s="124"/>
      <c r="H29" s="124"/>
      <c r="I29" s="125">
        <f t="shared" si="3"/>
        <v>0</v>
      </c>
      <c r="J29" s="126">
        <f t="shared" si="4"/>
        <v>0</v>
      </c>
      <c r="K29" s="127">
        <f t="shared" si="5"/>
        <v>0</v>
      </c>
      <c r="L29" s="149">
        <f t="shared" si="6"/>
        <v>0</v>
      </c>
      <c r="M29" s="158"/>
      <c r="N29" s="150">
        <f t="shared" si="7"/>
        <v>0</v>
      </c>
      <c r="O29" s="130"/>
      <c r="P29" s="159"/>
      <c r="Q29" s="125">
        <f t="shared" si="8"/>
        <v>0</v>
      </c>
      <c r="R29" s="5"/>
      <c r="S29" s="132">
        <f t="shared" si="9"/>
        <v>0</v>
      </c>
      <c r="T29" s="133">
        <f t="shared" si="10"/>
        <v>0</v>
      </c>
      <c r="U29" s="133">
        <f t="shared" si="11"/>
        <v>0</v>
      </c>
      <c r="V29" s="5"/>
      <c r="W29" s="126">
        <f t="shared" si="12"/>
        <v>0</v>
      </c>
      <c r="X29" s="158"/>
      <c r="Y29" s="126">
        <f t="shared" si="13"/>
        <v>0</v>
      </c>
      <c r="Z29" s="134"/>
      <c r="AA29" s="125">
        <f t="shared" si="14"/>
        <v>0</v>
      </c>
      <c r="AB29" s="125">
        <f t="shared" si="15"/>
        <v>0</v>
      </c>
      <c r="AC29" s="135">
        <f t="shared" si="16"/>
        <v>0</v>
      </c>
      <c r="AD29" s="136">
        <f t="shared" si="17"/>
        <v>0</v>
      </c>
      <c r="AE29" s="125">
        <f t="shared" si="18"/>
        <v>0</v>
      </c>
      <c r="AF29" s="46">
        <f t="shared" si="19"/>
        <v>0</v>
      </c>
    </row>
    <row r="30" spans="2:32" ht="15" customHeight="1" x14ac:dyDescent="0.25">
      <c r="B30" s="90">
        <v>46313</v>
      </c>
      <c r="C30" s="124" t="s">
        <v>61</v>
      </c>
      <c r="D30" s="123">
        <v>238</v>
      </c>
      <c r="E30" s="124"/>
      <c r="F30" s="124"/>
      <c r="G30" s="124"/>
      <c r="H30" s="124"/>
      <c r="I30" s="125">
        <f t="shared" si="3"/>
        <v>0</v>
      </c>
      <c r="J30" s="132">
        <f t="shared" si="4"/>
        <v>0</v>
      </c>
      <c r="K30" s="127">
        <f t="shared" si="5"/>
        <v>0</v>
      </c>
      <c r="L30" s="149">
        <f t="shared" si="6"/>
        <v>0</v>
      </c>
      <c r="M30" s="124"/>
      <c r="N30" s="150">
        <f t="shared" si="7"/>
        <v>0</v>
      </c>
      <c r="O30" s="130"/>
      <c r="P30" s="124"/>
      <c r="Q30" s="125">
        <f t="shared" si="8"/>
        <v>0</v>
      </c>
      <c r="R30" s="124"/>
      <c r="S30" s="132">
        <f t="shared" si="9"/>
        <v>0</v>
      </c>
      <c r="T30" s="133">
        <f t="shared" si="10"/>
        <v>0</v>
      </c>
      <c r="U30" s="133">
        <f t="shared" si="11"/>
        <v>0</v>
      </c>
      <c r="V30" s="124"/>
      <c r="W30" s="126">
        <f t="shared" si="12"/>
        <v>0</v>
      </c>
      <c r="X30" s="158"/>
      <c r="Y30" s="126">
        <f t="shared" si="13"/>
        <v>0</v>
      </c>
      <c r="Z30" s="134"/>
      <c r="AA30" s="125">
        <f t="shared" si="14"/>
        <v>0</v>
      </c>
      <c r="AB30" s="125">
        <f t="shared" si="15"/>
        <v>0</v>
      </c>
      <c r="AC30" s="135">
        <f t="shared" si="16"/>
        <v>0</v>
      </c>
      <c r="AD30" s="136">
        <f t="shared" si="17"/>
        <v>0</v>
      </c>
      <c r="AE30" s="125">
        <f t="shared" si="18"/>
        <v>0</v>
      </c>
      <c r="AF30" s="46">
        <f t="shared" si="19"/>
        <v>0</v>
      </c>
    </row>
    <row r="31" spans="2:32" ht="15" customHeight="1" x14ac:dyDescent="0.25">
      <c r="B31" s="90">
        <v>46314</v>
      </c>
      <c r="C31" s="124" t="s">
        <v>62</v>
      </c>
      <c r="D31" s="123">
        <v>238</v>
      </c>
      <c r="E31" s="124"/>
      <c r="F31" s="124"/>
      <c r="G31" s="124"/>
      <c r="H31" s="124"/>
      <c r="I31" s="125">
        <f t="shared" si="3"/>
        <v>0</v>
      </c>
      <c r="J31" s="126">
        <f t="shared" si="4"/>
        <v>0</v>
      </c>
      <c r="K31" s="127">
        <f t="shared" si="5"/>
        <v>0</v>
      </c>
      <c r="L31" s="149">
        <f t="shared" si="6"/>
        <v>0</v>
      </c>
      <c r="M31" s="124"/>
      <c r="N31" s="150">
        <f t="shared" si="7"/>
        <v>0</v>
      </c>
      <c r="O31" s="130"/>
      <c r="P31" s="124"/>
      <c r="Q31" s="125">
        <f t="shared" si="8"/>
        <v>0</v>
      </c>
      <c r="R31" s="124"/>
      <c r="S31" s="132">
        <f t="shared" si="9"/>
        <v>0</v>
      </c>
      <c r="T31" s="133">
        <f t="shared" si="10"/>
        <v>0</v>
      </c>
      <c r="U31" s="133">
        <f t="shared" si="11"/>
        <v>0</v>
      </c>
      <c r="V31" s="124"/>
      <c r="W31" s="126">
        <f t="shared" si="12"/>
        <v>0</v>
      </c>
      <c r="X31" s="124"/>
      <c r="Y31" s="126">
        <f t="shared" si="13"/>
        <v>0</v>
      </c>
      <c r="Z31" s="134"/>
      <c r="AA31" s="125">
        <f t="shared" si="14"/>
        <v>0</v>
      </c>
      <c r="AB31" s="125">
        <f t="shared" si="15"/>
        <v>0</v>
      </c>
      <c r="AC31" s="135">
        <f t="shared" si="16"/>
        <v>0</v>
      </c>
      <c r="AD31" s="136">
        <f t="shared" si="17"/>
        <v>0</v>
      </c>
      <c r="AE31" s="125">
        <f t="shared" si="18"/>
        <v>0</v>
      </c>
      <c r="AF31" s="46">
        <f t="shared" si="19"/>
        <v>0</v>
      </c>
    </row>
    <row r="32" spans="2:32" ht="15" customHeight="1" x14ac:dyDescent="0.25">
      <c r="B32" s="90">
        <v>46315</v>
      </c>
      <c r="C32" s="155" t="s">
        <v>63</v>
      </c>
      <c r="D32" s="123">
        <v>238</v>
      </c>
      <c r="E32" s="124"/>
      <c r="F32" s="124"/>
      <c r="G32" s="124"/>
      <c r="H32" s="124"/>
      <c r="I32" s="125">
        <f t="shared" si="3"/>
        <v>0</v>
      </c>
      <c r="J32" s="126">
        <f t="shared" si="4"/>
        <v>0</v>
      </c>
      <c r="K32" s="127">
        <f t="shared" si="5"/>
        <v>0</v>
      </c>
      <c r="L32" s="149">
        <f t="shared" si="6"/>
        <v>0</v>
      </c>
      <c r="M32" s="124"/>
      <c r="N32" s="150">
        <f t="shared" si="7"/>
        <v>0</v>
      </c>
      <c r="O32" s="130"/>
      <c r="P32" s="124"/>
      <c r="Q32" s="125">
        <f t="shared" si="8"/>
        <v>0</v>
      </c>
      <c r="R32" s="124"/>
      <c r="S32" s="132">
        <f t="shared" si="9"/>
        <v>0</v>
      </c>
      <c r="T32" s="133">
        <f t="shared" si="10"/>
        <v>0</v>
      </c>
      <c r="U32" s="133">
        <f t="shared" si="11"/>
        <v>0</v>
      </c>
      <c r="V32" s="124"/>
      <c r="W32" s="126">
        <f t="shared" si="12"/>
        <v>0</v>
      </c>
      <c r="X32" s="124"/>
      <c r="Y32" s="126">
        <f t="shared" si="13"/>
        <v>0</v>
      </c>
      <c r="Z32" s="134"/>
      <c r="AA32" s="125">
        <f t="shared" si="14"/>
        <v>0</v>
      </c>
      <c r="AB32" s="125">
        <f t="shared" si="15"/>
        <v>0</v>
      </c>
      <c r="AC32" s="135">
        <f t="shared" si="16"/>
        <v>0</v>
      </c>
      <c r="AD32" s="136">
        <f t="shared" si="17"/>
        <v>0</v>
      </c>
      <c r="AE32" s="125">
        <f t="shared" si="18"/>
        <v>0</v>
      </c>
      <c r="AF32" s="46">
        <f t="shared" si="19"/>
        <v>0</v>
      </c>
    </row>
    <row r="33" spans="2:32" ht="15" customHeight="1" x14ac:dyDescent="0.25">
      <c r="B33" s="90">
        <v>46316</v>
      </c>
      <c r="C33" s="155" t="s">
        <v>64</v>
      </c>
      <c r="D33" s="123">
        <v>238</v>
      </c>
      <c r="E33" s="124"/>
      <c r="F33" s="124"/>
      <c r="G33" s="124"/>
      <c r="H33" s="124"/>
      <c r="I33" s="125">
        <f t="shared" si="3"/>
        <v>0</v>
      </c>
      <c r="J33" s="126">
        <f t="shared" si="4"/>
        <v>0</v>
      </c>
      <c r="K33" s="127">
        <f t="shared" si="5"/>
        <v>0</v>
      </c>
      <c r="L33" s="149">
        <f t="shared" si="6"/>
        <v>0</v>
      </c>
      <c r="M33" s="124"/>
      <c r="N33" s="150">
        <f t="shared" si="7"/>
        <v>0</v>
      </c>
      <c r="O33" s="130"/>
      <c r="P33" s="124"/>
      <c r="Q33" s="125">
        <f t="shared" si="8"/>
        <v>0</v>
      </c>
      <c r="R33" s="124"/>
      <c r="S33" s="132">
        <f t="shared" si="9"/>
        <v>0</v>
      </c>
      <c r="T33" s="133">
        <f t="shared" si="10"/>
        <v>0</v>
      </c>
      <c r="U33" s="133">
        <f t="shared" si="11"/>
        <v>0</v>
      </c>
      <c r="V33" s="124"/>
      <c r="W33" s="126">
        <f t="shared" si="12"/>
        <v>0</v>
      </c>
      <c r="X33" s="124"/>
      <c r="Y33" s="126">
        <f t="shared" si="13"/>
        <v>0</v>
      </c>
      <c r="Z33" s="134"/>
      <c r="AA33" s="125">
        <f t="shared" si="14"/>
        <v>0</v>
      </c>
      <c r="AB33" s="125">
        <f t="shared" si="15"/>
        <v>0</v>
      </c>
      <c r="AC33" s="135">
        <f t="shared" si="16"/>
        <v>0</v>
      </c>
      <c r="AD33" s="136">
        <f t="shared" si="17"/>
        <v>0</v>
      </c>
      <c r="AE33" s="125">
        <f t="shared" si="18"/>
        <v>0</v>
      </c>
      <c r="AF33" s="46">
        <f t="shared" si="19"/>
        <v>0</v>
      </c>
    </row>
    <row r="34" spans="2:32" ht="15" customHeight="1" x14ac:dyDescent="0.25">
      <c r="B34" s="90">
        <v>46317</v>
      </c>
      <c r="C34" s="155" t="s">
        <v>57</v>
      </c>
      <c r="D34" s="123">
        <v>238</v>
      </c>
      <c r="E34" s="124"/>
      <c r="F34" s="124"/>
      <c r="G34" s="124"/>
      <c r="H34" s="124"/>
      <c r="I34" s="125">
        <f t="shared" si="3"/>
        <v>0</v>
      </c>
      <c r="J34" s="126">
        <f t="shared" si="4"/>
        <v>0</v>
      </c>
      <c r="K34" s="127">
        <f t="shared" si="5"/>
        <v>0</v>
      </c>
      <c r="L34" s="149">
        <f t="shared" si="6"/>
        <v>0</v>
      </c>
      <c r="M34" s="151"/>
      <c r="N34" s="150">
        <f t="shared" si="7"/>
        <v>0</v>
      </c>
      <c r="O34" s="130"/>
      <c r="P34" s="124"/>
      <c r="Q34" s="125">
        <f t="shared" si="8"/>
        <v>0</v>
      </c>
      <c r="R34" s="124"/>
      <c r="S34" s="132">
        <f t="shared" si="9"/>
        <v>0</v>
      </c>
      <c r="T34" s="133">
        <f t="shared" si="10"/>
        <v>0</v>
      </c>
      <c r="U34" s="133">
        <f t="shared" si="11"/>
        <v>0</v>
      </c>
      <c r="V34" s="124"/>
      <c r="W34" s="126">
        <f t="shared" si="12"/>
        <v>0</v>
      </c>
      <c r="X34" s="124"/>
      <c r="Y34" s="126">
        <f t="shared" si="13"/>
        <v>0</v>
      </c>
      <c r="Z34" s="134"/>
      <c r="AA34" s="125">
        <f t="shared" si="14"/>
        <v>0</v>
      </c>
      <c r="AB34" s="125">
        <f t="shared" si="15"/>
        <v>0</v>
      </c>
      <c r="AC34" s="135">
        <f t="shared" si="16"/>
        <v>0</v>
      </c>
      <c r="AD34" s="136">
        <f t="shared" si="17"/>
        <v>0</v>
      </c>
      <c r="AE34" s="125">
        <f t="shared" si="18"/>
        <v>0</v>
      </c>
      <c r="AF34" s="46">
        <f t="shared" si="19"/>
        <v>0</v>
      </c>
    </row>
    <row r="35" spans="2:32" ht="15" customHeight="1" x14ac:dyDescent="0.25">
      <c r="B35" s="90">
        <v>46318</v>
      </c>
      <c r="C35" s="124" t="s">
        <v>59</v>
      </c>
      <c r="D35" s="123">
        <v>238</v>
      </c>
      <c r="E35" s="64"/>
      <c r="F35" s="124"/>
      <c r="G35" s="124"/>
      <c r="H35" s="124"/>
      <c r="I35" s="125">
        <f t="shared" si="3"/>
        <v>0</v>
      </c>
      <c r="J35" s="126">
        <f t="shared" si="4"/>
        <v>0</v>
      </c>
      <c r="K35" s="127">
        <f t="shared" si="5"/>
        <v>0</v>
      </c>
      <c r="L35" s="149">
        <f t="shared" si="6"/>
        <v>0</v>
      </c>
      <c r="M35" s="151"/>
      <c r="N35" s="150">
        <f t="shared" si="7"/>
        <v>0</v>
      </c>
      <c r="O35" s="130"/>
      <c r="P35" s="124"/>
      <c r="Q35" s="125">
        <f t="shared" si="8"/>
        <v>0</v>
      </c>
      <c r="R35" s="124"/>
      <c r="S35" s="132">
        <f t="shared" si="9"/>
        <v>0</v>
      </c>
      <c r="T35" s="133">
        <f t="shared" si="10"/>
        <v>0</v>
      </c>
      <c r="U35" s="133">
        <f t="shared" si="11"/>
        <v>0</v>
      </c>
      <c r="V35" s="124"/>
      <c r="W35" s="126">
        <f t="shared" si="12"/>
        <v>0</v>
      </c>
      <c r="X35" s="124"/>
      <c r="Y35" s="126">
        <f t="shared" si="13"/>
        <v>0</v>
      </c>
      <c r="Z35" s="134"/>
      <c r="AA35" s="125">
        <f t="shared" si="14"/>
        <v>0</v>
      </c>
      <c r="AB35" s="125">
        <f t="shared" si="15"/>
        <v>0</v>
      </c>
      <c r="AC35" s="135">
        <f t="shared" si="16"/>
        <v>0</v>
      </c>
      <c r="AD35" s="136">
        <f t="shared" si="17"/>
        <v>0</v>
      </c>
      <c r="AE35" s="125">
        <f t="shared" si="18"/>
        <v>0</v>
      </c>
      <c r="AF35" s="46">
        <f t="shared" si="19"/>
        <v>0</v>
      </c>
    </row>
    <row r="36" spans="2:32" ht="15" customHeight="1" x14ac:dyDescent="0.25">
      <c r="B36" s="90">
        <v>46319</v>
      </c>
      <c r="C36" s="124" t="s">
        <v>60</v>
      </c>
      <c r="D36" s="123">
        <v>238</v>
      </c>
      <c r="E36" s="124"/>
      <c r="F36" s="124"/>
      <c r="G36" s="124"/>
      <c r="H36" s="124"/>
      <c r="I36" s="125">
        <f t="shared" si="3"/>
        <v>0</v>
      </c>
      <c r="J36" s="126">
        <f t="shared" si="4"/>
        <v>0</v>
      </c>
      <c r="K36" s="127">
        <f t="shared" si="5"/>
        <v>0</v>
      </c>
      <c r="L36" s="149">
        <f t="shared" si="6"/>
        <v>0</v>
      </c>
      <c r="M36" s="151"/>
      <c r="N36" s="150">
        <f t="shared" si="7"/>
        <v>0</v>
      </c>
      <c r="O36" s="130"/>
      <c r="P36" s="124"/>
      <c r="Q36" s="125">
        <f t="shared" si="8"/>
        <v>0</v>
      </c>
      <c r="R36" s="124"/>
      <c r="S36" s="132">
        <f t="shared" si="9"/>
        <v>0</v>
      </c>
      <c r="T36" s="133">
        <f t="shared" si="10"/>
        <v>0</v>
      </c>
      <c r="U36" s="133">
        <f t="shared" si="11"/>
        <v>0</v>
      </c>
      <c r="V36" s="124"/>
      <c r="W36" s="126">
        <f t="shared" si="12"/>
        <v>0</v>
      </c>
      <c r="X36" s="124"/>
      <c r="Y36" s="126">
        <f t="shared" si="13"/>
        <v>0</v>
      </c>
      <c r="Z36" s="134"/>
      <c r="AA36" s="125">
        <f t="shared" si="14"/>
        <v>0</v>
      </c>
      <c r="AB36" s="125">
        <f t="shared" si="15"/>
        <v>0</v>
      </c>
      <c r="AC36" s="135">
        <f t="shared" si="16"/>
        <v>0</v>
      </c>
      <c r="AD36" s="136">
        <f t="shared" si="17"/>
        <v>0</v>
      </c>
      <c r="AE36" s="125">
        <f t="shared" si="18"/>
        <v>0</v>
      </c>
      <c r="AF36" s="46">
        <f t="shared" si="19"/>
        <v>0</v>
      </c>
    </row>
    <row r="37" spans="2:32" ht="15" customHeight="1" x14ac:dyDescent="0.25">
      <c r="B37" s="90">
        <v>46320</v>
      </c>
      <c r="C37" s="124" t="s">
        <v>61</v>
      </c>
      <c r="D37" s="123">
        <v>238</v>
      </c>
      <c r="E37" s="124"/>
      <c r="F37" s="124"/>
      <c r="G37" s="124"/>
      <c r="H37" s="124"/>
      <c r="I37" s="125">
        <f t="shared" si="3"/>
        <v>0</v>
      </c>
      <c r="J37" s="126">
        <f t="shared" si="4"/>
        <v>0</v>
      </c>
      <c r="K37" s="127">
        <f t="shared" si="5"/>
        <v>0</v>
      </c>
      <c r="L37" s="127">
        <f t="shared" si="6"/>
        <v>0</v>
      </c>
      <c r="M37" s="152"/>
      <c r="N37" s="129">
        <f t="shared" si="7"/>
        <v>0</v>
      </c>
      <c r="O37" s="130"/>
      <c r="P37" s="124"/>
      <c r="Q37" s="125">
        <f t="shared" si="8"/>
        <v>0</v>
      </c>
      <c r="R37" s="124"/>
      <c r="S37" s="132">
        <f t="shared" si="9"/>
        <v>0</v>
      </c>
      <c r="T37" s="133">
        <f t="shared" si="10"/>
        <v>0</v>
      </c>
      <c r="U37" s="133">
        <f t="shared" si="11"/>
        <v>0</v>
      </c>
      <c r="V37" s="124"/>
      <c r="W37" s="126">
        <f t="shared" si="12"/>
        <v>0</v>
      </c>
      <c r="X37" s="124"/>
      <c r="Y37" s="126">
        <f t="shared" si="13"/>
        <v>0</v>
      </c>
      <c r="Z37" s="134"/>
      <c r="AA37" s="125">
        <f t="shared" si="14"/>
        <v>0</v>
      </c>
      <c r="AB37" s="125">
        <f t="shared" si="15"/>
        <v>0</v>
      </c>
      <c r="AC37" s="135">
        <f t="shared" si="16"/>
        <v>0</v>
      </c>
      <c r="AD37" s="136">
        <f t="shared" si="17"/>
        <v>0</v>
      </c>
      <c r="AE37" s="125">
        <f t="shared" si="18"/>
        <v>0</v>
      </c>
      <c r="AF37" s="46">
        <f t="shared" si="19"/>
        <v>0</v>
      </c>
    </row>
    <row r="38" spans="2:32" ht="15" customHeight="1" x14ac:dyDescent="0.25">
      <c r="B38" s="90">
        <v>46321</v>
      </c>
      <c r="C38" s="124" t="s">
        <v>62</v>
      </c>
      <c r="D38" s="123">
        <v>238</v>
      </c>
      <c r="E38" s="124"/>
      <c r="F38" s="124"/>
      <c r="G38" s="124"/>
      <c r="H38" s="153"/>
      <c r="I38" s="125">
        <f t="shared" si="3"/>
        <v>0</v>
      </c>
      <c r="J38" s="126">
        <f t="shared" si="4"/>
        <v>0</v>
      </c>
      <c r="K38" s="127">
        <f t="shared" si="5"/>
        <v>0</v>
      </c>
      <c r="L38" s="127">
        <f t="shared" si="6"/>
        <v>0</v>
      </c>
      <c r="M38" s="5"/>
      <c r="N38" s="129">
        <f t="shared" si="7"/>
        <v>0</v>
      </c>
      <c r="O38" s="130"/>
      <c r="P38" s="124"/>
      <c r="Q38" s="125">
        <f t="shared" si="8"/>
        <v>0</v>
      </c>
      <c r="R38" s="124"/>
      <c r="S38" s="132">
        <f t="shared" si="9"/>
        <v>0</v>
      </c>
      <c r="T38" s="133">
        <f t="shared" si="10"/>
        <v>0</v>
      </c>
      <c r="U38" s="133">
        <f t="shared" si="11"/>
        <v>0</v>
      </c>
      <c r="V38" s="124"/>
      <c r="W38" s="126">
        <f t="shared" si="12"/>
        <v>0</v>
      </c>
      <c r="X38" s="124"/>
      <c r="Y38" s="126">
        <f t="shared" si="13"/>
        <v>0</v>
      </c>
      <c r="Z38" s="134"/>
      <c r="AA38" s="125">
        <f t="shared" si="14"/>
        <v>0</v>
      </c>
      <c r="AB38" s="125">
        <f t="shared" si="15"/>
        <v>0</v>
      </c>
      <c r="AC38" s="135">
        <f t="shared" si="16"/>
        <v>0</v>
      </c>
      <c r="AD38" s="136">
        <f t="shared" si="17"/>
        <v>0</v>
      </c>
      <c r="AE38" s="125">
        <f t="shared" si="18"/>
        <v>0</v>
      </c>
      <c r="AF38" s="46">
        <f t="shared" si="19"/>
        <v>0</v>
      </c>
    </row>
    <row r="39" spans="2:32" ht="15" customHeight="1" x14ac:dyDescent="0.25">
      <c r="B39" s="90">
        <v>46322</v>
      </c>
      <c r="C39" s="124" t="s">
        <v>63</v>
      </c>
      <c r="D39" s="123">
        <v>238</v>
      </c>
      <c r="E39" s="124"/>
      <c r="F39" s="124"/>
      <c r="G39" s="124"/>
      <c r="H39" s="124"/>
      <c r="I39" s="125">
        <f t="shared" si="3"/>
        <v>0</v>
      </c>
      <c r="J39" s="126">
        <f t="shared" si="4"/>
        <v>0</v>
      </c>
      <c r="K39" s="127">
        <f t="shared" si="5"/>
        <v>0</v>
      </c>
      <c r="L39" s="127">
        <f t="shared" si="6"/>
        <v>0</v>
      </c>
      <c r="M39" s="5"/>
      <c r="N39" s="129">
        <f t="shared" si="7"/>
        <v>0</v>
      </c>
      <c r="O39" s="130"/>
      <c r="P39" s="124"/>
      <c r="Q39" s="125">
        <f t="shared" si="8"/>
        <v>0</v>
      </c>
      <c r="R39" s="124"/>
      <c r="S39" s="132">
        <f t="shared" si="9"/>
        <v>0</v>
      </c>
      <c r="T39" s="133">
        <f t="shared" si="10"/>
        <v>0</v>
      </c>
      <c r="U39" s="133">
        <f t="shared" si="11"/>
        <v>0</v>
      </c>
      <c r="V39" s="124"/>
      <c r="W39" s="126">
        <f t="shared" si="12"/>
        <v>0</v>
      </c>
      <c r="X39" s="154"/>
      <c r="Y39" s="126">
        <f t="shared" si="13"/>
        <v>0</v>
      </c>
      <c r="Z39" s="134"/>
      <c r="AA39" s="125">
        <f t="shared" si="14"/>
        <v>0</v>
      </c>
      <c r="AB39" s="125">
        <f t="shared" si="15"/>
        <v>0</v>
      </c>
      <c r="AC39" s="135">
        <f t="shared" si="16"/>
        <v>0</v>
      </c>
      <c r="AD39" s="136">
        <f t="shared" si="17"/>
        <v>0</v>
      </c>
      <c r="AE39" s="125">
        <f t="shared" si="18"/>
        <v>0</v>
      </c>
      <c r="AF39" s="46">
        <f t="shared" si="19"/>
        <v>0</v>
      </c>
    </row>
    <row r="40" spans="2:32" ht="15" customHeight="1" x14ac:dyDescent="0.25">
      <c r="B40" s="90">
        <v>46323</v>
      </c>
      <c r="C40" s="124" t="s">
        <v>64</v>
      </c>
      <c r="D40" s="123">
        <v>238</v>
      </c>
      <c r="E40" s="124"/>
      <c r="F40" s="124"/>
      <c r="G40" s="124"/>
      <c r="H40" s="124"/>
      <c r="I40" s="125">
        <f t="shared" si="3"/>
        <v>0</v>
      </c>
      <c r="J40" s="126">
        <f t="shared" si="4"/>
        <v>0</v>
      </c>
      <c r="K40" s="127">
        <f t="shared" si="5"/>
        <v>0</v>
      </c>
      <c r="L40" s="127">
        <f t="shared" si="6"/>
        <v>0</v>
      </c>
      <c r="M40" s="124"/>
      <c r="N40" s="129">
        <f t="shared" si="7"/>
        <v>0</v>
      </c>
      <c r="O40" s="5"/>
      <c r="P40" s="124"/>
      <c r="Q40" s="125">
        <f t="shared" si="8"/>
        <v>0</v>
      </c>
      <c r="R40" s="124"/>
      <c r="S40" s="132">
        <f t="shared" si="9"/>
        <v>0</v>
      </c>
      <c r="T40" s="133">
        <f t="shared" si="10"/>
        <v>0</v>
      </c>
      <c r="U40" s="133">
        <f t="shared" si="11"/>
        <v>0</v>
      </c>
      <c r="V40" s="124"/>
      <c r="W40" s="126">
        <f t="shared" si="12"/>
        <v>0</v>
      </c>
      <c r="X40" s="124"/>
      <c r="Y40" s="126">
        <f t="shared" si="13"/>
        <v>0</v>
      </c>
      <c r="Z40" s="134"/>
      <c r="AA40" s="125">
        <f t="shared" si="14"/>
        <v>0</v>
      </c>
      <c r="AB40" s="125">
        <f t="shared" si="15"/>
        <v>0</v>
      </c>
      <c r="AC40" s="135">
        <f t="shared" si="16"/>
        <v>0</v>
      </c>
      <c r="AD40" s="136">
        <f t="shared" si="17"/>
        <v>0</v>
      </c>
      <c r="AE40" s="125">
        <f t="shared" si="18"/>
        <v>0</v>
      </c>
      <c r="AF40" s="46">
        <f t="shared" si="19"/>
        <v>0</v>
      </c>
    </row>
    <row r="41" spans="2:32" ht="15" customHeight="1" x14ac:dyDescent="0.25">
      <c r="B41" s="90">
        <v>46324</v>
      </c>
      <c r="C41" s="124" t="s">
        <v>57</v>
      </c>
      <c r="D41" s="123">
        <v>238</v>
      </c>
      <c r="E41" s="124"/>
      <c r="F41" s="124"/>
      <c r="G41" s="124"/>
      <c r="H41" s="124"/>
      <c r="I41" s="125">
        <f t="shared" si="3"/>
        <v>0</v>
      </c>
      <c r="J41" s="126">
        <f t="shared" si="4"/>
        <v>0</v>
      </c>
      <c r="K41" s="127">
        <f t="shared" si="5"/>
        <v>0</v>
      </c>
      <c r="L41" s="127">
        <f t="shared" si="6"/>
        <v>0</v>
      </c>
      <c r="M41" s="124"/>
      <c r="N41" s="129">
        <f t="shared" si="7"/>
        <v>0</v>
      </c>
      <c r="O41" s="130"/>
      <c r="P41" s="124"/>
      <c r="Q41" s="125">
        <f t="shared" si="8"/>
        <v>0</v>
      </c>
      <c r="R41" s="124"/>
      <c r="S41" s="132">
        <f t="shared" si="9"/>
        <v>0</v>
      </c>
      <c r="T41" s="133">
        <f t="shared" si="10"/>
        <v>0</v>
      </c>
      <c r="U41" s="133">
        <f t="shared" si="11"/>
        <v>0</v>
      </c>
      <c r="V41" s="124"/>
      <c r="W41" s="126">
        <f t="shared" si="12"/>
        <v>0</v>
      </c>
      <c r="X41" s="124"/>
      <c r="Y41" s="126">
        <f t="shared" si="13"/>
        <v>0</v>
      </c>
      <c r="Z41" s="134"/>
      <c r="AA41" s="125">
        <f t="shared" si="14"/>
        <v>0</v>
      </c>
      <c r="AB41" s="125">
        <f t="shared" si="15"/>
        <v>0</v>
      </c>
      <c r="AC41" s="135">
        <f t="shared" si="16"/>
        <v>0</v>
      </c>
      <c r="AD41" s="136">
        <f t="shared" si="17"/>
        <v>0</v>
      </c>
      <c r="AE41" s="125">
        <f t="shared" si="18"/>
        <v>0</v>
      </c>
      <c r="AF41" s="46">
        <f t="shared" si="19"/>
        <v>0</v>
      </c>
    </row>
    <row r="42" spans="2:32" ht="15" customHeight="1" x14ac:dyDescent="0.25">
      <c r="B42" s="90">
        <v>46325</v>
      </c>
      <c r="C42" s="124" t="s">
        <v>59</v>
      </c>
      <c r="D42" s="123">
        <v>238</v>
      </c>
      <c r="E42" s="124"/>
      <c r="F42" s="124"/>
      <c r="G42" s="124"/>
      <c r="H42" s="124"/>
      <c r="I42" s="125">
        <f t="shared" si="3"/>
        <v>0</v>
      </c>
      <c r="J42" s="126">
        <f t="shared" si="4"/>
        <v>0</v>
      </c>
      <c r="K42" s="127">
        <f t="shared" si="5"/>
        <v>0</v>
      </c>
      <c r="L42" s="127">
        <f t="shared" si="6"/>
        <v>0</v>
      </c>
      <c r="M42" s="124"/>
      <c r="N42" s="129">
        <f t="shared" si="7"/>
        <v>0</v>
      </c>
      <c r="O42" s="130"/>
      <c r="P42" s="124"/>
      <c r="Q42" s="125">
        <f t="shared" si="8"/>
        <v>0</v>
      </c>
      <c r="R42" s="124"/>
      <c r="S42" s="132">
        <f t="shared" si="9"/>
        <v>0</v>
      </c>
      <c r="T42" s="133">
        <f t="shared" si="10"/>
        <v>0</v>
      </c>
      <c r="U42" s="133">
        <f t="shared" si="11"/>
        <v>0</v>
      </c>
      <c r="V42" s="124"/>
      <c r="W42" s="126">
        <f t="shared" si="12"/>
        <v>0</v>
      </c>
      <c r="X42" s="124"/>
      <c r="Y42" s="126">
        <f t="shared" si="13"/>
        <v>0</v>
      </c>
      <c r="Z42" s="134"/>
      <c r="AA42" s="125">
        <f t="shared" si="14"/>
        <v>0</v>
      </c>
      <c r="AB42" s="125">
        <f t="shared" si="15"/>
        <v>0</v>
      </c>
      <c r="AC42" s="135">
        <f t="shared" si="16"/>
        <v>0</v>
      </c>
      <c r="AD42" s="136">
        <f t="shared" si="17"/>
        <v>0</v>
      </c>
      <c r="AE42" s="125">
        <f t="shared" si="18"/>
        <v>0</v>
      </c>
      <c r="AF42" s="46">
        <f t="shared" si="19"/>
        <v>0</v>
      </c>
    </row>
    <row r="43" spans="2:32" ht="15" customHeight="1" x14ac:dyDescent="0.25">
      <c r="B43" s="90">
        <v>46326</v>
      </c>
      <c r="C43" s="124" t="s">
        <v>60</v>
      </c>
      <c r="D43" s="123">
        <v>238</v>
      </c>
      <c r="E43" s="124"/>
      <c r="F43" s="124"/>
      <c r="G43" s="124"/>
      <c r="H43" s="124"/>
      <c r="I43" s="125">
        <f t="shared" si="3"/>
        <v>0</v>
      </c>
      <c r="J43" s="126">
        <f t="shared" si="4"/>
        <v>0</v>
      </c>
      <c r="K43" s="127">
        <f t="shared" si="5"/>
        <v>0</v>
      </c>
      <c r="L43" s="127">
        <f t="shared" si="6"/>
        <v>0</v>
      </c>
      <c r="M43" s="124"/>
      <c r="N43" s="129">
        <f t="shared" si="7"/>
        <v>0</v>
      </c>
      <c r="O43" s="130"/>
      <c r="P43" s="124"/>
      <c r="Q43" s="125">
        <f t="shared" si="8"/>
        <v>0</v>
      </c>
      <c r="R43" s="124"/>
      <c r="S43" s="132">
        <f t="shared" si="9"/>
        <v>0</v>
      </c>
      <c r="T43" s="133">
        <f t="shared" si="10"/>
        <v>0</v>
      </c>
      <c r="U43" s="133">
        <f t="shared" si="11"/>
        <v>0</v>
      </c>
      <c r="V43" s="124"/>
      <c r="W43" s="126">
        <f t="shared" si="12"/>
        <v>0</v>
      </c>
      <c r="X43" s="124"/>
      <c r="Y43" s="126">
        <f t="shared" si="13"/>
        <v>0</v>
      </c>
      <c r="Z43" s="134"/>
      <c r="AA43" s="125">
        <f t="shared" si="14"/>
        <v>0</v>
      </c>
      <c r="AB43" s="125">
        <f t="shared" si="15"/>
        <v>0</v>
      </c>
      <c r="AC43" s="135">
        <f t="shared" si="16"/>
        <v>0</v>
      </c>
      <c r="AD43" s="136">
        <f t="shared" si="17"/>
        <v>0</v>
      </c>
      <c r="AE43" s="125">
        <f t="shared" si="18"/>
        <v>0</v>
      </c>
      <c r="AF43" s="46">
        <f t="shared" si="19"/>
        <v>0</v>
      </c>
    </row>
    <row r="44" spans="2:32" ht="15" customHeight="1" x14ac:dyDescent="0.25">
      <c r="B44" s="184" t="s">
        <v>27</v>
      </c>
      <c r="C44" s="184"/>
      <c r="D44" s="137">
        <f>AVERAGE(D13:D43)</f>
        <v>238</v>
      </c>
      <c r="E44" s="137">
        <f>SUM(E13:E43)</f>
        <v>34</v>
      </c>
      <c r="F44" s="137">
        <f>SUM(F13:F43)</f>
        <v>1978</v>
      </c>
      <c r="G44" s="137">
        <f>SUM(G13:G43)</f>
        <v>94</v>
      </c>
      <c r="H44" s="138">
        <f>SUM(H13:H43)</f>
        <v>3722</v>
      </c>
      <c r="I44" s="139">
        <f t="shared" si="3"/>
        <v>39.595744680851062</v>
      </c>
      <c r="J44" s="140">
        <f>IFERROR((G44/F44),0)</f>
        <v>4.7522750252780584E-2</v>
      </c>
      <c r="K44" s="141">
        <f>SUM(K13:K43)</f>
        <v>485.47826086956519</v>
      </c>
      <c r="L44" s="141">
        <f>SUM(L13:L43)</f>
        <v>3236.521739130435</v>
      </c>
      <c r="M44" s="142">
        <f>SUM(M13:M43)</f>
        <v>272.32</v>
      </c>
      <c r="N44" s="138">
        <f>SUM(N13:N43)</f>
        <v>2964.2017391304348</v>
      </c>
      <c r="O44" s="8"/>
      <c r="P44" s="139">
        <f>SUM(P13:P43)</f>
        <v>2520</v>
      </c>
      <c r="Q44" s="139">
        <f t="shared" si="8"/>
        <v>26.808510638297872</v>
      </c>
      <c r="R44" s="137">
        <f>SUM(R13:R43)</f>
        <v>60</v>
      </c>
      <c r="S44" s="132">
        <f t="shared" si="9"/>
        <v>0.63829787234042556</v>
      </c>
      <c r="T44" s="141">
        <f>SUM(T13:T43)</f>
        <v>328.695652173913</v>
      </c>
      <c r="U44" s="142">
        <f>SUM(U13:U43)</f>
        <v>2191.304347826087</v>
      </c>
      <c r="V44" s="143">
        <f>SUM(V13:V43)</f>
        <v>120</v>
      </c>
      <c r="W44" s="141">
        <f t="shared" si="12"/>
        <v>1.2765957446808511</v>
      </c>
      <c r="X44" s="139">
        <f>SUM(X13:X43)</f>
        <v>420.46000000000004</v>
      </c>
      <c r="Y44" s="140">
        <f t="shared" si="13"/>
        <v>0.16684920634920636</v>
      </c>
      <c r="Z44" s="144"/>
      <c r="AA44" s="139">
        <f t="shared" ref="AA44:AF44" si="20">SUM(AA13:AA43)</f>
        <v>3722</v>
      </c>
      <c r="AB44" s="139">
        <f t="shared" si="20"/>
        <v>2964.2017391304348</v>
      </c>
      <c r="AC44" s="139">
        <f t="shared" si="20"/>
        <v>2520</v>
      </c>
      <c r="AD44" s="145">
        <f t="shared" si="20"/>
        <v>2191.304347826087</v>
      </c>
      <c r="AE44" s="139">
        <f t="shared" si="20"/>
        <v>6242</v>
      </c>
      <c r="AF44" s="139">
        <f t="shared" si="20"/>
        <v>5155.5060869565214</v>
      </c>
    </row>
    <row r="58" spans="21:22" ht="15" customHeight="1" x14ac:dyDescent="0.25">
      <c r="U58" s="5"/>
      <c r="V58" s="5"/>
    </row>
    <row r="59" spans="21:22" ht="15" customHeight="1" x14ac:dyDescent="0.25">
      <c r="U59" s="5"/>
      <c r="V59" s="5"/>
    </row>
    <row r="60" spans="21:22" ht="15" customHeight="1" x14ac:dyDescent="0.25">
      <c r="U60" s="5"/>
      <c r="V60" s="5"/>
    </row>
    <row r="61" spans="21:22" ht="15" customHeight="1" x14ac:dyDescent="0.25">
      <c r="U61" s="5"/>
      <c r="V61" s="5"/>
    </row>
    <row r="62" spans="21:22" ht="15" customHeight="1" x14ac:dyDescent="0.25">
      <c r="U62" s="5"/>
      <c r="V62" s="5"/>
    </row>
    <row r="63" spans="21:22" ht="15" customHeight="1" x14ac:dyDescent="0.25">
      <c r="U63" s="5"/>
      <c r="V63" s="5"/>
    </row>
    <row r="64" spans="21:22" ht="15" customHeight="1" x14ac:dyDescent="0.25">
      <c r="U64" s="5"/>
      <c r="V64" s="5"/>
    </row>
    <row r="65" spans="21:22" ht="15" customHeight="1" x14ac:dyDescent="0.25">
      <c r="U65" s="5"/>
      <c r="V65" s="5"/>
    </row>
    <row r="66" spans="21:22" ht="15" customHeight="1" x14ac:dyDescent="0.25">
      <c r="U66" s="5"/>
      <c r="V66" s="5"/>
    </row>
    <row r="67" spans="21:22" ht="15" customHeight="1" x14ac:dyDescent="0.25">
      <c r="U67" s="5"/>
      <c r="V67" s="5"/>
    </row>
    <row r="68" spans="21:22" ht="15" customHeight="1" x14ac:dyDescent="0.25">
      <c r="U68" s="5"/>
      <c r="V68" s="5"/>
    </row>
    <row r="69" spans="21:22" ht="15" customHeight="1" x14ac:dyDescent="0.25">
      <c r="U69" s="5"/>
      <c r="V69" s="5"/>
    </row>
    <row r="70" spans="21:22" ht="15" customHeight="1" x14ac:dyDescent="0.25">
      <c r="U70" s="5"/>
      <c r="V70" s="5"/>
    </row>
    <row r="71" spans="21:22" ht="15" customHeight="1" x14ac:dyDescent="0.25">
      <c r="U71" s="5"/>
      <c r="V71" s="5"/>
    </row>
    <row r="72" spans="21:22" ht="15" customHeight="1" x14ac:dyDescent="0.25">
      <c r="U72" s="5"/>
      <c r="V72" s="5"/>
    </row>
    <row r="73" spans="21:22" ht="15" customHeight="1" x14ac:dyDescent="0.25">
      <c r="U73" s="5"/>
      <c r="V73" s="5"/>
    </row>
    <row r="74" spans="21:22" ht="15" customHeight="1" x14ac:dyDescent="0.25">
      <c r="U74" s="5"/>
      <c r="V74" s="5"/>
    </row>
    <row r="75" spans="21:22" ht="15" customHeight="1" x14ac:dyDescent="0.25">
      <c r="U75" s="5"/>
      <c r="V75" s="5"/>
    </row>
    <row r="76" spans="21:22" ht="15" customHeight="1" x14ac:dyDescent="0.25">
      <c r="U76" s="5"/>
      <c r="V76" s="5"/>
    </row>
    <row r="77" spans="21:22" ht="15" customHeight="1" x14ac:dyDescent="0.25">
      <c r="U77" s="5"/>
      <c r="V77" s="5"/>
    </row>
    <row r="78" spans="21:22" ht="15" customHeight="1" x14ac:dyDescent="0.25">
      <c r="U78" s="5"/>
      <c r="V78" s="5"/>
    </row>
    <row r="79" spans="21:22" ht="15" customHeight="1" x14ac:dyDescent="0.25">
      <c r="U79" s="5"/>
      <c r="V79" s="5"/>
    </row>
    <row r="80" spans="21:22" ht="15" customHeight="1" x14ac:dyDescent="0.25">
      <c r="U80" s="5"/>
      <c r="V80" s="5"/>
    </row>
    <row r="81" spans="21:22" ht="15" customHeight="1" x14ac:dyDescent="0.25">
      <c r="U81" s="5"/>
      <c r="V81" s="5"/>
    </row>
    <row r="82" spans="21:22" ht="15" customHeight="1" x14ac:dyDescent="0.25">
      <c r="U82" s="5"/>
      <c r="V82" s="5"/>
    </row>
    <row r="83" spans="21:22" ht="15" customHeight="1" x14ac:dyDescent="0.25">
      <c r="U83" s="5"/>
      <c r="V83" s="5"/>
    </row>
    <row r="84" spans="21:22" ht="15" customHeight="1" x14ac:dyDescent="0.25">
      <c r="U84" s="5"/>
    </row>
  </sheetData>
  <mergeCells count="27">
    <mergeCell ref="B2:O2"/>
    <mergeCell ref="B3:O3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C10:AD10"/>
    <mergeCell ref="AE10:AF10"/>
    <mergeCell ref="B8:C8"/>
    <mergeCell ref="D8:F8"/>
    <mergeCell ref="G8:H8"/>
    <mergeCell ref="I8:J8"/>
    <mergeCell ref="B9:C9"/>
    <mergeCell ref="D9:E9"/>
    <mergeCell ref="B12:C12"/>
    <mergeCell ref="B44:C44"/>
    <mergeCell ref="G10:N10"/>
    <mergeCell ref="P10:Y10"/>
    <mergeCell ref="AA10:AB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YTD ummary</vt:lpstr>
      <vt:lpstr>MTD Summary</vt:lpstr>
      <vt:lpstr>Jan 2026</vt:lpstr>
      <vt:lpstr>Feb 2026</vt:lpstr>
      <vt:lpstr>Mar2026</vt:lpstr>
      <vt:lpstr>Apr2026</vt:lpstr>
      <vt:lpstr>May 2026</vt:lpstr>
      <vt:lpstr>Jun 2026</vt:lpstr>
      <vt:lpstr>Jul 2026</vt:lpstr>
      <vt:lpstr>Aug 2026</vt:lpstr>
      <vt:lpstr>Sep 2026</vt:lpstr>
      <vt:lpstr>Oct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Noir Supervisor Onizah</dc:creator>
  <dc:description/>
  <cp:lastModifiedBy>Noir Supervisor Onizah</cp:lastModifiedBy>
  <cp:revision>0</cp:revision>
  <dcterms:created xsi:type="dcterms:W3CDTF">2026-01-01T21:26:59Z</dcterms:created>
  <dcterms:modified xsi:type="dcterms:W3CDTF">2026-10-02T22:03:14Z</dcterms:modified>
  <dc:language>en-US</dc:language>
</cp:coreProperties>
</file>